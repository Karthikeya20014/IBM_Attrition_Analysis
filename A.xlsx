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_Science\Data_Analysis_Projects\Project Datasets\IBM_Real\"/>
    </mc:Choice>
  </mc:AlternateContent>
  <xr:revisionPtr revIDLastSave="0" documentId="13_ncr:1_{1713AE53-1EF9-43D9-96EE-B5BE1F8666BD}" xr6:coauthVersionLast="47" xr6:coauthVersionMax="47" xr10:uidLastSave="{00000000-0000-0000-0000-000000000000}"/>
  <bookViews>
    <workbookView xWindow="-120" yWindow="-120" windowWidth="20730" windowHeight="11040" xr2:uid="{6E3E1DD6-917F-480A-9A84-E448AE547C0F}"/>
  </bookViews>
  <sheets>
    <sheet name="Dashboard" sheetId="1" r:id="rId1"/>
    <sheet name="Basic" sheetId="9" r:id="rId2"/>
    <sheet name="Sheet8" sheetId="10" r:id="rId3"/>
    <sheet name="B2" sheetId="11" r:id="rId4"/>
    <sheet name="At" sheetId="2" r:id="rId5"/>
    <sheet name="Sheet6" sheetId="7" r:id="rId6"/>
  </sheets>
  <definedNames>
    <definedName name="ExternalData_1" localSheetId="4" hidden="1">At!$A$1:$AF$1471</definedName>
  </definedNames>
  <calcPr calcId="191029"/>
  <pivotCaches>
    <pivotCache cacheId="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1" l="1"/>
  <c r="A23" i="1"/>
  <c r="A13" i="1"/>
  <c r="A8" i="1"/>
  <c r="A1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F91FB-8416-42FD-BD8E-5B933CF8EAEA}" keepAlive="1" name="Query - At" description="Connection to the 'At' query in the workbook." type="5" refreshedVersion="8" background="1" saveData="1">
    <dbPr connection="Provider=Microsoft.Mashup.OleDb.1;Data Source=$Workbook$;Location=At;Extended Properties=&quot;&quot;" command="SELECT * FROM [At]"/>
  </connection>
</connections>
</file>

<file path=xl/sharedStrings.xml><?xml version="1.0" encoding="utf-8"?>
<sst xmlns="http://schemas.openxmlformats.org/spreadsheetml/2006/main" count="28043" uniqueCount="88">
  <si>
    <t>Age</t>
  </si>
  <si>
    <t>Age_Category</t>
  </si>
  <si>
    <t>Attrition</t>
  </si>
  <si>
    <t>BusinessTravel</t>
  </si>
  <si>
    <t>Department</t>
  </si>
  <si>
    <t>DistanceFromHome</t>
  </si>
  <si>
    <t>Distance_Category</t>
  </si>
  <si>
    <t>EnvironmentSatisfaction</t>
  </si>
  <si>
    <t>Environment_Satisfaction_Category</t>
  </si>
  <si>
    <t>Gender</t>
  </si>
  <si>
    <t>JobInvolvement</t>
  </si>
  <si>
    <t>Involvment_Level</t>
  </si>
  <si>
    <t>JobLevel</t>
  </si>
  <si>
    <t>Job_Level_Index</t>
  </si>
  <si>
    <t>JobRole</t>
  </si>
  <si>
    <t>JobSatisfaction</t>
  </si>
  <si>
    <t>Job_Satisfaction_Category</t>
  </si>
  <si>
    <t>MaritalStatus</t>
  </si>
  <si>
    <t>NumCompaniesWorked</t>
  </si>
  <si>
    <t>OverNight</t>
  </si>
  <si>
    <t>OverTime</t>
  </si>
  <si>
    <t>PercentSalaryHike</t>
  </si>
  <si>
    <t>Salary_Hike</t>
  </si>
  <si>
    <t>TotalWorkingYears</t>
  </si>
  <si>
    <t>WorkLifeBalance</t>
  </si>
  <si>
    <t>Work_Balance_Category</t>
  </si>
  <si>
    <t>YearsAtCompany</t>
  </si>
  <si>
    <t>Company_Career_Duration</t>
  </si>
  <si>
    <t>YearsInCurrentRole</t>
  </si>
  <si>
    <t>Role_Duration</t>
  </si>
  <si>
    <t>YearsSinceLastPromotion</t>
  </si>
  <si>
    <t>Promotion_Frequency</t>
  </si>
  <si>
    <t>Middle_Age(30-50)</t>
  </si>
  <si>
    <t>Yes</t>
  </si>
  <si>
    <t>Rarely</t>
  </si>
  <si>
    <t>Sales</t>
  </si>
  <si>
    <t>Nearby(&lt;=5)</t>
  </si>
  <si>
    <t>Not_Satisfied(&lt;3)</t>
  </si>
  <si>
    <t>F</t>
  </si>
  <si>
    <t>Medium</t>
  </si>
  <si>
    <t>Basic(&lt;=2)</t>
  </si>
  <si>
    <t>Sales Executive</t>
  </si>
  <si>
    <t>Satisfied(&gt;=3)</t>
  </si>
  <si>
    <t>Single</t>
  </si>
  <si>
    <t>Y</t>
  </si>
  <si>
    <t>Poor_Hike(&lt;20)</t>
  </si>
  <si>
    <t>Poor(&lt;=2)</t>
  </si>
  <si>
    <t>Long(5-10)</t>
  </si>
  <si>
    <t>Short(&lt;=4)</t>
  </si>
  <si>
    <t>Reasonable(&lt;=3)</t>
  </si>
  <si>
    <t>No</t>
  </si>
  <si>
    <t>Frequently</t>
  </si>
  <si>
    <t>Research &amp; Development</t>
  </si>
  <si>
    <t>Middistance(6-14)</t>
  </si>
  <si>
    <t>M</t>
  </si>
  <si>
    <t>Low</t>
  </si>
  <si>
    <t>Research Scientist</t>
  </si>
  <si>
    <t>Not_Satisfied(&lt;=2)</t>
  </si>
  <si>
    <t>Married</t>
  </si>
  <si>
    <t>N</t>
  </si>
  <si>
    <t>Good_Hike(&gt;=20)</t>
  </si>
  <si>
    <t>Good(&gt;=3)</t>
  </si>
  <si>
    <t>Laboratory Technician</t>
  </si>
  <si>
    <t>Young(&lt;=29)</t>
  </si>
  <si>
    <t>Old(&gt;50)</t>
  </si>
  <si>
    <t>High</t>
  </si>
  <si>
    <t>Far(&gt;=15)</t>
  </si>
  <si>
    <t>Divorced</t>
  </si>
  <si>
    <t>Mid(=3)</t>
  </si>
  <si>
    <t>Manufacturing Director</t>
  </si>
  <si>
    <t>Healthcare Representative</t>
  </si>
  <si>
    <t>Not_Reasonable(&gt;3)</t>
  </si>
  <si>
    <t>High(&gt;=4)</t>
  </si>
  <si>
    <t>Manager</t>
  </si>
  <si>
    <t>Ultra_Long(&gt;10)</t>
  </si>
  <si>
    <t>Sales Representative</t>
  </si>
  <si>
    <t>Research Director</t>
  </si>
  <si>
    <t>Human Resources</t>
  </si>
  <si>
    <t>Employees Attrition Dashboard</t>
  </si>
  <si>
    <t>KPI'S</t>
  </si>
  <si>
    <t>Total Employees</t>
  </si>
  <si>
    <t>Row Labels</t>
  </si>
  <si>
    <t>Grand Total</t>
  </si>
  <si>
    <t>Attrited Employees</t>
  </si>
  <si>
    <t>Count of Attrition</t>
  </si>
  <si>
    <t>Attrition Percentage</t>
  </si>
  <si>
    <t>Males Attrited</t>
  </si>
  <si>
    <t>Females Attrited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</si>
</sst>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8"/>
      <color rgb="FF002060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6"/>
      <color rgb="FF002060"/>
      <name val="Aptos Narrow"/>
      <family val="2"/>
      <scheme val="minor"/>
    </font>
    <font>
      <sz val="22"/>
      <color rgb="FF002060"/>
      <name val="Aptos Narrow"/>
      <family val="2"/>
      <scheme val="minor"/>
    </font>
    <font>
      <sz val="26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/>
    <xf numFmtId="10" fontId="0" fillId="0" borderId="0" xfId="0" applyNumberFormat="1"/>
    <xf numFmtId="9" fontId="0" fillId="0" borderId="0" xfId="0" applyNumberFormat="1"/>
    <xf numFmtId="0" fontId="1" fillId="2" borderId="3" xfId="0" applyFont="1" applyFill="1" applyBorder="1" applyAlignment="1">
      <alignment horizontal="left"/>
    </xf>
    <xf numFmtId="0" fontId="1" fillId="2" borderId="3" xfId="0" applyNumberFormat="1" applyFont="1" applyFill="1" applyBorder="1"/>
    <xf numFmtId="0" fontId="0" fillId="3" borderId="5" xfId="0" applyFill="1" applyBorder="1" applyAlignment="1">
      <alignment horizontal="center"/>
    </xf>
    <xf numFmtId="0" fontId="0" fillId="3" borderId="0" xfId="0" applyFill="1"/>
    <xf numFmtId="0" fontId="0" fillId="3" borderId="0" xfId="0" applyFill="1" applyBorder="1"/>
    <xf numFmtId="0" fontId="0" fillId="3" borderId="1" xfId="0" applyFill="1" applyBorder="1"/>
    <xf numFmtId="0" fontId="7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2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GenderWise</a:t>
            </a:r>
            <a:r>
              <a:rPr lang="en-US" baseline="0"/>
              <a:t> Attrition</a:t>
            </a:r>
            <a:endParaRPr lang="en-US"/>
          </a:p>
        </c:rich>
      </c:tx>
      <c:layout>
        <c:manualLayout>
          <c:xMode val="edge"/>
          <c:yMode val="edge"/>
          <c:x val="0.27490966754155732"/>
          <c:y val="5.8143773694954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1B-4D1A-A497-E21DDCCA227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1B-4D1A-A497-E21DDCCA227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</c:v>
              </c:pt>
              <c:pt idx="1">
                <c:v>M</c:v>
              </c:pt>
            </c:strLit>
          </c:cat>
          <c:val>
            <c:numLit>
              <c:formatCode>General</c:formatCode>
              <c:ptCount val="2"/>
              <c:pt idx="0">
                <c:v>87</c:v>
              </c:pt>
              <c:pt idx="1">
                <c:v>150</c:v>
              </c:pt>
            </c:numLit>
          </c:val>
          <c:extLst>
            <c:ext xmlns:c16="http://schemas.microsoft.com/office/drawing/2014/chart" uri="{C3380CC4-5D6E-409C-BE32-E72D297353CC}">
              <c16:uniqueId val="{00000004-DF1B-4D1A-A497-E21DDCCA22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DepartmentWise Attrition</a:t>
            </a:r>
          </a:p>
        </c:rich>
      </c:tx>
      <c:layout>
        <c:manualLayout>
          <c:xMode val="edge"/>
          <c:yMode val="edge"/>
          <c:x val="0.2040508819016133"/>
          <c:y val="5.317127542627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9011393327527064E-2"/>
          <c:y val="0.21883220063689504"/>
          <c:w val="0.45908177956310764"/>
          <c:h val="0.74223834405745315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BD-495A-B7B7-834A17CDACBD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BD-495A-B7B7-834A17CDACBD}"/>
              </c:ext>
            </c:extLst>
          </c:dPt>
          <c:dPt>
            <c:idx val="2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BD-495A-B7B7-834A17CDACB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133</c:v>
              </c:pt>
              <c:pt idx="2">
                <c:v>92</c:v>
              </c:pt>
            </c:numLit>
          </c:val>
          <c:extLst>
            <c:ext xmlns:c16="http://schemas.microsoft.com/office/drawing/2014/chart" uri="{C3380CC4-5D6E-409C-BE32-E72D297353CC}">
              <c16:uniqueId val="{00000006-78BD-495A-B7B7-834A17CDAC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[A.xlsx]Sheet6!PivotTable5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PoorHike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12-49D3-84D6-274D472B002E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12-49D3-84D6-274D472B002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Sheet6!$A$10:$A$12</c:f>
              <c:strCache>
                <c:ptCount val="2"/>
                <c:pt idx="0">
                  <c:v>Poor_Hike(&lt;20)</c:v>
                </c:pt>
                <c:pt idx="1">
                  <c:v>Good_Hike(&gt;=20)</c:v>
                </c:pt>
              </c:strCache>
            </c:strRef>
          </c:cat>
          <c:val>
            <c:numRef>
              <c:f>Sheet6!$B$10:$B$12</c:f>
              <c:numCache>
                <c:formatCode>0%</c:formatCode>
                <c:ptCount val="2"/>
                <c:pt idx="0">
                  <c:v>0.84625850340136055</c:v>
                </c:pt>
                <c:pt idx="1">
                  <c:v>0.15374149659863945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2-49D3-84D6-274D472B002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[A.xlsx]Sheet6!PivotTable12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OverTime Attrition</a:t>
            </a:r>
          </a:p>
        </c:rich>
      </c:tx>
      <c:layout>
        <c:manualLayout>
          <c:xMode val="edge"/>
          <c:yMode val="edge"/>
          <c:x val="0.34373600174978125"/>
          <c:y val="5.8143773694954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662750395478218"/>
          <c:y val="0.21300142745314729"/>
          <c:w val="0.46417139166859217"/>
          <c:h val="0.72150149652346085"/>
        </c:manualLayout>
      </c:layout>
      <c:pieChart>
        <c:varyColors val="1"/>
        <c:ser>
          <c:idx val="0"/>
          <c:order val="0"/>
          <c:tx>
            <c:strRef>
              <c:f>Sheet6!$B$16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5B-438B-B541-CF2CE5B52F4D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5B-438B-B541-CF2CE5B52F4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Sheet6!$A$17:$A$19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Sheet6!$B$17:$B$19</c:f>
              <c:numCache>
                <c:formatCode>General</c:formatCode>
                <c:ptCount val="2"/>
                <c:pt idx="0">
                  <c:v>127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B-438B-B541-CF2CE5B52F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[A.xlsx]Sheet8!PivotTable13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Marital Status </a:t>
            </a:r>
          </a:p>
        </c:rich>
      </c:tx>
      <c:layout>
        <c:manualLayout>
          <c:xMode val="edge"/>
          <c:yMode val="edge"/>
          <c:x val="0.22657633420822398"/>
          <c:y val="3.4995625546806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tx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tx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76851092061386"/>
          <c:y val="0.22074693390598901"/>
          <c:w val="0.44263398339065707"/>
          <c:h val="0.72591973276067756"/>
        </c:manualLayout>
      </c:layout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14-45B5-8048-9B9659FA4168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14-45B5-8048-9B9659FA4168}"/>
              </c:ext>
            </c:extLst>
          </c:dPt>
          <c:dPt>
            <c:idx val="2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14-45B5-8048-9B9659FA416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Sheet8!$B$4:$B$7</c:f>
              <c:numCache>
                <c:formatCode>0%</c:formatCode>
                <c:ptCount val="3"/>
                <c:pt idx="0">
                  <c:v>0.13924050632911392</c:v>
                </c:pt>
                <c:pt idx="1">
                  <c:v>0.35443037974683544</c:v>
                </c:pt>
                <c:pt idx="2">
                  <c:v>0.50632911392405067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14-45B5-8048-9B9659FA41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[A.xlsx]Sheet8!PivotTable14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By JobRole</a:t>
            </a:r>
          </a:p>
        </c:rich>
      </c:tx>
      <c:layout>
        <c:manualLayout>
          <c:xMode val="edge"/>
          <c:yMode val="edge"/>
          <c:x val="0.2922152230971129"/>
          <c:y val="4.425488480606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459645669291341"/>
          <c:y val="0.18562080781568974"/>
          <c:w val="0.49372506561679791"/>
          <c:h val="0.707350174978127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Sheet8!$B$14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Sheet8!$A$15:$A$24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Sheet8!$B$15:$B$24</c:f>
              <c:numCache>
                <c:formatCode>0.00%</c:formatCode>
                <c:ptCount val="9"/>
                <c:pt idx="0">
                  <c:v>3.7974683544303799E-2</c:v>
                </c:pt>
                <c:pt idx="1">
                  <c:v>5.0632911392405063E-2</c:v>
                </c:pt>
                <c:pt idx="2">
                  <c:v>0.26160337552742619</c:v>
                </c:pt>
                <c:pt idx="3">
                  <c:v>2.1097046413502109E-2</c:v>
                </c:pt>
                <c:pt idx="4">
                  <c:v>4.2194092827004218E-2</c:v>
                </c:pt>
                <c:pt idx="5">
                  <c:v>8.4388185654008432E-3</c:v>
                </c:pt>
                <c:pt idx="6">
                  <c:v>0.19831223628691982</c:v>
                </c:pt>
                <c:pt idx="7">
                  <c:v>0.24050632911392406</c:v>
                </c:pt>
                <c:pt idx="8">
                  <c:v>0.13924050632911392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8-4DA5-8EE2-52BC603C7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52703760"/>
        <c:axId val="1676849648"/>
      </c:barChart>
      <c:catAx>
        <c:axId val="175270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49648"/>
        <c:crosses val="autoZero"/>
        <c:auto val="1"/>
        <c:lblAlgn val="ctr"/>
        <c:lblOffset val="100"/>
        <c:noMultiLvlLbl val="0"/>
      </c:catAx>
      <c:valAx>
        <c:axId val="167684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70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[A.xlsx]Sheet8!PivotTable15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JobLevel</a:t>
            </a:r>
          </a:p>
        </c:rich>
      </c:tx>
      <c:layout>
        <c:manualLayout>
          <c:xMode val="edge"/>
          <c:yMode val="edge"/>
          <c:x val="0.28111789151356081"/>
          <c:y val="3.0365995917177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677646544181979"/>
          <c:y val="0.20781751239428406"/>
          <c:w val="0.45354516526142202"/>
          <c:h val="0.71181393992417619"/>
        </c:manualLayout>
      </c:layout>
      <c:doughnutChart>
        <c:varyColors val="1"/>
        <c:ser>
          <c:idx val="0"/>
          <c:order val="0"/>
          <c:tx>
            <c:strRef>
              <c:f>Sheet8!$B$30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30-4773-B515-66745B29528B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30-4773-B515-66745B29528B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30-4773-B515-66745B29528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Sheet8!$A$31:$A$34</c:f>
              <c:strCache>
                <c:ptCount val="3"/>
                <c:pt idx="0">
                  <c:v>Basic(&lt;=2)</c:v>
                </c:pt>
                <c:pt idx="1">
                  <c:v>High(&gt;=4)</c:v>
                </c:pt>
                <c:pt idx="2">
                  <c:v>Mid(=3)</c:v>
                </c:pt>
              </c:strCache>
            </c:strRef>
          </c:cat>
          <c:val>
            <c:numRef>
              <c:f>Sheet8!$B$31:$B$34</c:f>
              <c:numCache>
                <c:formatCode>0.00%</c:formatCode>
                <c:ptCount val="3"/>
                <c:pt idx="0">
                  <c:v>0.82278481012658233</c:v>
                </c:pt>
                <c:pt idx="1">
                  <c:v>4.2194092827004218E-2</c:v>
                </c:pt>
                <c:pt idx="2">
                  <c:v>0.13502109704641349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30-4773-B515-66745B29528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[A.xlsx]Sheet8!PivotTable16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Role Duration</a:t>
            </a:r>
          </a:p>
        </c:rich>
      </c:tx>
      <c:layout>
        <c:manualLayout>
          <c:xMode val="edge"/>
          <c:yMode val="edge"/>
          <c:x val="0.29855555555555557"/>
          <c:y val="3.962525517643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tx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bg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0624628171478565"/>
          <c:y val="0.16894685039370078"/>
          <c:w val="0.43430818022747159"/>
          <c:h val="0.72384696704578599"/>
        </c:manualLayout>
      </c:layout>
      <c:doughnutChart>
        <c:varyColors val="1"/>
        <c:ser>
          <c:idx val="0"/>
          <c:order val="0"/>
          <c:tx>
            <c:strRef>
              <c:f>Sheet8!$B$39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74-4AC0-823A-8548A491593D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74-4AC0-823A-8548A491593D}"/>
              </c:ext>
            </c:extLst>
          </c:dPt>
          <c:dPt>
            <c:idx val="2"/>
            <c:bubble3D val="0"/>
            <c:spPr>
              <a:solidFill>
                <a:schemeClr val="bg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74-4AC0-823A-8548A491593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Sheet8!$A$40:$A$43</c:f>
              <c:strCache>
                <c:ptCount val="3"/>
                <c:pt idx="0">
                  <c:v>Long(5-10)</c:v>
                </c:pt>
                <c:pt idx="1">
                  <c:v>Short(&lt;=4)</c:v>
                </c:pt>
                <c:pt idx="2">
                  <c:v>Ultra_Long(&gt;10)</c:v>
                </c:pt>
              </c:strCache>
            </c:strRef>
          </c:cat>
          <c:val>
            <c:numRef>
              <c:f>Sheet8!$B$40:$B$43</c:f>
              <c:numCache>
                <c:formatCode>0.00%</c:formatCode>
                <c:ptCount val="3"/>
                <c:pt idx="0">
                  <c:v>0.20675105485232068</c:v>
                </c:pt>
                <c:pt idx="1">
                  <c:v>0.77215189873417722</c:v>
                </c:pt>
                <c:pt idx="2">
                  <c:v>2.1097046413502109E-2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74-4AC0-823A-8548A49159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0</xdr:rowOff>
    </xdr:from>
    <xdr:to>
      <xdr:col>8</xdr:col>
      <xdr:colOff>276225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85815-B328-4873-A345-E91571425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304799</xdr:colOff>
      <xdr:row>2</xdr:row>
      <xdr:rowOff>1</xdr:rowOff>
    </xdr:from>
    <xdr:to>
      <xdr:col>15</xdr:col>
      <xdr:colOff>257174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BADF6-92A7-416A-8655-7DC1B2C3B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15</xdr:row>
      <xdr:rowOff>142875</xdr:rowOff>
    </xdr:from>
    <xdr:to>
      <xdr:col>8</xdr:col>
      <xdr:colOff>266700</xdr:colOff>
      <xdr:row>29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59715-1657-4EB2-9F48-4FAD65093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295275</xdr:colOff>
      <xdr:row>15</xdr:row>
      <xdr:rowOff>171450</xdr:rowOff>
    </xdr:from>
    <xdr:to>
      <xdr:col>15</xdr:col>
      <xdr:colOff>247650</xdr:colOff>
      <xdr:row>30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58F765-98B2-4AF9-883B-F08EE167A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266699</xdr:colOff>
      <xdr:row>1</xdr:row>
      <xdr:rowOff>180975</xdr:rowOff>
    </xdr:from>
    <xdr:to>
      <xdr:col>22</xdr:col>
      <xdr:colOff>295274</xdr:colOff>
      <xdr:row>15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3727F2-D079-4FBF-B242-84A334348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504825</xdr:colOff>
      <xdr:row>30</xdr:row>
      <xdr:rowOff>38100</xdr:rowOff>
    </xdr:from>
    <xdr:to>
      <xdr:col>11</xdr:col>
      <xdr:colOff>485775</xdr:colOff>
      <xdr:row>44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004B98-256A-4ED6-8828-9FB1D4BBE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285750</xdr:colOff>
      <xdr:row>15</xdr:row>
      <xdr:rowOff>152400</xdr:rowOff>
    </xdr:from>
    <xdr:to>
      <xdr:col>22</xdr:col>
      <xdr:colOff>323850</xdr:colOff>
      <xdr:row>30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7660C8-4127-40AC-860D-755F0606B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504825</xdr:colOff>
      <xdr:row>30</xdr:row>
      <xdr:rowOff>28575</xdr:rowOff>
    </xdr:from>
    <xdr:to>
      <xdr:col>19</xdr:col>
      <xdr:colOff>200025</xdr:colOff>
      <xdr:row>44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26FDD6-3657-4B28-AC9A-9E1F1B271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8.531180555554" createdVersion="8" refreshedVersion="8" minRefreshableVersion="3" recordCount="1470" xr:uid="{C702E0E1-7A0A-4277-88F8-27ABA510E183}">
  <cacheSource type="worksheet">
    <worksheetSource name="At"/>
  </cacheSource>
  <cacheFields count="32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ge_Category" numFmtId="0">
      <sharedItems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Distance_Category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Environment_Satisfaction_Category" numFmtId="0">
      <sharedItems/>
    </cacheField>
    <cacheField name="Gender" numFmtId="0">
      <sharedItems count="2">
        <s v="F"/>
        <s v="M"/>
      </sharedItems>
    </cacheField>
    <cacheField name="JobInvolvement" numFmtId="0">
      <sharedItems containsSemiMixedTypes="0" containsString="0" containsNumber="1" containsInteger="1" minValue="1" maxValue="4"/>
    </cacheField>
    <cacheField name="Involvment_Level" numFmtId="0">
      <sharedItems/>
    </cacheField>
    <cacheField name="JobLevel" numFmtId="0">
      <sharedItems containsSemiMixedTypes="0" containsString="0" containsNumber="1" containsInteger="1" minValue="1" maxValue="5"/>
    </cacheField>
    <cacheField name="Job_Level_Index" numFmtId="0">
      <sharedItems count="3">
        <s v="Basic(&lt;=2)"/>
        <s v="Mid(=3)"/>
        <s v="High(&gt;=4)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Job_Satisfaction_Category" numFmtId="0">
      <sharedItems/>
    </cacheField>
    <cacheField name="MaritalStatus" numFmtId="0">
      <sharedItems count="3">
        <s v="Single"/>
        <s v="Married"/>
        <s v="Divorced"/>
      </sharedItems>
    </cacheField>
    <cacheField name="NumCompaniesWorked" numFmtId="0">
      <sharedItems containsSemiMixedTypes="0" containsString="0" containsNumber="1" containsInteger="1" minValue="0" maxValue="9"/>
    </cacheField>
    <cacheField name="OverNight" numFmtId="0">
      <sharedItems/>
    </cacheField>
    <cacheField name="OverTime" numFmtId="0">
      <sharedItems count="2">
        <s v="Y"/>
        <s v="N"/>
      </sharedItems>
    </cacheField>
    <cacheField name="PercentSalaryHike" numFmtId="0">
      <sharedItems containsSemiMixedTypes="0" containsString="0" containsNumber="1" containsInteger="1" minValue="11" maxValue="25"/>
    </cacheField>
    <cacheField name="Salary_Hike" numFmtId="0">
      <sharedItems count="2">
        <s v="Poor_Hike(&lt;20)"/>
        <s v="Good_Hike(&gt;=20)"/>
      </sharedItems>
    </cacheField>
    <cacheField name="TotalWorkingYears" numFmtId="0">
      <sharedItems containsSemiMixedTypes="0" containsString="0" containsNumber="1" containsInteger="1" minValue="0" maxValue="40"/>
    </cacheField>
    <cacheField name="WorkLifeBalance" numFmtId="0">
      <sharedItems containsSemiMixedTypes="0" containsString="0" containsNumber="1" containsInteger="1" minValue="1" maxValue="4"/>
    </cacheField>
    <cacheField name="Work_Balance_Category" numFmtId="0">
      <sharedItems/>
    </cacheField>
    <cacheField name="YearsAtCompany" numFmtId="0">
      <sharedItems containsSemiMixedTypes="0" containsString="0" containsNumber="1" containsInteger="1" minValue="0" maxValue="40"/>
    </cacheField>
    <cacheField name="Company_Career_Duration" numFmtId="0">
      <sharedItems/>
    </cacheField>
    <cacheField name="YearsInCurrentRole" numFmtId="0">
      <sharedItems containsSemiMixedTypes="0" containsString="0" containsNumber="1" containsInteger="1" minValue="0" maxValue="18"/>
    </cacheField>
    <cacheField name="Role_Duration" numFmtId="0">
      <sharedItems count="3">
        <s v="Short(&lt;=4)"/>
        <s v="Long(5-10)"/>
        <s v="Ultra_Long(&gt;10)"/>
      </sharedItems>
    </cacheField>
    <cacheField name="YearsSinceLastPromotion" numFmtId="0">
      <sharedItems containsSemiMixedTypes="0" containsString="0" containsNumber="1" containsInteger="1" minValue="0" maxValue="15"/>
    </cacheField>
    <cacheField name="Promotion_Frequenc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Middle_Age(30-50)"/>
    <x v="0"/>
    <s v="Rarely"/>
    <s v="Sales"/>
    <n v="1"/>
    <s v="Nearby(&lt;=5)"/>
    <n v="2"/>
    <s v="Not_Satisfied(&lt;3)"/>
    <x v="0"/>
    <n v="3"/>
    <s v="Medium"/>
    <n v="2"/>
    <x v="0"/>
    <x v="0"/>
    <n v="4"/>
    <s v="Satisfied(&gt;=3)"/>
    <x v="0"/>
    <n v="8"/>
    <s v="Y"/>
    <x v="0"/>
    <n v="11"/>
    <x v="0"/>
    <n v="8"/>
    <n v="1"/>
    <s v="Poor(&lt;=2)"/>
    <n v="6"/>
    <s v="Long(5-10)"/>
    <n v="4"/>
    <x v="0"/>
    <n v="0"/>
    <s v="Reasonable(&lt;=3)"/>
  </r>
  <r>
    <x v="1"/>
    <s v="Middle_Age(30-50)"/>
    <x v="1"/>
    <s v="Frequently"/>
    <s v="Research &amp; Development"/>
    <n v="8"/>
    <s v="Middistance(6-14)"/>
    <n v="3"/>
    <s v="Satisfied(&gt;=3)"/>
    <x v="1"/>
    <n v="2"/>
    <s v="Low"/>
    <n v="2"/>
    <x v="0"/>
    <x v="1"/>
    <n v="2"/>
    <s v="Not_Satisfied(&lt;=2)"/>
    <x v="1"/>
    <n v="1"/>
    <s v="Y"/>
    <x v="1"/>
    <n v="23"/>
    <x v="1"/>
    <n v="10"/>
    <n v="3"/>
    <s v="Good(&gt;=3)"/>
    <n v="10"/>
    <s v="Long(5-10)"/>
    <n v="7"/>
    <x v="1"/>
    <n v="1"/>
    <s v="Reasonable(&lt;=3)"/>
  </r>
  <r>
    <x v="2"/>
    <s v="Middle_Age(30-50)"/>
    <x v="0"/>
    <s v="Rarely"/>
    <s v="Research &amp; Development"/>
    <n v="2"/>
    <s v="Nearby(&lt;=5)"/>
    <n v="4"/>
    <s v="Satisfied(&gt;=3)"/>
    <x v="1"/>
    <n v="2"/>
    <s v="Low"/>
    <n v="1"/>
    <x v="0"/>
    <x v="2"/>
    <n v="3"/>
    <s v="Satisfied(&gt;=3)"/>
    <x v="0"/>
    <n v="6"/>
    <s v="Y"/>
    <x v="0"/>
    <n v="15"/>
    <x v="0"/>
    <n v="7"/>
    <n v="3"/>
    <s v="Good(&gt;=3)"/>
    <n v="0"/>
    <s v="Short(&lt;=4)"/>
    <n v="0"/>
    <x v="0"/>
    <n v="0"/>
    <s v="Reasonable(&lt;=3)"/>
  </r>
  <r>
    <x v="3"/>
    <s v="Middle_Age(30-50)"/>
    <x v="1"/>
    <s v="Frequently"/>
    <s v="Research &amp; Development"/>
    <n v="3"/>
    <s v="Nearby(&lt;=5)"/>
    <n v="4"/>
    <s v="Satisfied(&gt;=3)"/>
    <x v="0"/>
    <n v="3"/>
    <s v="Medium"/>
    <n v="1"/>
    <x v="0"/>
    <x v="1"/>
    <n v="3"/>
    <s v="Satisfied(&gt;=3)"/>
    <x v="1"/>
    <n v="1"/>
    <s v="Y"/>
    <x v="0"/>
    <n v="11"/>
    <x v="0"/>
    <n v="8"/>
    <n v="3"/>
    <s v="Good(&gt;=3)"/>
    <n v="8"/>
    <s v="Long(5-10)"/>
    <n v="7"/>
    <x v="1"/>
    <n v="3"/>
    <s v="Reasonable(&lt;=3)"/>
  </r>
  <r>
    <x v="4"/>
    <s v="Young(&lt;=29)"/>
    <x v="1"/>
    <s v="Rarely"/>
    <s v="Research &amp; Development"/>
    <n v="2"/>
    <s v="Nearby(&lt;=5)"/>
    <n v="1"/>
    <s v="Not_Satisfied(&lt;3)"/>
    <x v="1"/>
    <n v="3"/>
    <s v="Medium"/>
    <n v="1"/>
    <x v="0"/>
    <x v="2"/>
    <n v="2"/>
    <s v="Not_Satisfied(&lt;=2)"/>
    <x v="1"/>
    <n v="9"/>
    <s v="Y"/>
    <x v="1"/>
    <n v="12"/>
    <x v="0"/>
    <n v="6"/>
    <n v="3"/>
    <s v="Good(&gt;=3)"/>
    <n v="2"/>
    <s v="Short(&lt;=4)"/>
    <n v="2"/>
    <x v="0"/>
    <n v="2"/>
    <s v="Reasonable(&lt;=3)"/>
  </r>
  <r>
    <x v="5"/>
    <s v="Middle_Age(30-50)"/>
    <x v="1"/>
    <s v="Frequently"/>
    <s v="Research &amp; Development"/>
    <n v="2"/>
    <s v="Nearby(&lt;=5)"/>
    <n v="4"/>
    <s v="Satisfied(&gt;=3)"/>
    <x v="1"/>
    <n v="3"/>
    <s v="Medium"/>
    <n v="1"/>
    <x v="0"/>
    <x v="2"/>
    <n v="4"/>
    <s v="Satisfied(&gt;=3)"/>
    <x v="0"/>
    <n v="0"/>
    <s v="Y"/>
    <x v="1"/>
    <n v="13"/>
    <x v="0"/>
    <n v="8"/>
    <n v="2"/>
    <s v="Poor(&lt;=2)"/>
    <n v="7"/>
    <s v="Long(5-10)"/>
    <n v="7"/>
    <x v="1"/>
    <n v="3"/>
    <s v="Reasonable(&lt;=3)"/>
  </r>
  <r>
    <x v="6"/>
    <s v="Old(&gt;50)"/>
    <x v="1"/>
    <s v="Rarely"/>
    <s v="Research &amp; Development"/>
    <n v="3"/>
    <s v="Nearby(&lt;=5)"/>
    <n v="3"/>
    <s v="Satisfied(&gt;=3)"/>
    <x v="0"/>
    <n v="4"/>
    <s v="High"/>
    <n v="1"/>
    <x v="0"/>
    <x v="2"/>
    <n v="1"/>
    <s v="Not_Satisfied(&lt;=2)"/>
    <x v="1"/>
    <n v="4"/>
    <s v="Y"/>
    <x v="0"/>
    <n v="20"/>
    <x v="1"/>
    <n v="12"/>
    <n v="2"/>
    <s v="Poor(&lt;=2)"/>
    <n v="1"/>
    <s v="Short(&lt;=4)"/>
    <n v="0"/>
    <x v="0"/>
    <n v="0"/>
    <s v="Reasonable(&lt;=3)"/>
  </r>
  <r>
    <x v="7"/>
    <s v="Middle_Age(30-50)"/>
    <x v="1"/>
    <s v="Rarely"/>
    <s v="Research &amp; Development"/>
    <n v="24"/>
    <s v="Far(&gt;=15)"/>
    <n v="4"/>
    <s v="Satisfied(&gt;=3)"/>
    <x v="1"/>
    <n v="3"/>
    <s v="Medium"/>
    <n v="1"/>
    <x v="0"/>
    <x v="2"/>
    <n v="3"/>
    <s v="Satisfied(&gt;=3)"/>
    <x v="2"/>
    <n v="1"/>
    <s v="Y"/>
    <x v="1"/>
    <n v="22"/>
    <x v="1"/>
    <n v="1"/>
    <n v="3"/>
    <s v="Good(&gt;=3)"/>
    <n v="1"/>
    <s v="Short(&lt;=4)"/>
    <n v="0"/>
    <x v="0"/>
    <n v="0"/>
    <s v="Reasonable(&lt;=3)"/>
  </r>
  <r>
    <x v="8"/>
    <s v="Middle_Age(30-50)"/>
    <x v="1"/>
    <s v="Frequently"/>
    <s v="Research &amp; Development"/>
    <n v="23"/>
    <s v="Far(&gt;=15)"/>
    <n v="4"/>
    <s v="Satisfied(&gt;=3)"/>
    <x v="1"/>
    <n v="2"/>
    <s v="Low"/>
    <n v="3"/>
    <x v="1"/>
    <x v="3"/>
    <n v="3"/>
    <s v="Satisfied(&gt;=3)"/>
    <x v="0"/>
    <n v="0"/>
    <s v="Y"/>
    <x v="1"/>
    <n v="21"/>
    <x v="1"/>
    <n v="10"/>
    <n v="3"/>
    <s v="Good(&gt;=3)"/>
    <n v="9"/>
    <s v="Long(5-10)"/>
    <n v="7"/>
    <x v="1"/>
    <n v="1"/>
    <s v="Reasonable(&lt;=3)"/>
  </r>
  <r>
    <x v="9"/>
    <s v="Middle_Age(30-50)"/>
    <x v="1"/>
    <s v="Rarely"/>
    <s v="Research &amp; Development"/>
    <n v="27"/>
    <s v="Far(&gt;=15)"/>
    <n v="3"/>
    <s v="Satisfied(&gt;=3)"/>
    <x v="1"/>
    <n v="3"/>
    <s v="Medium"/>
    <n v="2"/>
    <x v="0"/>
    <x v="4"/>
    <n v="3"/>
    <s v="Satisfied(&gt;=3)"/>
    <x v="1"/>
    <n v="6"/>
    <s v="Y"/>
    <x v="1"/>
    <n v="13"/>
    <x v="0"/>
    <n v="17"/>
    <n v="2"/>
    <s v="Poor(&lt;=2)"/>
    <n v="7"/>
    <s v="Long(5-10)"/>
    <n v="7"/>
    <x v="1"/>
    <n v="7"/>
    <s v="Not_Reasonable(&gt;3)"/>
  </r>
  <r>
    <x v="10"/>
    <s v="Middle_Age(30-50)"/>
    <x v="1"/>
    <s v="Rarely"/>
    <s v="Research &amp; Development"/>
    <n v="16"/>
    <s v="Far(&gt;=15)"/>
    <n v="1"/>
    <s v="Not_Satisfied(&lt;3)"/>
    <x v="1"/>
    <n v="4"/>
    <s v="High"/>
    <n v="1"/>
    <x v="0"/>
    <x v="2"/>
    <n v="2"/>
    <s v="Not_Satisfied(&lt;=2)"/>
    <x v="1"/>
    <n v="0"/>
    <s v="Y"/>
    <x v="1"/>
    <n v="13"/>
    <x v="0"/>
    <n v="6"/>
    <n v="3"/>
    <s v="Good(&gt;=3)"/>
    <n v="5"/>
    <s v="Long(5-10)"/>
    <n v="4"/>
    <x v="0"/>
    <n v="0"/>
    <s v="Reasonable(&lt;=3)"/>
  </r>
  <r>
    <x v="11"/>
    <s v="Young(&lt;=29)"/>
    <x v="1"/>
    <s v="Rarely"/>
    <s v="Research &amp; Development"/>
    <n v="15"/>
    <s v="Far(&gt;=15)"/>
    <n v="4"/>
    <s v="Satisfied(&gt;=3)"/>
    <x v="0"/>
    <n v="2"/>
    <s v="Low"/>
    <n v="2"/>
    <x v="0"/>
    <x v="2"/>
    <n v="3"/>
    <s v="Satisfied(&gt;=3)"/>
    <x v="0"/>
    <n v="0"/>
    <s v="Y"/>
    <x v="0"/>
    <n v="12"/>
    <x v="0"/>
    <n v="10"/>
    <n v="3"/>
    <s v="Good(&gt;=3)"/>
    <n v="9"/>
    <s v="Long(5-10)"/>
    <n v="5"/>
    <x v="1"/>
    <n v="0"/>
    <s v="Reasonable(&lt;=3)"/>
  </r>
  <r>
    <x v="12"/>
    <s v="Middle_Age(30-50)"/>
    <x v="1"/>
    <s v="Rarely"/>
    <s v="Research &amp; Development"/>
    <n v="26"/>
    <s v="Far(&gt;=15)"/>
    <n v="1"/>
    <s v="Not_Satisfied(&lt;3)"/>
    <x v="1"/>
    <n v="3"/>
    <s v="Medium"/>
    <n v="1"/>
    <x v="0"/>
    <x v="1"/>
    <n v="3"/>
    <s v="Satisfied(&gt;=3)"/>
    <x v="2"/>
    <n v="1"/>
    <s v="Y"/>
    <x v="1"/>
    <n v="17"/>
    <x v="0"/>
    <n v="5"/>
    <n v="2"/>
    <s v="Poor(&lt;=2)"/>
    <n v="5"/>
    <s v="Long(5-10)"/>
    <n v="2"/>
    <x v="0"/>
    <n v="4"/>
    <s v="Not_Reasonable(&gt;3)"/>
  </r>
  <r>
    <x v="13"/>
    <s v="Middle_Age(30-50)"/>
    <x v="1"/>
    <s v="Rarely"/>
    <s v="Research &amp; Development"/>
    <n v="19"/>
    <s v="Far(&gt;=15)"/>
    <n v="2"/>
    <s v="Not_Satisfied(&lt;3)"/>
    <x v="1"/>
    <n v="3"/>
    <s v="Medium"/>
    <n v="1"/>
    <x v="0"/>
    <x v="2"/>
    <n v="4"/>
    <s v="Satisfied(&gt;=3)"/>
    <x v="2"/>
    <n v="0"/>
    <s v="Y"/>
    <x v="1"/>
    <n v="11"/>
    <x v="0"/>
    <n v="3"/>
    <n v="3"/>
    <s v="Good(&gt;=3)"/>
    <n v="2"/>
    <s v="Short(&lt;=4)"/>
    <n v="2"/>
    <x v="0"/>
    <n v="1"/>
    <s v="Reasonable(&lt;=3)"/>
  </r>
  <r>
    <x v="14"/>
    <s v="Young(&lt;=29)"/>
    <x v="0"/>
    <s v="Rarely"/>
    <s v="Research &amp; Development"/>
    <n v="24"/>
    <s v="Far(&gt;=15)"/>
    <n v="3"/>
    <s v="Satisfied(&gt;=3)"/>
    <x v="1"/>
    <n v="2"/>
    <s v="Low"/>
    <n v="1"/>
    <x v="0"/>
    <x v="2"/>
    <n v="3"/>
    <s v="Satisfied(&gt;=3)"/>
    <x v="0"/>
    <n v="5"/>
    <s v="Y"/>
    <x v="0"/>
    <n v="14"/>
    <x v="0"/>
    <n v="6"/>
    <n v="3"/>
    <s v="Good(&gt;=3)"/>
    <n v="4"/>
    <s v="Short(&lt;=4)"/>
    <n v="2"/>
    <x v="0"/>
    <n v="0"/>
    <s v="Reasonable(&lt;=3)"/>
  </r>
  <r>
    <x v="11"/>
    <s v="Young(&lt;=29)"/>
    <x v="1"/>
    <s v="Rarely"/>
    <s v="Research &amp; Development"/>
    <n v="21"/>
    <s v="Far(&gt;=15)"/>
    <n v="2"/>
    <s v="Not_Satisfied(&lt;3)"/>
    <x v="0"/>
    <n v="4"/>
    <s v="High"/>
    <n v="3"/>
    <x v="1"/>
    <x v="3"/>
    <n v="1"/>
    <s v="Not_Satisfied(&lt;=2)"/>
    <x v="2"/>
    <n v="1"/>
    <s v="Y"/>
    <x v="1"/>
    <n v="11"/>
    <x v="0"/>
    <n v="10"/>
    <n v="3"/>
    <s v="Good(&gt;=3)"/>
    <n v="10"/>
    <s v="Long(5-10)"/>
    <n v="9"/>
    <x v="1"/>
    <n v="8"/>
    <s v="Not_Reasonable(&gt;3)"/>
  </r>
  <r>
    <x v="5"/>
    <s v="Middle_Age(30-50)"/>
    <x v="1"/>
    <s v="Rarely"/>
    <s v="Research &amp; Development"/>
    <n v="5"/>
    <s v="Nearby(&lt;=5)"/>
    <n v="1"/>
    <s v="Not_Satisfied(&lt;3)"/>
    <x v="1"/>
    <n v="4"/>
    <s v="High"/>
    <n v="1"/>
    <x v="0"/>
    <x v="1"/>
    <n v="2"/>
    <s v="Not_Satisfied(&lt;=2)"/>
    <x v="2"/>
    <n v="0"/>
    <s v="Y"/>
    <x v="0"/>
    <n v="12"/>
    <x v="0"/>
    <n v="7"/>
    <n v="2"/>
    <s v="Poor(&lt;=2)"/>
    <n v="6"/>
    <s v="Long(5-10)"/>
    <n v="2"/>
    <x v="0"/>
    <n v="0"/>
    <s v="Reasonable(&lt;=3)"/>
  </r>
  <r>
    <x v="15"/>
    <s v="Young(&lt;=29)"/>
    <x v="1"/>
    <s v="Rarely"/>
    <s v="Research &amp; Development"/>
    <n v="16"/>
    <s v="Far(&gt;=15)"/>
    <n v="4"/>
    <s v="Satisfied(&gt;=3)"/>
    <x v="1"/>
    <n v="4"/>
    <s v="High"/>
    <n v="1"/>
    <x v="0"/>
    <x v="2"/>
    <n v="4"/>
    <s v="Satisfied(&gt;=3)"/>
    <x v="2"/>
    <n v="1"/>
    <s v="Y"/>
    <x v="0"/>
    <n v="13"/>
    <x v="0"/>
    <n v="1"/>
    <n v="2"/>
    <s v="Poor(&lt;=2)"/>
    <n v="1"/>
    <s v="Short(&lt;=4)"/>
    <n v="0"/>
    <x v="0"/>
    <n v="0"/>
    <s v="Reasonable(&lt;=3)"/>
  </r>
  <r>
    <x v="16"/>
    <s v="Old(&gt;50)"/>
    <x v="1"/>
    <s v="Rarely"/>
    <s v="Sales"/>
    <n v="2"/>
    <s v="Nearby(&lt;=5)"/>
    <n v="1"/>
    <s v="Not_Satisfied(&lt;3)"/>
    <x v="0"/>
    <n v="2"/>
    <s v="Low"/>
    <n v="4"/>
    <x v="2"/>
    <x v="5"/>
    <n v="4"/>
    <s v="Satisfied(&gt;=3)"/>
    <x v="1"/>
    <n v="2"/>
    <s v="Y"/>
    <x v="1"/>
    <n v="16"/>
    <x v="0"/>
    <n v="31"/>
    <n v="3"/>
    <s v="Good(&gt;=3)"/>
    <n v="25"/>
    <s v="Ultra_Long(&gt;10)"/>
    <n v="8"/>
    <x v="1"/>
    <n v="3"/>
    <s v="Reasonable(&lt;=3)"/>
  </r>
  <r>
    <x v="8"/>
    <s v="Middle_Age(30-50)"/>
    <x v="1"/>
    <s v="Rarely"/>
    <s v="Research &amp; Development"/>
    <n v="2"/>
    <s v="Nearby(&lt;=5)"/>
    <n v="4"/>
    <s v="Satisfied(&gt;=3)"/>
    <x v="1"/>
    <n v="3"/>
    <s v="Medium"/>
    <n v="1"/>
    <x v="0"/>
    <x v="1"/>
    <n v="4"/>
    <s v="Satisfied(&gt;=3)"/>
    <x v="0"/>
    <n v="5"/>
    <s v="Y"/>
    <x v="0"/>
    <n v="11"/>
    <x v="0"/>
    <n v="6"/>
    <n v="3"/>
    <s v="Good(&gt;=3)"/>
    <n v="3"/>
    <s v="Short(&lt;=4)"/>
    <n v="2"/>
    <x v="0"/>
    <n v="1"/>
    <s v="Reasonable(&lt;=3)"/>
  </r>
  <r>
    <x v="17"/>
    <s v="Young(&lt;=29)"/>
    <x v="1"/>
    <s v="Rarely"/>
    <s v="Research &amp; Development"/>
    <n v="11"/>
    <s v="Middistance(6-14)"/>
    <n v="1"/>
    <s v="Not_Satisfied(&lt;3)"/>
    <x v="0"/>
    <n v="4"/>
    <s v="High"/>
    <n v="2"/>
    <x v="0"/>
    <x v="3"/>
    <n v="3"/>
    <s v="Satisfied(&gt;=3)"/>
    <x v="2"/>
    <n v="0"/>
    <s v="Y"/>
    <x v="1"/>
    <n v="18"/>
    <x v="0"/>
    <n v="5"/>
    <n v="2"/>
    <s v="Poor(&lt;=2)"/>
    <n v="4"/>
    <s v="Short(&lt;=4)"/>
    <n v="2"/>
    <x v="0"/>
    <n v="1"/>
    <s v="Reasonable(&lt;=3)"/>
  </r>
  <r>
    <x v="9"/>
    <s v="Middle_Age(30-50)"/>
    <x v="0"/>
    <s v="Rarely"/>
    <s v="Sales"/>
    <n v="9"/>
    <s v="Middistance(6-14)"/>
    <n v="3"/>
    <s v="Satisfied(&gt;=3)"/>
    <x v="1"/>
    <n v="2"/>
    <s v="Low"/>
    <n v="1"/>
    <x v="0"/>
    <x v="6"/>
    <n v="1"/>
    <s v="Not_Satisfied(&lt;=2)"/>
    <x v="0"/>
    <n v="7"/>
    <s v="Y"/>
    <x v="1"/>
    <n v="23"/>
    <x v="1"/>
    <n v="10"/>
    <n v="3"/>
    <s v="Good(&gt;=3)"/>
    <n v="5"/>
    <s v="Long(5-10)"/>
    <n v="3"/>
    <x v="0"/>
    <n v="0"/>
    <s v="Reasonable(&lt;=3)"/>
  </r>
  <r>
    <x v="13"/>
    <s v="Middle_Age(30-50)"/>
    <x v="1"/>
    <s v="Rarely"/>
    <s v="Research &amp; Development"/>
    <n v="7"/>
    <s v="Middistance(6-14)"/>
    <n v="1"/>
    <s v="Not_Satisfied(&lt;3)"/>
    <x v="0"/>
    <n v="3"/>
    <s v="Medium"/>
    <n v="3"/>
    <x v="1"/>
    <x v="7"/>
    <n v="2"/>
    <s v="Not_Satisfied(&lt;=2)"/>
    <x v="0"/>
    <n v="0"/>
    <s v="Y"/>
    <x v="1"/>
    <n v="11"/>
    <x v="0"/>
    <n v="13"/>
    <n v="3"/>
    <s v="Good(&gt;=3)"/>
    <n v="12"/>
    <s v="Ultra_Long(&gt;10)"/>
    <n v="6"/>
    <x v="1"/>
    <n v="2"/>
    <s v="Reasonable(&lt;=3)"/>
  </r>
  <r>
    <x v="18"/>
    <s v="Young(&lt;=29)"/>
    <x v="1"/>
    <s v="Rarely"/>
    <s v="Research &amp; Development"/>
    <n v="15"/>
    <s v="Far(&gt;=15)"/>
    <n v="3"/>
    <s v="Satisfied(&gt;=3)"/>
    <x v="1"/>
    <n v="3"/>
    <s v="Medium"/>
    <n v="1"/>
    <x v="0"/>
    <x v="1"/>
    <n v="4"/>
    <s v="Satisfied(&gt;=3)"/>
    <x v="0"/>
    <n v="1"/>
    <s v="Y"/>
    <x v="1"/>
    <n v="14"/>
    <x v="0"/>
    <n v="0"/>
    <n v="3"/>
    <s v="Good(&gt;=3)"/>
    <n v="0"/>
    <s v="Short(&lt;=4)"/>
    <n v="0"/>
    <x v="0"/>
    <n v="0"/>
    <s v="Reasonable(&lt;=3)"/>
  </r>
  <r>
    <x v="13"/>
    <s v="Middle_Age(30-50)"/>
    <x v="0"/>
    <s v="Rarely"/>
    <s v="Research &amp; Development"/>
    <n v="6"/>
    <s v="Middistance(6-14)"/>
    <n v="2"/>
    <s v="Not_Satisfied(&lt;3)"/>
    <x v="1"/>
    <n v="3"/>
    <s v="Medium"/>
    <n v="1"/>
    <x v="0"/>
    <x v="1"/>
    <n v="1"/>
    <s v="Not_Satisfied(&lt;=2)"/>
    <x v="0"/>
    <n v="2"/>
    <s v="Y"/>
    <x v="1"/>
    <n v="11"/>
    <x v="0"/>
    <n v="8"/>
    <n v="3"/>
    <s v="Good(&gt;=3)"/>
    <n v="4"/>
    <s v="Short(&lt;=4)"/>
    <n v="2"/>
    <x v="0"/>
    <n v="1"/>
    <s v="Reasonable(&lt;=3)"/>
  </r>
  <r>
    <x v="16"/>
    <s v="Old(&gt;50)"/>
    <x v="1"/>
    <s v="Rarely"/>
    <s v="Research &amp; Development"/>
    <n v="5"/>
    <s v="Nearby(&lt;=5)"/>
    <n v="3"/>
    <s v="Satisfied(&gt;=3)"/>
    <x v="0"/>
    <n v="3"/>
    <s v="Medium"/>
    <n v="5"/>
    <x v="2"/>
    <x v="5"/>
    <n v="3"/>
    <s v="Satisfied(&gt;=3)"/>
    <x v="2"/>
    <n v="4"/>
    <s v="Y"/>
    <x v="1"/>
    <n v="11"/>
    <x v="0"/>
    <n v="26"/>
    <n v="2"/>
    <s v="Poor(&lt;=2)"/>
    <n v="14"/>
    <s v="Ultra_Long(&gt;10)"/>
    <n v="13"/>
    <x v="2"/>
    <n v="4"/>
    <s v="Not_Reasonable(&gt;3)"/>
  </r>
  <r>
    <x v="5"/>
    <s v="Middle_Age(30-50)"/>
    <x v="0"/>
    <s v="Frequently"/>
    <s v="Research &amp; Development"/>
    <n v="16"/>
    <s v="Far(&gt;=15)"/>
    <n v="2"/>
    <s v="Not_Satisfied(&lt;3)"/>
    <x v="0"/>
    <n v="1"/>
    <s v="Low"/>
    <n v="1"/>
    <x v="0"/>
    <x v="1"/>
    <n v="1"/>
    <s v="Not_Satisfied(&lt;=2)"/>
    <x v="0"/>
    <n v="1"/>
    <s v="Y"/>
    <x v="0"/>
    <n v="22"/>
    <x v="1"/>
    <n v="10"/>
    <n v="3"/>
    <s v="Good(&gt;=3)"/>
    <n v="10"/>
    <s v="Long(5-10)"/>
    <n v="2"/>
    <x v="0"/>
    <n v="6"/>
    <s v="Not_Reasonable(&gt;3)"/>
  </r>
  <r>
    <x v="19"/>
    <s v="Middle_Age(30-50)"/>
    <x v="1"/>
    <s v="Rarely"/>
    <s v="Sales"/>
    <n v="8"/>
    <s v="Middistance(6-14)"/>
    <n v="3"/>
    <s v="Satisfied(&gt;=3)"/>
    <x v="1"/>
    <n v="3"/>
    <s v="Medium"/>
    <n v="2"/>
    <x v="0"/>
    <x v="0"/>
    <n v="2"/>
    <s v="Not_Satisfied(&lt;=2)"/>
    <x v="1"/>
    <n v="0"/>
    <s v="Y"/>
    <x v="1"/>
    <n v="11"/>
    <x v="0"/>
    <n v="10"/>
    <n v="3"/>
    <s v="Good(&gt;=3)"/>
    <n v="9"/>
    <s v="Long(5-10)"/>
    <n v="7"/>
    <x v="1"/>
    <n v="4"/>
    <s v="Not_Reasonable(&gt;3)"/>
  </r>
  <r>
    <x v="20"/>
    <s v="Middle_Age(30-50)"/>
    <x v="1"/>
    <s v="Rarely"/>
    <s v="Research &amp; Development"/>
    <n v="7"/>
    <s v="Middistance(6-14)"/>
    <n v="1"/>
    <s v="Not_Satisfied(&lt;3)"/>
    <x v="0"/>
    <n v="2"/>
    <s v="Low"/>
    <n v="3"/>
    <x v="1"/>
    <x v="4"/>
    <n v="4"/>
    <s v="Satisfied(&gt;=3)"/>
    <x v="1"/>
    <n v="3"/>
    <s v="Y"/>
    <x v="1"/>
    <n v="14"/>
    <x v="0"/>
    <n v="24"/>
    <n v="3"/>
    <s v="Good(&gt;=3)"/>
    <n v="22"/>
    <s v="Ultra_Long(&gt;10)"/>
    <n v="6"/>
    <x v="1"/>
    <n v="5"/>
    <s v="Not_Reasonable(&gt;3)"/>
  </r>
  <r>
    <x v="21"/>
    <s v="Middle_Age(30-50)"/>
    <x v="1"/>
    <s v="Rarely"/>
    <s v="Sales"/>
    <n v="2"/>
    <s v="Nearby(&lt;=5)"/>
    <n v="2"/>
    <s v="Not_Satisfied(&lt;3)"/>
    <x v="0"/>
    <n v="3"/>
    <s v="Medium"/>
    <n v="5"/>
    <x v="2"/>
    <x v="5"/>
    <n v="1"/>
    <s v="Not_Satisfied(&lt;=2)"/>
    <x v="0"/>
    <n v="3"/>
    <s v="Y"/>
    <x v="1"/>
    <n v="12"/>
    <x v="0"/>
    <n v="22"/>
    <n v="2"/>
    <s v="Poor(&lt;=2)"/>
    <n v="2"/>
    <s v="Short(&lt;=4)"/>
    <n v="2"/>
    <x v="0"/>
    <n v="2"/>
    <s v="Reasonable(&lt;=3)"/>
  </r>
  <r>
    <x v="3"/>
    <s v="Middle_Age(30-50)"/>
    <x v="1"/>
    <s v="Rarely"/>
    <s v="Research &amp; Development"/>
    <n v="2"/>
    <s v="Nearby(&lt;=5)"/>
    <n v="3"/>
    <s v="Satisfied(&gt;=3)"/>
    <x v="1"/>
    <n v="3"/>
    <s v="Medium"/>
    <n v="1"/>
    <x v="0"/>
    <x v="2"/>
    <n v="4"/>
    <s v="Satisfied(&gt;=3)"/>
    <x v="0"/>
    <n v="4"/>
    <s v="Y"/>
    <x v="1"/>
    <n v="11"/>
    <x v="0"/>
    <n v="7"/>
    <n v="3"/>
    <s v="Good(&gt;=3)"/>
    <n v="1"/>
    <s v="Short(&lt;=4)"/>
    <n v="1"/>
    <x v="0"/>
    <n v="0"/>
    <s v="Reasonable(&lt;=3)"/>
  </r>
  <r>
    <x v="20"/>
    <s v="Middle_Age(30-50)"/>
    <x v="1"/>
    <s v="Rarely"/>
    <s v="Research &amp; Development"/>
    <n v="10"/>
    <s v="Middistance(6-14)"/>
    <n v="4"/>
    <s v="Satisfied(&gt;=3)"/>
    <x v="1"/>
    <n v="3"/>
    <s v="Medium"/>
    <n v="2"/>
    <x v="0"/>
    <x v="4"/>
    <n v="4"/>
    <s v="Satisfied(&gt;=3)"/>
    <x v="1"/>
    <n v="2"/>
    <s v="Y"/>
    <x v="0"/>
    <n v="13"/>
    <x v="0"/>
    <n v="9"/>
    <n v="4"/>
    <s v="Good(&gt;=3)"/>
    <n v="4"/>
    <s v="Short(&lt;=4)"/>
    <n v="2"/>
    <x v="0"/>
    <n v="1"/>
    <s v="Reasonable(&lt;=3)"/>
  </r>
  <r>
    <x v="7"/>
    <s v="Middle_Age(30-50)"/>
    <x v="1"/>
    <s v="Rarely"/>
    <s v="Research &amp; Development"/>
    <n v="9"/>
    <s v="Middistance(6-14)"/>
    <n v="4"/>
    <s v="Satisfied(&gt;=3)"/>
    <x v="1"/>
    <n v="2"/>
    <s v="Low"/>
    <n v="1"/>
    <x v="0"/>
    <x v="2"/>
    <n v="3"/>
    <s v="Satisfied(&gt;=3)"/>
    <x v="0"/>
    <n v="1"/>
    <s v="Y"/>
    <x v="1"/>
    <n v="13"/>
    <x v="0"/>
    <n v="10"/>
    <n v="3"/>
    <s v="Good(&gt;=3)"/>
    <n v="10"/>
    <s v="Long(5-10)"/>
    <n v="0"/>
    <x v="0"/>
    <n v="1"/>
    <s v="Reasonable(&lt;=3)"/>
  </r>
  <r>
    <x v="22"/>
    <s v="Middle_Age(30-50)"/>
    <x v="0"/>
    <s v="Rarely"/>
    <s v="Sales"/>
    <n v="5"/>
    <s v="Nearby(&lt;=5)"/>
    <n v="4"/>
    <s v="Satisfied(&gt;=3)"/>
    <x v="1"/>
    <n v="3"/>
    <s v="Medium"/>
    <n v="2"/>
    <x v="0"/>
    <x v="6"/>
    <n v="4"/>
    <s v="Satisfied(&gt;=3)"/>
    <x v="1"/>
    <n v="3"/>
    <s v="Y"/>
    <x v="1"/>
    <n v="14"/>
    <x v="0"/>
    <n v="19"/>
    <n v="4"/>
    <s v="Good(&gt;=3)"/>
    <n v="1"/>
    <s v="Short(&lt;=4)"/>
    <n v="0"/>
    <x v="0"/>
    <n v="0"/>
    <s v="Reasonable(&lt;=3)"/>
  </r>
  <r>
    <x v="17"/>
    <s v="Young(&lt;=29)"/>
    <x v="0"/>
    <s v="Rarely"/>
    <s v="Research &amp; Development"/>
    <n v="1"/>
    <s v="Nearby(&lt;=5)"/>
    <n v="2"/>
    <s v="Not_Satisfied(&lt;3)"/>
    <x v="1"/>
    <n v="3"/>
    <s v="Medium"/>
    <n v="1"/>
    <x v="0"/>
    <x v="1"/>
    <n v="4"/>
    <s v="Satisfied(&gt;=3)"/>
    <x v="1"/>
    <n v="2"/>
    <s v="Y"/>
    <x v="0"/>
    <n v="16"/>
    <x v="0"/>
    <n v="6"/>
    <n v="2"/>
    <s v="Poor(&lt;=2)"/>
    <n v="2"/>
    <s v="Short(&lt;=4)"/>
    <n v="0"/>
    <x v="0"/>
    <n v="2"/>
    <s v="Reasonable(&lt;=3)"/>
  </r>
  <r>
    <x v="23"/>
    <s v="Middle_Age(30-50)"/>
    <x v="1"/>
    <s v="Rarely"/>
    <s v="Research &amp; Development"/>
    <n v="2"/>
    <s v="Nearby(&lt;=5)"/>
    <n v="4"/>
    <s v="Satisfied(&gt;=3)"/>
    <x v="0"/>
    <n v="4"/>
    <s v="High"/>
    <n v="1"/>
    <x v="0"/>
    <x v="1"/>
    <n v="3"/>
    <s v="Satisfied(&gt;=3)"/>
    <x v="2"/>
    <n v="1"/>
    <s v="Y"/>
    <x v="1"/>
    <n v="12"/>
    <x v="0"/>
    <n v="6"/>
    <n v="2"/>
    <s v="Poor(&lt;=2)"/>
    <n v="5"/>
    <s v="Long(5-10)"/>
    <n v="3"/>
    <x v="0"/>
    <n v="1"/>
    <s v="Reasonable(&lt;=3)"/>
  </r>
  <r>
    <x v="24"/>
    <s v="Middle_Age(30-50)"/>
    <x v="0"/>
    <s v="Rarely"/>
    <s v="Sales"/>
    <n v="3"/>
    <s v="Nearby(&lt;=5)"/>
    <n v="1"/>
    <s v="Not_Satisfied(&lt;3)"/>
    <x v="1"/>
    <n v="2"/>
    <s v="Low"/>
    <n v="1"/>
    <x v="0"/>
    <x v="6"/>
    <n v="3"/>
    <s v="Satisfied(&gt;=3)"/>
    <x v="1"/>
    <n v="1"/>
    <s v="Y"/>
    <x v="0"/>
    <n v="14"/>
    <x v="0"/>
    <n v="3"/>
    <n v="3"/>
    <s v="Good(&gt;=3)"/>
    <n v="3"/>
    <s v="Short(&lt;=4)"/>
    <n v="2"/>
    <x v="0"/>
    <n v="0"/>
    <s v="Reasonable(&lt;=3)"/>
  </r>
  <r>
    <x v="10"/>
    <s v="Middle_Age(30-50)"/>
    <x v="1"/>
    <s v="Rarely"/>
    <s v="Sales"/>
    <n v="2"/>
    <s v="Nearby(&lt;=5)"/>
    <n v="4"/>
    <s v="Satisfied(&gt;=3)"/>
    <x v="0"/>
    <n v="3"/>
    <s v="Medium"/>
    <n v="1"/>
    <x v="0"/>
    <x v="6"/>
    <n v="4"/>
    <s v="Satisfied(&gt;=3)"/>
    <x v="1"/>
    <n v="1"/>
    <s v="Y"/>
    <x v="1"/>
    <n v="13"/>
    <x v="0"/>
    <n v="2"/>
    <n v="3"/>
    <s v="Good(&gt;=3)"/>
    <n v="2"/>
    <s v="Short(&lt;=4)"/>
    <n v="2"/>
    <x v="0"/>
    <n v="2"/>
    <s v="Reasonable(&lt;=3)"/>
  </r>
  <r>
    <x v="9"/>
    <s v="Middle_Age(30-50)"/>
    <x v="1"/>
    <s v="Rarely"/>
    <s v="Research &amp; Development"/>
    <n v="5"/>
    <s v="Nearby(&lt;=5)"/>
    <n v="2"/>
    <s v="Not_Satisfied(&lt;3)"/>
    <x v="0"/>
    <n v="2"/>
    <s v="Low"/>
    <n v="1"/>
    <x v="0"/>
    <x v="1"/>
    <n v="1"/>
    <s v="Not_Satisfied(&lt;=2)"/>
    <x v="1"/>
    <n v="9"/>
    <s v="Y"/>
    <x v="0"/>
    <n v="14"/>
    <x v="0"/>
    <n v="6"/>
    <n v="4"/>
    <s v="Good(&gt;=3)"/>
    <n v="1"/>
    <s v="Short(&lt;=4)"/>
    <n v="1"/>
    <x v="0"/>
    <n v="0"/>
    <s v="Reasonable(&lt;=3)"/>
  </r>
  <r>
    <x v="3"/>
    <s v="Middle_Age(30-50)"/>
    <x v="1"/>
    <s v="Frequently"/>
    <s v="Sales"/>
    <n v="1"/>
    <s v="Nearby(&lt;=5)"/>
    <n v="3"/>
    <s v="Satisfied(&gt;=3)"/>
    <x v="0"/>
    <n v="4"/>
    <s v="High"/>
    <n v="2"/>
    <x v="0"/>
    <x v="0"/>
    <n v="1"/>
    <s v="Not_Satisfied(&lt;=2)"/>
    <x v="1"/>
    <n v="2"/>
    <s v="Y"/>
    <x v="1"/>
    <n v="19"/>
    <x v="0"/>
    <n v="10"/>
    <n v="3"/>
    <s v="Good(&gt;=3)"/>
    <n v="5"/>
    <s v="Long(5-10)"/>
    <n v="3"/>
    <x v="0"/>
    <n v="1"/>
    <s v="Reasonable(&lt;=3)"/>
  </r>
  <r>
    <x v="10"/>
    <s v="Middle_Age(30-50)"/>
    <x v="1"/>
    <s v="Rarely"/>
    <s v="Research &amp; Development"/>
    <n v="4"/>
    <s v="Nearby(&lt;=5)"/>
    <n v="3"/>
    <s v="Satisfied(&gt;=3)"/>
    <x v="1"/>
    <n v="3"/>
    <s v="Medium"/>
    <n v="1"/>
    <x v="0"/>
    <x v="2"/>
    <n v="4"/>
    <s v="Satisfied(&gt;=3)"/>
    <x v="2"/>
    <n v="1"/>
    <s v="Y"/>
    <x v="1"/>
    <n v="12"/>
    <x v="0"/>
    <n v="1"/>
    <n v="3"/>
    <s v="Good(&gt;=3)"/>
    <n v="1"/>
    <s v="Short(&lt;=4)"/>
    <n v="0"/>
    <x v="0"/>
    <n v="0"/>
    <s v="Reasonable(&lt;=3)"/>
  </r>
  <r>
    <x v="4"/>
    <s v="Young(&lt;=29)"/>
    <x v="1"/>
    <s v="Rarely"/>
    <s v="Research &amp; Development"/>
    <n v="2"/>
    <s v="Nearby(&lt;=5)"/>
    <n v="4"/>
    <s v="Satisfied(&gt;=3)"/>
    <x v="0"/>
    <n v="3"/>
    <s v="Medium"/>
    <n v="1"/>
    <x v="0"/>
    <x v="2"/>
    <n v="1"/>
    <s v="Not_Satisfied(&lt;=2)"/>
    <x v="2"/>
    <n v="1"/>
    <s v="Y"/>
    <x v="1"/>
    <n v="13"/>
    <x v="0"/>
    <n v="1"/>
    <n v="3"/>
    <s v="Good(&gt;=3)"/>
    <n v="1"/>
    <s v="Short(&lt;=4)"/>
    <n v="0"/>
    <x v="0"/>
    <n v="0"/>
    <s v="Reasonable(&lt;=3)"/>
  </r>
  <r>
    <x v="25"/>
    <s v="Young(&lt;=29)"/>
    <x v="0"/>
    <s v="Rarely"/>
    <s v="Research &amp; Development"/>
    <n v="25"/>
    <s v="Far(&gt;=15)"/>
    <n v="1"/>
    <s v="Not_Satisfied(&lt;3)"/>
    <x v="1"/>
    <n v="1"/>
    <s v="Low"/>
    <n v="1"/>
    <x v="0"/>
    <x v="2"/>
    <n v="3"/>
    <s v="Satisfied(&gt;=3)"/>
    <x v="0"/>
    <n v="1"/>
    <s v="Y"/>
    <x v="1"/>
    <n v="12"/>
    <x v="0"/>
    <n v="1"/>
    <n v="2"/>
    <s v="Poor(&lt;=2)"/>
    <n v="1"/>
    <s v="Short(&lt;=4)"/>
    <n v="0"/>
    <x v="0"/>
    <n v="0"/>
    <s v="Reasonable(&lt;=3)"/>
  </r>
  <r>
    <x v="4"/>
    <s v="Young(&lt;=29)"/>
    <x v="1"/>
    <s v="Frequently"/>
    <s v="Sales"/>
    <n v="8"/>
    <s v="Middistance(6-14)"/>
    <n v="4"/>
    <s v="Satisfied(&gt;=3)"/>
    <x v="1"/>
    <n v="3"/>
    <s v="Medium"/>
    <n v="3"/>
    <x v="1"/>
    <x v="0"/>
    <n v="3"/>
    <s v="Satisfied(&gt;=3)"/>
    <x v="0"/>
    <n v="1"/>
    <s v="Y"/>
    <x v="1"/>
    <n v="15"/>
    <x v="0"/>
    <n v="9"/>
    <n v="3"/>
    <s v="Good(&gt;=3)"/>
    <n v="9"/>
    <s v="Long(5-10)"/>
    <n v="8"/>
    <x v="1"/>
    <n v="1"/>
    <s v="Reasonable(&lt;=3)"/>
  </r>
  <r>
    <x v="7"/>
    <s v="Middle_Age(30-50)"/>
    <x v="1"/>
    <s v="Frequently"/>
    <s v="Research &amp; Development"/>
    <n v="1"/>
    <s v="Nearby(&lt;=5)"/>
    <n v="3"/>
    <s v="Satisfied(&gt;=3)"/>
    <x v="0"/>
    <n v="3"/>
    <s v="Medium"/>
    <n v="2"/>
    <x v="0"/>
    <x v="2"/>
    <n v="4"/>
    <s v="Satisfied(&gt;=3)"/>
    <x v="0"/>
    <n v="1"/>
    <s v="Y"/>
    <x v="1"/>
    <n v="23"/>
    <x v="1"/>
    <n v="12"/>
    <n v="3"/>
    <s v="Good(&gt;=3)"/>
    <n v="12"/>
    <s v="Ultra_Long(&gt;10)"/>
    <n v="8"/>
    <x v="1"/>
    <n v="3"/>
    <s v="Reasonable(&lt;=3)"/>
  </r>
  <r>
    <x v="0"/>
    <s v="Middle_Age(30-50)"/>
    <x v="0"/>
    <s v="Rarely"/>
    <s v="Research &amp; Development"/>
    <n v="12"/>
    <s v="Middistance(6-14)"/>
    <n v="2"/>
    <s v="Not_Satisfied(&lt;3)"/>
    <x v="0"/>
    <n v="3"/>
    <s v="Medium"/>
    <n v="5"/>
    <x v="2"/>
    <x v="7"/>
    <n v="3"/>
    <s v="Satisfied(&gt;=3)"/>
    <x v="1"/>
    <n v="1"/>
    <s v="Y"/>
    <x v="1"/>
    <n v="12"/>
    <x v="0"/>
    <n v="23"/>
    <n v="3"/>
    <s v="Good(&gt;=3)"/>
    <n v="22"/>
    <s v="Ultra_Long(&gt;10)"/>
    <n v="15"/>
    <x v="2"/>
    <n v="15"/>
    <s v="Not_Reasonable(&gt;3)"/>
  </r>
  <r>
    <x v="13"/>
    <s v="Middle_Age(30-50)"/>
    <x v="1"/>
    <s v="Rarely"/>
    <s v="Sales"/>
    <n v="23"/>
    <s v="Far(&gt;=15)"/>
    <n v="2"/>
    <s v="Not_Satisfied(&lt;3)"/>
    <x v="1"/>
    <n v="3"/>
    <s v="Medium"/>
    <n v="2"/>
    <x v="0"/>
    <x v="0"/>
    <n v="3"/>
    <s v="Satisfied(&gt;=3)"/>
    <x v="0"/>
    <n v="0"/>
    <s v="Y"/>
    <x v="1"/>
    <n v="20"/>
    <x v="1"/>
    <n v="10"/>
    <n v="3"/>
    <s v="Good(&gt;=3)"/>
    <n v="9"/>
    <s v="Long(5-10)"/>
    <n v="5"/>
    <x v="1"/>
    <n v="8"/>
    <s v="Not_Reasonable(&gt;3)"/>
  </r>
  <r>
    <x v="2"/>
    <s v="Middle_Age(30-50)"/>
    <x v="1"/>
    <s v="Rarely"/>
    <s v="Research &amp; Development"/>
    <n v="19"/>
    <s v="Far(&gt;=15)"/>
    <n v="2"/>
    <s v="Not_Satisfied(&lt;3)"/>
    <x v="1"/>
    <n v="3"/>
    <s v="Medium"/>
    <n v="1"/>
    <x v="0"/>
    <x v="1"/>
    <n v="2"/>
    <s v="Not_Satisfied(&lt;=2)"/>
    <x v="1"/>
    <n v="4"/>
    <s v="Y"/>
    <x v="1"/>
    <n v="21"/>
    <x v="1"/>
    <n v="8"/>
    <n v="3"/>
    <s v="Good(&gt;=3)"/>
    <n v="1"/>
    <s v="Short(&lt;=4)"/>
    <n v="0"/>
    <x v="0"/>
    <n v="0"/>
    <s v="Reasonable(&lt;=3)"/>
  </r>
  <r>
    <x v="21"/>
    <s v="Middle_Age(30-50)"/>
    <x v="1"/>
    <s v="Frequently"/>
    <s v="Sales"/>
    <n v="5"/>
    <s v="Nearby(&lt;=5)"/>
    <n v="1"/>
    <s v="Not_Satisfied(&lt;3)"/>
    <x v="1"/>
    <n v="3"/>
    <s v="Medium"/>
    <n v="2"/>
    <x v="0"/>
    <x v="0"/>
    <n v="4"/>
    <s v="Satisfied(&gt;=3)"/>
    <x v="0"/>
    <n v="4"/>
    <s v="Y"/>
    <x v="0"/>
    <n v="21"/>
    <x v="1"/>
    <n v="14"/>
    <n v="3"/>
    <s v="Good(&gt;=3)"/>
    <n v="9"/>
    <s v="Long(5-10)"/>
    <n v="6"/>
    <x v="1"/>
    <n v="0"/>
    <s v="Reasonable(&lt;=3)"/>
  </r>
  <r>
    <x v="10"/>
    <s v="Middle_Age(30-50)"/>
    <x v="1"/>
    <s v="Rarely"/>
    <s v="Research &amp; Development"/>
    <n v="8"/>
    <s v="Middistance(6-14)"/>
    <n v="4"/>
    <s v="Satisfied(&gt;=3)"/>
    <x v="1"/>
    <n v="4"/>
    <s v="High"/>
    <n v="1"/>
    <x v="0"/>
    <x v="2"/>
    <n v="4"/>
    <s v="Satisfied(&gt;=3)"/>
    <x v="1"/>
    <n v="1"/>
    <s v="Y"/>
    <x v="1"/>
    <n v="19"/>
    <x v="0"/>
    <n v="1"/>
    <n v="3"/>
    <s v="Good(&gt;=3)"/>
    <n v="1"/>
    <s v="Short(&lt;=4)"/>
    <n v="0"/>
    <x v="0"/>
    <n v="0"/>
    <s v="Reasonable(&lt;=3)"/>
  </r>
  <r>
    <x v="26"/>
    <s v="Middle_Age(30-50)"/>
    <x v="0"/>
    <s v="Rarely"/>
    <s v="Research &amp; Development"/>
    <n v="1"/>
    <s v="Nearby(&lt;=5)"/>
    <n v="1"/>
    <s v="Not_Satisfied(&lt;3)"/>
    <x v="1"/>
    <n v="2"/>
    <s v="Low"/>
    <n v="3"/>
    <x v="1"/>
    <x v="2"/>
    <n v="3"/>
    <s v="Satisfied(&gt;=3)"/>
    <x v="0"/>
    <n v="9"/>
    <s v="Y"/>
    <x v="0"/>
    <n v="13"/>
    <x v="0"/>
    <n v="23"/>
    <n v="3"/>
    <s v="Good(&gt;=3)"/>
    <n v="1"/>
    <s v="Short(&lt;=4)"/>
    <n v="0"/>
    <x v="0"/>
    <n v="0"/>
    <s v="Reasonable(&lt;=3)"/>
  </r>
  <r>
    <x v="14"/>
    <s v="Young(&lt;=29)"/>
    <x v="0"/>
    <s v="Rarely"/>
    <s v="Research &amp; Development"/>
    <n v="5"/>
    <s v="Nearby(&lt;=5)"/>
    <n v="3"/>
    <s v="Satisfied(&gt;=3)"/>
    <x v="1"/>
    <n v="3"/>
    <s v="Medium"/>
    <n v="1"/>
    <x v="0"/>
    <x v="2"/>
    <n v="3"/>
    <s v="Satisfied(&gt;=3)"/>
    <x v="0"/>
    <n v="1"/>
    <s v="Y"/>
    <x v="0"/>
    <n v="13"/>
    <x v="0"/>
    <n v="2"/>
    <n v="2"/>
    <s v="Poor(&lt;=2)"/>
    <n v="2"/>
    <s v="Short(&lt;=4)"/>
    <n v="2"/>
    <x v="0"/>
    <n v="2"/>
    <s v="Reasonable(&lt;=3)"/>
  </r>
  <r>
    <x v="20"/>
    <s v="Middle_Age(30-50)"/>
    <x v="1"/>
    <s v="Rarely"/>
    <s v="Sales"/>
    <n v="1"/>
    <s v="Nearby(&lt;=5)"/>
    <n v="2"/>
    <s v="Not_Satisfied(&lt;3)"/>
    <x v="0"/>
    <n v="3"/>
    <s v="Medium"/>
    <n v="2"/>
    <x v="0"/>
    <x v="0"/>
    <n v="1"/>
    <s v="Not_Satisfied(&lt;=2)"/>
    <x v="2"/>
    <n v="5"/>
    <s v="Y"/>
    <x v="0"/>
    <n v="21"/>
    <x v="1"/>
    <n v="9"/>
    <n v="2"/>
    <s v="Poor(&lt;=2)"/>
    <n v="4"/>
    <s v="Short(&lt;=4)"/>
    <n v="3"/>
    <x v="0"/>
    <n v="1"/>
    <s v="Reasonable(&lt;=3)"/>
  </r>
  <r>
    <x v="10"/>
    <s v="Middle_Age(30-50)"/>
    <x v="1"/>
    <s v="Rarely"/>
    <s v="Research &amp; Development"/>
    <n v="11"/>
    <s v="Middistance(6-14)"/>
    <n v="3"/>
    <s v="Satisfied(&gt;=3)"/>
    <x v="1"/>
    <n v="2"/>
    <s v="Low"/>
    <n v="3"/>
    <x v="1"/>
    <x v="4"/>
    <n v="1"/>
    <s v="Not_Satisfied(&lt;=2)"/>
    <x v="1"/>
    <n v="2"/>
    <s v="Y"/>
    <x v="0"/>
    <n v="13"/>
    <x v="0"/>
    <n v="10"/>
    <n v="3"/>
    <s v="Good(&gt;=3)"/>
    <n v="4"/>
    <s v="Short(&lt;=4)"/>
    <n v="0"/>
    <x v="0"/>
    <n v="2"/>
    <s v="Reasonable(&lt;=3)"/>
  </r>
  <r>
    <x v="25"/>
    <s v="Young(&lt;=29)"/>
    <x v="1"/>
    <s v="Rarely"/>
    <s v="Sales"/>
    <n v="23"/>
    <s v="Far(&gt;=15)"/>
    <n v="3"/>
    <s v="Satisfied(&gt;=3)"/>
    <x v="0"/>
    <n v="2"/>
    <s v="Low"/>
    <n v="2"/>
    <x v="0"/>
    <x v="0"/>
    <n v="4"/>
    <s v="Satisfied(&gt;=3)"/>
    <x v="1"/>
    <n v="7"/>
    <s v="Y"/>
    <x v="0"/>
    <n v="19"/>
    <x v="0"/>
    <n v="5"/>
    <n v="2"/>
    <s v="Poor(&lt;=2)"/>
    <n v="2"/>
    <s v="Short(&lt;=4)"/>
    <n v="2"/>
    <x v="0"/>
    <n v="0"/>
    <s v="Reasonable(&lt;=3)"/>
  </r>
  <r>
    <x v="3"/>
    <s v="Middle_Age(30-50)"/>
    <x v="1"/>
    <s v="Frequently"/>
    <s v="Research &amp; Development"/>
    <n v="1"/>
    <s v="Nearby(&lt;=5)"/>
    <n v="1"/>
    <s v="Not_Satisfied(&lt;3)"/>
    <x v="0"/>
    <n v="3"/>
    <s v="Medium"/>
    <n v="3"/>
    <x v="1"/>
    <x v="7"/>
    <n v="4"/>
    <s v="Satisfied(&gt;=3)"/>
    <x v="0"/>
    <n v="1"/>
    <s v="Y"/>
    <x v="0"/>
    <n v="12"/>
    <x v="0"/>
    <n v="15"/>
    <n v="3"/>
    <s v="Good(&gt;=3)"/>
    <n v="15"/>
    <s v="Ultra_Long(&gt;10)"/>
    <n v="14"/>
    <x v="2"/>
    <n v="8"/>
    <s v="Not_Reasonable(&gt;3)"/>
  </r>
  <r>
    <x v="10"/>
    <s v="Middle_Age(30-50)"/>
    <x v="1"/>
    <s v="Frequently"/>
    <s v="Sales"/>
    <n v="18"/>
    <s v="Far(&gt;=15)"/>
    <n v="2"/>
    <s v="Not_Satisfied(&lt;3)"/>
    <x v="1"/>
    <n v="3"/>
    <s v="Medium"/>
    <n v="3"/>
    <x v="1"/>
    <x v="0"/>
    <n v="1"/>
    <s v="Not_Satisfied(&lt;=2)"/>
    <x v="1"/>
    <n v="1"/>
    <s v="Y"/>
    <x v="1"/>
    <n v="22"/>
    <x v="1"/>
    <n v="9"/>
    <n v="2"/>
    <s v="Poor(&lt;=2)"/>
    <n v="9"/>
    <s v="Long(5-10)"/>
    <n v="8"/>
    <x v="1"/>
    <n v="1"/>
    <s v="Reasonable(&lt;=3)"/>
  </r>
  <r>
    <x v="10"/>
    <s v="Middle_Age(30-50)"/>
    <x v="1"/>
    <s v="Rarely"/>
    <s v="Research &amp; Development"/>
    <n v="23"/>
    <s v="Far(&gt;=15)"/>
    <n v="3"/>
    <s v="Satisfied(&gt;=3)"/>
    <x v="0"/>
    <n v="3"/>
    <s v="Medium"/>
    <n v="1"/>
    <x v="0"/>
    <x v="2"/>
    <n v="1"/>
    <s v="Not_Satisfied(&lt;=2)"/>
    <x v="1"/>
    <n v="3"/>
    <s v="Y"/>
    <x v="0"/>
    <n v="15"/>
    <x v="0"/>
    <n v="4"/>
    <n v="3"/>
    <s v="Good(&gt;=3)"/>
    <n v="2"/>
    <s v="Short(&lt;=4)"/>
    <n v="2"/>
    <x v="0"/>
    <n v="2"/>
    <s v="Reasonable(&lt;=3)"/>
  </r>
  <r>
    <x v="12"/>
    <s v="Middle_Age(30-50)"/>
    <x v="1"/>
    <s v="Rarely"/>
    <s v="Research &amp; Development"/>
    <n v="7"/>
    <s v="Middistance(6-14)"/>
    <n v="4"/>
    <s v="Satisfied(&gt;=3)"/>
    <x v="1"/>
    <n v="3"/>
    <s v="Medium"/>
    <n v="2"/>
    <x v="0"/>
    <x v="2"/>
    <n v="4"/>
    <s v="Satisfied(&gt;=3)"/>
    <x v="2"/>
    <n v="3"/>
    <s v="Y"/>
    <x v="1"/>
    <n v="22"/>
    <x v="1"/>
    <n v="10"/>
    <n v="2"/>
    <s v="Poor(&lt;=2)"/>
    <n v="7"/>
    <s v="Long(5-10)"/>
    <n v="7"/>
    <x v="1"/>
    <n v="1"/>
    <s v="Reasonable(&lt;=3)"/>
  </r>
  <r>
    <x v="2"/>
    <s v="Middle_Age(30-50)"/>
    <x v="1"/>
    <s v="Rarely"/>
    <s v="Research &amp; Development"/>
    <n v="1"/>
    <s v="Nearby(&lt;=5)"/>
    <n v="1"/>
    <s v="Not_Satisfied(&lt;3)"/>
    <x v="1"/>
    <n v="2"/>
    <s v="Low"/>
    <n v="2"/>
    <x v="0"/>
    <x v="3"/>
    <n v="3"/>
    <s v="Satisfied(&gt;=3)"/>
    <x v="2"/>
    <n v="1"/>
    <s v="Y"/>
    <x v="1"/>
    <n v="18"/>
    <x v="0"/>
    <n v="7"/>
    <n v="4"/>
    <s v="Good(&gt;=3)"/>
    <n v="7"/>
    <s v="Long(5-10)"/>
    <n v="5"/>
    <x v="1"/>
    <n v="0"/>
    <s v="Reasonable(&lt;=3)"/>
  </r>
  <r>
    <x v="5"/>
    <s v="Middle_Age(30-50)"/>
    <x v="1"/>
    <s v="Rarely"/>
    <s v="Research &amp; Development"/>
    <n v="1"/>
    <s v="Nearby(&lt;=5)"/>
    <n v="1"/>
    <s v="Not_Satisfied(&lt;3)"/>
    <x v="1"/>
    <n v="3"/>
    <s v="Medium"/>
    <n v="2"/>
    <x v="0"/>
    <x v="3"/>
    <n v="4"/>
    <s v="Satisfied(&gt;=3)"/>
    <x v="1"/>
    <n v="1"/>
    <s v="Y"/>
    <x v="0"/>
    <n v="22"/>
    <x v="1"/>
    <n v="9"/>
    <n v="3"/>
    <s v="Good(&gt;=3)"/>
    <n v="9"/>
    <s v="Long(5-10)"/>
    <n v="8"/>
    <x v="1"/>
    <n v="7"/>
    <s v="Not_Reasonable(&gt;3)"/>
  </r>
  <r>
    <x v="8"/>
    <s v="Middle_Age(30-50)"/>
    <x v="1"/>
    <s v="Frequently"/>
    <s v="Research &amp; Development"/>
    <n v="29"/>
    <s v="Far(&gt;=15)"/>
    <n v="4"/>
    <s v="Satisfied(&gt;=3)"/>
    <x v="0"/>
    <n v="3"/>
    <s v="Medium"/>
    <n v="2"/>
    <x v="0"/>
    <x v="2"/>
    <n v="4"/>
    <s v="Satisfied(&gt;=3)"/>
    <x v="0"/>
    <n v="1"/>
    <s v="Y"/>
    <x v="1"/>
    <n v="11"/>
    <x v="0"/>
    <n v="10"/>
    <n v="3"/>
    <s v="Good(&gt;=3)"/>
    <n v="10"/>
    <s v="Long(5-10)"/>
    <n v="3"/>
    <x v="0"/>
    <n v="9"/>
    <s v="Not_Reasonable(&gt;3)"/>
  </r>
  <r>
    <x v="24"/>
    <s v="Middle_Age(30-50)"/>
    <x v="1"/>
    <s v="Rarely"/>
    <s v="Research &amp; Development"/>
    <n v="7"/>
    <s v="Middistance(6-14)"/>
    <n v="2"/>
    <s v="Not_Satisfied(&lt;3)"/>
    <x v="0"/>
    <n v="2"/>
    <s v="Low"/>
    <n v="5"/>
    <x v="2"/>
    <x v="7"/>
    <n v="3"/>
    <s v="Satisfied(&gt;=3)"/>
    <x v="2"/>
    <n v="5"/>
    <s v="Y"/>
    <x v="0"/>
    <n v="12"/>
    <x v="0"/>
    <n v="29"/>
    <n v="2"/>
    <s v="Poor(&lt;=2)"/>
    <n v="27"/>
    <s v="Ultra_Long(&gt;10)"/>
    <n v="3"/>
    <x v="0"/>
    <n v="13"/>
    <s v="Not_Reasonable(&gt;3)"/>
  </r>
  <r>
    <x v="6"/>
    <s v="Old(&gt;50)"/>
    <x v="1"/>
    <s v="Rarely"/>
    <s v="Sales"/>
    <n v="25"/>
    <s v="Far(&gt;=15)"/>
    <n v="1"/>
    <s v="Not_Satisfied(&lt;3)"/>
    <x v="0"/>
    <n v="3"/>
    <s v="Medium"/>
    <n v="3"/>
    <x v="1"/>
    <x v="0"/>
    <n v="1"/>
    <s v="Not_Satisfied(&lt;=2)"/>
    <x v="0"/>
    <n v="7"/>
    <s v="Y"/>
    <x v="1"/>
    <n v="11"/>
    <x v="0"/>
    <n v="28"/>
    <n v="2"/>
    <s v="Poor(&lt;=2)"/>
    <n v="21"/>
    <s v="Ultra_Long(&gt;10)"/>
    <n v="16"/>
    <x v="2"/>
    <n v="7"/>
    <s v="Not_Reasonable(&gt;3)"/>
  </r>
  <r>
    <x v="9"/>
    <s v="Middle_Age(30-50)"/>
    <x v="1"/>
    <s v="Rarely"/>
    <s v="Research &amp; Development"/>
    <n v="8"/>
    <s v="Middistance(6-14)"/>
    <n v="3"/>
    <s v="Satisfied(&gt;=3)"/>
    <x v="0"/>
    <n v="3"/>
    <s v="Medium"/>
    <n v="3"/>
    <x v="1"/>
    <x v="4"/>
    <n v="3"/>
    <s v="Satisfied(&gt;=3)"/>
    <x v="2"/>
    <n v="1"/>
    <s v="Y"/>
    <x v="1"/>
    <n v="13"/>
    <x v="0"/>
    <n v="17"/>
    <n v="3"/>
    <s v="Good(&gt;=3)"/>
    <n v="17"/>
    <s v="Ultra_Long(&gt;10)"/>
    <n v="14"/>
    <x v="2"/>
    <n v="12"/>
    <s v="Not_Reasonable(&gt;3)"/>
  </r>
  <r>
    <x v="27"/>
    <s v="Old(&gt;50)"/>
    <x v="1"/>
    <s v="Rarely"/>
    <s v="Research &amp; Development"/>
    <n v="8"/>
    <s v="Middistance(6-14)"/>
    <n v="4"/>
    <s v="Satisfied(&gt;=3)"/>
    <x v="0"/>
    <n v="3"/>
    <s v="Medium"/>
    <n v="4"/>
    <x v="2"/>
    <x v="5"/>
    <n v="3"/>
    <s v="Satisfied(&gt;=3)"/>
    <x v="2"/>
    <n v="2"/>
    <s v="Y"/>
    <x v="0"/>
    <n v="14"/>
    <x v="0"/>
    <n v="21"/>
    <n v="3"/>
    <s v="Good(&gt;=3)"/>
    <n v="5"/>
    <s v="Long(5-10)"/>
    <n v="0"/>
    <x v="0"/>
    <n v="0"/>
    <s v="Reasonable(&lt;=3)"/>
  </r>
  <r>
    <x v="9"/>
    <s v="Middle_Age(30-50)"/>
    <x v="1"/>
    <s v="Frequently"/>
    <s v="Research &amp; Development"/>
    <n v="11"/>
    <s v="Middistance(6-14)"/>
    <n v="2"/>
    <s v="Not_Satisfied(&lt;3)"/>
    <x v="1"/>
    <n v="2"/>
    <s v="Low"/>
    <n v="2"/>
    <x v="0"/>
    <x v="3"/>
    <n v="2"/>
    <s v="Not_Satisfied(&lt;=2)"/>
    <x v="0"/>
    <n v="1"/>
    <s v="Y"/>
    <x v="1"/>
    <n v="13"/>
    <x v="0"/>
    <n v="6"/>
    <n v="3"/>
    <s v="Good(&gt;=3)"/>
    <n v="6"/>
    <s v="Long(5-10)"/>
    <n v="5"/>
    <x v="1"/>
    <n v="0"/>
    <s v="Reasonable(&lt;=3)"/>
  </r>
  <r>
    <x v="28"/>
    <s v="Middle_Age(30-50)"/>
    <x v="1"/>
    <s v="Rarely"/>
    <s v="Research &amp; Development"/>
    <n v="7"/>
    <s v="Middistance(6-14)"/>
    <n v="2"/>
    <s v="Not_Satisfied(&lt;3)"/>
    <x v="1"/>
    <n v="3"/>
    <s v="Medium"/>
    <n v="3"/>
    <x v="1"/>
    <x v="1"/>
    <n v="1"/>
    <s v="Not_Satisfied(&lt;=2)"/>
    <x v="2"/>
    <n v="2"/>
    <s v="Y"/>
    <x v="1"/>
    <n v="17"/>
    <x v="0"/>
    <n v="25"/>
    <n v="3"/>
    <s v="Good(&gt;=3)"/>
    <n v="1"/>
    <s v="Short(&lt;=4)"/>
    <n v="0"/>
    <x v="0"/>
    <n v="0"/>
    <s v="Reasonable(&lt;=3)"/>
  </r>
  <r>
    <x v="10"/>
    <s v="Middle_Age(30-50)"/>
    <x v="1"/>
    <s v="Frequently"/>
    <s v="Research &amp; Development"/>
    <n v="1"/>
    <s v="Nearby(&lt;=5)"/>
    <n v="2"/>
    <s v="Not_Satisfied(&lt;3)"/>
    <x v="1"/>
    <n v="3"/>
    <s v="Medium"/>
    <n v="1"/>
    <x v="0"/>
    <x v="1"/>
    <n v="1"/>
    <s v="Not_Satisfied(&lt;=2)"/>
    <x v="1"/>
    <n v="4"/>
    <s v="Y"/>
    <x v="1"/>
    <n v="13"/>
    <x v="0"/>
    <n v="5"/>
    <n v="2"/>
    <s v="Poor(&lt;=2)"/>
    <n v="3"/>
    <s v="Short(&lt;=4)"/>
    <n v="2"/>
    <x v="0"/>
    <n v="1"/>
    <s v="Reasonable(&lt;=3)"/>
  </r>
  <r>
    <x v="9"/>
    <s v="Middle_Age(30-50)"/>
    <x v="0"/>
    <s v="Rarely"/>
    <s v="Research &amp; Development"/>
    <n v="9"/>
    <s v="Middistance(6-14)"/>
    <n v="4"/>
    <s v="Satisfied(&gt;=3)"/>
    <x v="1"/>
    <n v="2"/>
    <s v="Low"/>
    <n v="1"/>
    <x v="0"/>
    <x v="1"/>
    <n v="3"/>
    <s v="Satisfied(&gt;=3)"/>
    <x v="1"/>
    <n v="0"/>
    <s v="Y"/>
    <x v="0"/>
    <n v="17"/>
    <x v="0"/>
    <n v="2"/>
    <n v="2"/>
    <s v="Poor(&lt;=2)"/>
    <n v="1"/>
    <s v="Short(&lt;=4)"/>
    <n v="0"/>
    <x v="0"/>
    <n v="0"/>
    <s v="Reasonable(&lt;=3)"/>
  </r>
  <r>
    <x v="6"/>
    <s v="Old(&gt;50)"/>
    <x v="1"/>
    <s v="Frequently"/>
    <s v="Sales"/>
    <n v="1"/>
    <s v="Nearby(&lt;=5)"/>
    <n v="1"/>
    <s v="Not_Satisfied(&lt;3)"/>
    <x v="0"/>
    <n v="2"/>
    <s v="Low"/>
    <n v="2"/>
    <x v="0"/>
    <x v="0"/>
    <n v="3"/>
    <s v="Satisfied(&gt;=3)"/>
    <x v="0"/>
    <n v="7"/>
    <s v="Y"/>
    <x v="1"/>
    <n v="11"/>
    <x v="0"/>
    <n v="20"/>
    <n v="2"/>
    <s v="Poor(&lt;=2)"/>
    <n v="4"/>
    <s v="Short(&lt;=4)"/>
    <n v="3"/>
    <x v="0"/>
    <n v="1"/>
    <s v="Reasonable(&lt;=3)"/>
  </r>
  <r>
    <x v="11"/>
    <s v="Young(&lt;=29)"/>
    <x v="1"/>
    <s v="Rarely"/>
    <s v="Research &amp; Development"/>
    <n v="2"/>
    <s v="Nearby(&lt;=5)"/>
    <n v="3"/>
    <s v="Satisfied(&gt;=3)"/>
    <x v="1"/>
    <n v="3"/>
    <s v="Medium"/>
    <n v="1"/>
    <x v="0"/>
    <x v="1"/>
    <n v="2"/>
    <s v="Not_Satisfied(&lt;=2)"/>
    <x v="1"/>
    <n v="0"/>
    <s v="Y"/>
    <x v="1"/>
    <n v="23"/>
    <x v="1"/>
    <n v="6"/>
    <n v="3"/>
    <s v="Good(&gt;=3)"/>
    <n v="5"/>
    <s v="Long(5-10)"/>
    <n v="4"/>
    <x v="0"/>
    <n v="0"/>
    <s v="Reasonable(&lt;=3)"/>
  </r>
  <r>
    <x v="12"/>
    <s v="Middle_Age(30-50)"/>
    <x v="1"/>
    <s v="Rarely"/>
    <s v="Research &amp; Development"/>
    <n v="1"/>
    <s v="Nearby(&lt;=5)"/>
    <n v="3"/>
    <s v="Satisfied(&gt;=3)"/>
    <x v="1"/>
    <n v="3"/>
    <s v="Medium"/>
    <n v="1"/>
    <x v="0"/>
    <x v="1"/>
    <n v="2"/>
    <s v="Not_Satisfied(&lt;=2)"/>
    <x v="0"/>
    <n v="1"/>
    <s v="Y"/>
    <x v="1"/>
    <n v="17"/>
    <x v="0"/>
    <n v="1"/>
    <n v="3"/>
    <s v="Good(&gt;=3)"/>
    <n v="1"/>
    <s v="Short(&lt;=4)"/>
    <n v="1"/>
    <x v="0"/>
    <n v="1"/>
    <s v="Reasonable(&lt;=3)"/>
  </r>
  <r>
    <x v="5"/>
    <s v="Middle_Age(30-50)"/>
    <x v="1"/>
    <s v="Rarely"/>
    <s v="Research &amp; Development"/>
    <n v="1"/>
    <s v="Nearby(&lt;=5)"/>
    <n v="2"/>
    <s v="Not_Satisfied(&lt;3)"/>
    <x v="1"/>
    <n v="3"/>
    <s v="Medium"/>
    <n v="2"/>
    <x v="0"/>
    <x v="1"/>
    <n v="2"/>
    <s v="Not_Satisfied(&lt;=2)"/>
    <x v="1"/>
    <n v="1"/>
    <s v="Y"/>
    <x v="1"/>
    <n v="17"/>
    <x v="0"/>
    <n v="10"/>
    <n v="3"/>
    <s v="Good(&gt;=3)"/>
    <n v="10"/>
    <s v="Long(5-10)"/>
    <n v="4"/>
    <x v="0"/>
    <n v="0"/>
    <s v="Reasonable(&lt;=3)"/>
  </r>
  <r>
    <x v="9"/>
    <s v="Middle_Age(30-50)"/>
    <x v="1"/>
    <s v="Rarely"/>
    <s v="Research &amp; Development"/>
    <n v="6"/>
    <s v="Middistance(6-14)"/>
    <n v="2"/>
    <s v="Not_Satisfied(&lt;3)"/>
    <x v="0"/>
    <n v="4"/>
    <s v="High"/>
    <n v="1"/>
    <x v="0"/>
    <x v="2"/>
    <n v="4"/>
    <s v="Satisfied(&gt;=3)"/>
    <x v="1"/>
    <n v="3"/>
    <s v="Y"/>
    <x v="1"/>
    <n v="12"/>
    <x v="0"/>
    <n v="5"/>
    <n v="3"/>
    <s v="Good(&gt;=3)"/>
    <n v="1"/>
    <s v="Short(&lt;=4)"/>
    <n v="0"/>
    <x v="0"/>
    <n v="0"/>
    <s v="Reasonable(&lt;=3)"/>
  </r>
  <r>
    <x v="12"/>
    <s v="Middle_Age(30-50)"/>
    <x v="1"/>
    <s v="Rarely"/>
    <s v="Research &amp; Development"/>
    <n v="8"/>
    <s v="Middistance(6-14)"/>
    <n v="3"/>
    <s v="Satisfied(&gt;=3)"/>
    <x v="0"/>
    <n v="3"/>
    <s v="Medium"/>
    <n v="2"/>
    <x v="0"/>
    <x v="3"/>
    <n v="4"/>
    <s v="Satisfied(&gt;=3)"/>
    <x v="0"/>
    <n v="1"/>
    <s v="Y"/>
    <x v="1"/>
    <n v="23"/>
    <x v="1"/>
    <n v="11"/>
    <n v="3"/>
    <s v="Good(&gt;=3)"/>
    <n v="11"/>
    <s v="Ultra_Long(&gt;10)"/>
    <n v="7"/>
    <x v="1"/>
    <n v="1"/>
    <s v="Reasonable(&lt;=3)"/>
  </r>
  <r>
    <x v="10"/>
    <s v="Middle_Age(30-50)"/>
    <x v="1"/>
    <s v="Rarely"/>
    <s v="Sales"/>
    <n v="1"/>
    <s v="Nearby(&lt;=5)"/>
    <n v="3"/>
    <s v="Satisfied(&gt;=3)"/>
    <x v="1"/>
    <n v="2"/>
    <s v="Low"/>
    <n v="2"/>
    <x v="0"/>
    <x v="0"/>
    <n v="1"/>
    <s v="Not_Satisfied(&lt;=2)"/>
    <x v="0"/>
    <n v="0"/>
    <s v="Y"/>
    <x v="1"/>
    <n v="14"/>
    <x v="0"/>
    <n v="16"/>
    <n v="3"/>
    <s v="Good(&gt;=3)"/>
    <n v="15"/>
    <s v="Ultra_Long(&gt;10)"/>
    <n v="13"/>
    <x v="2"/>
    <n v="2"/>
    <s v="Reasonable(&lt;=3)"/>
  </r>
  <r>
    <x v="28"/>
    <s v="Middle_Age(30-50)"/>
    <x v="1"/>
    <s v="Rarely"/>
    <s v="Research &amp; Development"/>
    <n v="6"/>
    <s v="Middistance(6-14)"/>
    <n v="4"/>
    <s v="Satisfied(&gt;=3)"/>
    <x v="1"/>
    <n v="3"/>
    <s v="Medium"/>
    <n v="3"/>
    <x v="1"/>
    <x v="7"/>
    <n v="1"/>
    <s v="Not_Satisfied(&lt;=2)"/>
    <x v="1"/>
    <n v="4"/>
    <s v="Y"/>
    <x v="0"/>
    <n v="14"/>
    <x v="0"/>
    <n v="17"/>
    <n v="4"/>
    <s v="Good(&gt;=3)"/>
    <n v="0"/>
    <s v="Short(&lt;=4)"/>
    <n v="0"/>
    <x v="0"/>
    <n v="0"/>
    <s v="Reasonable(&lt;=3)"/>
  </r>
  <r>
    <x v="2"/>
    <s v="Middle_Age(30-50)"/>
    <x v="1"/>
    <s v="Rarely"/>
    <s v="Research &amp; Development"/>
    <n v="7"/>
    <s v="Middistance(6-14)"/>
    <n v="1"/>
    <s v="Not_Satisfied(&lt;3)"/>
    <x v="1"/>
    <n v="3"/>
    <s v="Medium"/>
    <n v="3"/>
    <x v="1"/>
    <x v="7"/>
    <n v="3"/>
    <s v="Satisfied(&gt;=3)"/>
    <x v="0"/>
    <n v="4"/>
    <s v="Y"/>
    <x v="1"/>
    <n v="13"/>
    <x v="0"/>
    <n v="16"/>
    <n v="4"/>
    <s v="Good(&gt;=3)"/>
    <n v="5"/>
    <s v="Long(5-10)"/>
    <n v="2"/>
    <x v="0"/>
    <n v="0"/>
    <s v="Reasonable(&lt;=3)"/>
  </r>
  <r>
    <x v="21"/>
    <s v="Middle_Age(30-50)"/>
    <x v="1"/>
    <s v="Rarely"/>
    <s v="Human Resources"/>
    <n v="5"/>
    <s v="Nearby(&lt;=5)"/>
    <n v="2"/>
    <s v="Not_Satisfied(&lt;3)"/>
    <x v="1"/>
    <n v="3"/>
    <s v="Medium"/>
    <n v="2"/>
    <x v="0"/>
    <x v="8"/>
    <n v="2"/>
    <s v="Not_Satisfied(&lt;=2)"/>
    <x v="2"/>
    <n v="8"/>
    <s v="Y"/>
    <x v="0"/>
    <n v="22"/>
    <x v="1"/>
    <n v="16"/>
    <n v="3"/>
    <s v="Good(&gt;=3)"/>
    <n v="4"/>
    <s v="Short(&lt;=4)"/>
    <n v="2"/>
    <x v="0"/>
    <n v="0"/>
    <s v="Reasonable(&lt;=3)"/>
  </r>
  <r>
    <x v="7"/>
    <s v="Middle_Age(30-50)"/>
    <x v="1"/>
    <s v="Rarely"/>
    <s v="Research &amp; Development"/>
    <n v="1"/>
    <s v="Nearby(&lt;=5)"/>
    <n v="4"/>
    <s v="Satisfied(&gt;=3)"/>
    <x v="1"/>
    <n v="2"/>
    <s v="Low"/>
    <n v="2"/>
    <x v="0"/>
    <x v="2"/>
    <n v="4"/>
    <s v="Satisfied(&gt;=3)"/>
    <x v="1"/>
    <n v="1"/>
    <s v="Y"/>
    <x v="0"/>
    <n v="12"/>
    <x v="0"/>
    <n v="10"/>
    <n v="2"/>
    <s v="Poor(&lt;=2)"/>
    <n v="10"/>
    <s v="Long(5-10)"/>
    <n v="8"/>
    <x v="1"/>
    <n v="3"/>
    <s v="Reasonable(&lt;=3)"/>
  </r>
  <r>
    <x v="10"/>
    <s v="Middle_Age(30-50)"/>
    <x v="1"/>
    <s v="Rarely"/>
    <s v="Research &amp; Development"/>
    <n v="1"/>
    <s v="Nearby(&lt;=5)"/>
    <n v="2"/>
    <s v="Not_Satisfied(&lt;3)"/>
    <x v="1"/>
    <n v="2"/>
    <s v="Low"/>
    <n v="1"/>
    <x v="0"/>
    <x v="1"/>
    <n v="3"/>
    <s v="Satisfied(&gt;=3)"/>
    <x v="0"/>
    <n v="1"/>
    <s v="Y"/>
    <x v="1"/>
    <n v="18"/>
    <x v="0"/>
    <n v="6"/>
    <n v="3"/>
    <s v="Good(&gt;=3)"/>
    <n v="6"/>
    <s v="Long(5-10)"/>
    <n v="4"/>
    <x v="0"/>
    <n v="0"/>
    <s v="Reasonable(&lt;=3)"/>
  </r>
  <r>
    <x v="27"/>
    <s v="Old(&gt;50)"/>
    <x v="1"/>
    <s v="Rarely"/>
    <s v="Sales"/>
    <n v="1"/>
    <s v="Nearby(&lt;=5)"/>
    <n v="1"/>
    <s v="Not_Satisfied(&lt;3)"/>
    <x v="1"/>
    <n v="3"/>
    <s v="Medium"/>
    <n v="3"/>
    <x v="1"/>
    <x v="0"/>
    <n v="4"/>
    <s v="Satisfied(&gt;=3)"/>
    <x v="1"/>
    <n v="3"/>
    <s v="Y"/>
    <x v="1"/>
    <n v="14"/>
    <x v="0"/>
    <n v="24"/>
    <n v="3"/>
    <s v="Good(&gt;=3)"/>
    <n v="1"/>
    <s v="Short(&lt;=4)"/>
    <n v="0"/>
    <x v="0"/>
    <n v="1"/>
    <s v="Reasonable(&lt;=3)"/>
  </r>
  <r>
    <x v="8"/>
    <s v="Middle_Age(30-50)"/>
    <x v="1"/>
    <s v="Rarely"/>
    <s v="Research &amp; Development"/>
    <n v="6"/>
    <s v="Middistance(6-14)"/>
    <n v="2"/>
    <s v="Not_Satisfied(&lt;3)"/>
    <x v="0"/>
    <n v="1"/>
    <s v="Low"/>
    <n v="2"/>
    <x v="0"/>
    <x v="1"/>
    <n v="4"/>
    <s v="Satisfied(&gt;=3)"/>
    <x v="2"/>
    <n v="7"/>
    <s v="Y"/>
    <x v="0"/>
    <n v="12"/>
    <x v="0"/>
    <n v="17"/>
    <n v="3"/>
    <s v="Good(&gt;=3)"/>
    <n v="13"/>
    <s v="Ultra_Long(&gt;10)"/>
    <n v="11"/>
    <x v="2"/>
    <n v="1"/>
    <s v="Reasonable(&lt;=3)"/>
  </r>
  <r>
    <x v="13"/>
    <s v="Middle_Age(30-50)"/>
    <x v="1"/>
    <s v="Rarely"/>
    <s v="Research &amp; Development"/>
    <n v="1"/>
    <s v="Nearby(&lt;=5)"/>
    <n v="1"/>
    <s v="Not_Satisfied(&lt;3)"/>
    <x v="1"/>
    <n v="3"/>
    <s v="Medium"/>
    <n v="2"/>
    <x v="0"/>
    <x v="3"/>
    <n v="2"/>
    <s v="Not_Satisfied(&lt;=2)"/>
    <x v="1"/>
    <n v="1"/>
    <s v="Y"/>
    <x v="1"/>
    <n v="15"/>
    <x v="0"/>
    <n v="5"/>
    <n v="3"/>
    <s v="Good(&gt;=3)"/>
    <n v="5"/>
    <s v="Long(5-10)"/>
    <n v="2"/>
    <x v="0"/>
    <n v="1"/>
    <s v="Reasonable(&lt;=3)"/>
  </r>
  <r>
    <x v="29"/>
    <s v="Old(&gt;50)"/>
    <x v="1"/>
    <s v="Rarely"/>
    <s v="Research &amp; Development"/>
    <n v="7"/>
    <s v="Middistance(6-14)"/>
    <n v="4"/>
    <s v="Satisfied(&gt;=3)"/>
    <x v="1"/>
    <n v="1"/>
    <s v="Low"/>
    <n v="3"/>
    <x v="1"/>
    <x v="3"/>
    <n v="4"/>
    <s v="Satisfied(&gt;=3)"/>
    <x v="0"/>
    <n v="4"/>
    <s v="Y"/>
    <x v="1"/>
    <n v="11"/>
    <x v="0"/>
    <n v="37"/>
    <n v="2"/>
    <s v="Poor(&lt;=2)"/>
    <n v="6"/>
    <s v="Long(5-10)"/>
    <n v="4"/>
    <x v="0"/>
    <n v="0"/>
    <s v="Reasonable(&lt;=3)"/>
  </r>
  <r>
    <x v="30"/>
    <s v="Young(&lt;=29)"/>
    <x v="1"/>
    <s v="Rarely"/>
    <s v="Sales"/>
    <n v="2"/>
    <s v="Nearby(&lt;=5)"/>
    <n v="3"/>
    <s v="Satisfied(&gt;=3)"/>
    <x v="1"/>
    <n v="3"/>
    <s v="Medium"/>
    <n v="1"/>
    <x v="0"/>
    <x v="6"/>
    <n v="1"/>
    <s v="Not_Satisfied(&lt;=2)"/>
    <x v="2"/>
    <n v="3"/>
    <s v="Y"/>
    <x v="1"/>
    <n v="13"/>
    <x v="0"/>
    <n v="3"/>
    <n v="3"/>
    <s v="Good(&gt;=3)"/>
    <n v="0"/>
    <s v="Short(&lt;=4)"/>
    <n v="0"/>
    <x v="0"/>
    <n v="0"/>
    <s v="Reasonable(&lt;=3)"/>
  </r>
  <r>
    <x v="31"/>
    <s v="Old(&gt;50)"/>
    <x v="1"/>
    <s v="Rarely"/>
    <s v="Research &amp; Development"/>
    <n v="9"/>
    <s v="Middistance(6-14)"/>
    <n v="4"/>
    <s v="Satisfied(&gt;=3)"/>
    <x v="1"/>
    <n v="3"/>
    <s v="Medium"/>
    <n v="1"/>
    <x v="0"/>
    <x v="2"/>
    <n v="4"/>
    <s v="Satisfied(&gt;=3)"/>
    <x v="1"/>
    <n v="3"/>
    <s v="Y"/>
    <x v="1"/>
    <n v="23"/>
    <x v="1"/>
    <n v="10"/>
    <n v="3"/>
    <s v="Good(&gt;=3)"/>
    <n v="4"/>
    <s v="Short(&lt;=4)"/>
    <n v="2"/>
    <x v="0"/>
    <n v="0"/>
    <s v="Reasonable(&lt;=3)"/>
  </r>
  <r>
    <x v="7"/>
    <s v="Middle_Age(30-50)"/>
    <x v="1"/>
    <s v="Rarely"/>
    <s v="Research &amp; Development"/>
    <n v="2"/>
    <s v="Nearby(&lt;=5)"/>
    <n v="3"/>
    <s v="Satisfied(&gt;=3)"/>
    <x v="1"/>
    <n v="2"/>
    <s v="Low"/>
    <n v="2"/>
    <x v="0"/>
    <x v="4"/>
    <n v="4"/>
    <s v="Satisfied(&gt;=3)"/>
    <x v="1"/>
    <n v="1"/>
    <s v="Y"/>
    <x v="1"/>
    <n v="19"/>
    <x v="0"/>
    <n v="11"/>
    <n v="3"/>
    <s v="Good(&gt;=3)"/>
    <n v="11"/>
    <s v="Ultra_Long(&gt;10)"/>
    <n v="10"/>
    <x v="1"/>
    <n v="10"/>
    <s v="Not_Reasonable(&gt;3)"/>
  </r>
  <r>
    <x v="21"/>
    <s v="Middle_Age(30-50)"/>
    <x v="0"/>
    <s v="Rarely"/>
    <s v="Sales"/>
    <n v="9"/>
    <s v="Middistance(6-14)"/>
    <n v="3"/>
    <s v="Satisfied(&gt;=3)"/>
    <x v="1"/>
    <n v="2"/>
    <s v="Low"/>
    <n v="3"/>
    <x v="1"/>
    <x v="0"/>
    <n v="4"/>
    <s v="Satisfied(&gt;=3)"/>
    <x v="0"/>
    <n v="1"/>
    <s v="Y"/>
    <x v="1"/>
    <n v="16"/>
    <x v="0"/>
    <n v="9"/>
    <n v="3"/>
    <s v="Good(&gt;=3)"/>
    <n v="9"/>
    <s v="Long(5-10)"/>
    <n v="8"/>
    <x v="1"/>
    <n v="4"/>
    <s v="Not_Reasonable(&gt;3)"/>
  </r>
  <r>
    <x v="32"/>
    <s v="Middle_Age(30-50)"/>
    <x v="1"/>
    <s v="Frequently"/>
    <s v="Research &amp; Development"/>
    <n v="1"/>
    <s v="Nearby(&lt;=5)"/>
    <n v="3"/>
    <s v="Satisfied(&gt;=3)"/>
    <x v="1"/>
    <n v="2"/>
    <s v="Low"/>
    <n v="4"/>
    <x v="2"/>
    <x v="4"/>
    <n v="2"/>
    <s v="Not_Satisfied(&lt;=2)"/>
    <x v="1"/>
    <n v="1"/>
    <s v="Y"/>
    <x v="1"/>
    <n v="22"/>
    <x v="1"/>
    <n v="22"/>
    <n v="2"/>
    <s v="Poor(&lt;=2)"/>
    <n v="22"/>
    <s v="Ultra_Long(&gt;10)"/>
    <n v="3"/>
    <x v="0"/>
    <n v="11"/>
    <s v="Not_Reasonable(&gt;3)"/>
  </r>
  <r>
    <x v="31"/>
    <s v="Old(&gt;50)"/>
    <x v="1"/>
    <s v="Rarely"/>
    <s v="Sales"/>
    <n v="21"/>
    <s v="Far(&gt;=15)"/>
    <n v="3"/>
    <s v="Satisfied(&gt;=3)"/>
    <x v="1"/>
    <n v="3"/>
    <s v="Medium"/>
    <n v="2"/>
    <x v="0"/>
    <x v="0"/>
    <n v="4"/>
    <s v="Satisfied(&gt;=3)"/>
    <x v="0"/>
    <n v="0"/>
    <s v="Y"/>
    <x v="0"/>
    <n v="22"/>
    <x v="1"/>
    <n v="11"/>
    <n v="1"/>
    <s v="Poor(&lt;=2)"/>
    <n v="10"/>
    <s v="Long(5-10)"/>
    <n v="7"/>
    <x v="1"/>
    <n v="1"/>
    <s v="Reasonable(&lt;=3)"/>
  </r>
  <r>
    <x v="7"/>
    <s v="Middle_Age(30-50)"/>
    <x v="1"/>
    <s v="Rarely"/>
    <s v="Sales"/>
    <n v="4"/>
    <s v="Nearby(&lt;=5)"/>
    <n v="3"/>
    <s v="Satisfied(&gt;=3)"/>
    <x v="0"/>
    <n v="2"/>
    <s v="Low"/>
    <n v="2"/>
    <x v="0"/>
    <x v="0"/>
    <n v="2"/>
    <s v="Not_Satisfied(&lt;=2)"/>
    <x v="2"/>
    <n v="1"/>
    <s v="Y"/>
    <x v="0"/>
    <n v="12"/>
    <x v="0"/>
    <n v="11"/>
    <n v="2"/>
    <s v="Poor(&lt;=2)"/>
    <n v="11"/>
    <s v="Ultra_Long(&gt;10)"/>
    <n v="8"/>
    <x v="1"/>
    <n v="2"/>
    <s v="Reasonable(&lt;=3)"/>
  </r>
  <r>
    <x v="21"/>
    <s v="Middle_Age(30-50)"/>
    <x v="1"/>
    <s v="Frequently"/>
    <s v="Research &amp; Development"/>
    <n v="1"/>
    <s v="Nearby(&lt;=5)"/>
    <n v="3"/>
    <s v="Satisfied(&gt;=3)"/>
    <x v="1"/>
    <n v="2"/>
    <s v="Low"/>
    <n v="3"/>
    <x v="1"/>
    <x v="4"/>
    <n v="1"/>
    <s v="Not_Satisfied(&lt;=2)"/>
    <x v="1"/>
    <n v="2"/>
    <s v="Y"/>
    <x v="0"/>
    <n v="13"/>
    <x v="0"/>
    <n v="21"/>
    <n v="2"/>
    <s v="Poor(&lt;=2)"/>
    <n v="10"/>
    <s v="Long(5-10)"/>
    <n v="9"/>
    <x v="1"/>
    <n v="9"/>
    <s v="Not_Reasonable(&gt;3)"/>
  </r>
  <r>
    <x v="5"/>
    <s v="Middle_Age(30-50)"/>
    <x v="1"/>
    <s v="Rarely"/>
    <s v="Sales"/>
    <n v="6"/>
    <s v="Middistance(6-14)"/>
    <n v="2"/>
    <s v="Not_Satisfied(&lt;3)"/>
    <x v="1"/>
    <n v="3"/>
    <s v="Medium"/>
    <n v="2"/>
    <x v="0"/>
    <x v="0"/>
    <n v="3"/>
    <s v="Satisfied(&gt;=3)"/>
    <x v="0"/>
    <n v="1"/>
    <s v="Y"/>
    <x v="1"/>
    <n v="16"/>
    <x v="0"/>
    <n v="12"/>
    <n v="3"/>
    <s v="Good(&gt;=3)"/>
    <n v="11"/>
    <s v="Ultra_Long(&gt;10)"/>
    <n v="8"/>
    <x v="1"/>
    <n v="5"/>
    <s v="Not_Reasonable(&gt;3)"/>
  </r>
  <r>
    <x v="33"/>
    <s v="Old(&gt;50)"/>
    <x v="1"/>
    <s v="Rarely"/>
    <s v="Research &amp; Development"/>
    <n v="2"/>
    <s v="Nearby(&lt;=5)"/>
    <n v="1"/>
    <s v="Not_Satisfied(&lt;3)"/>
    <x v="0"/>
    <n v="3"/>
    <s v="Medium"/>
    <n v="3"/>
    <x v="1"/>
    <x v="7"/>
    <n v="3"/>
    <s v="Satisfied(&gt;=3)"/>
    <x v="1"/>
    <n v="9"/>
    <s v="Y"/>
    <x v="1"/>
    <n v="12"/>
    <x v="0"/>
    <n v="16"/>
    <n v="1"/>
    <s v="Poor(&lt;=2)"/>
    <n v="4"/>
    <s v="Short(&lt;=4)"/>
    <n v="3"/>
    <x v="0"/>
    <n v="0"/>
    <s v="Reasonable(&lt;=3)"/>
  </r>
  <r>
    <x v="17"/>
    <s v="Young(&lt;=29)"/>
    <x v="1"/>
    <s v="Rarely"/>
    <s v="Sales"/>
    <n v="3"/>
    <s v="Nearby(&lt;=5)"/>
    <n v="1"/>
    <s v="Not_Satisfied(&lt;3)"/>
    <x v="0"/>
    <n v="3"/>
    <s v="Medium"/>
    <n v="2"/>
    <x v="0"/>
    <x v="0"/>
    <n v="3"/>
    <s v="Satisfied(&gt;=3)"/>
    <x v="1"/>
    <n v="0"/>
    <s v="Y"/>
    <x v="1"/>
    <n v="21"/>
    <x v="1"/>
    <n v="4"/>
    <n v="2"/>
    <s v="Poor(&lt;=2)"/>
    <n v="3"/>
    <s v="Short(&lt;=4)"/>
    <n v="2"/>
    <x v="0"/>
    <n v="0"/>
    <s v="Reasonable(&lt;=3)"/>
  </r>
  <r>
    <x v="14"/>
    <s v="Young(&lt;=29)"/>
    <x v="1"/>
    <s v="Rarely"/>
    <s v="Sales"/>
    <n v="4"/>
    <s v="Nearby(&lt;=5)"/>
    <n v="2"/>
    <s v="Not_Satisfied(&lt;3)"/>
    <x v="1"/>
    <n v="3"/>
    <s v="Medium"/>
    <n v="2"/>
    <x v="0"/>
    <x v="0"/>
    <n v="3"/>
    <s v="Satisfied(&gt;=3)"/>
    <x v="1"/>
    <n v="1"/>
    <s v="Y"/>
    <x v="1"/>
    <n v="15"/>
    <x v="0"/>
    <n v="5"/>
    <n v="4"/>
    <s v="Good(&gt;=3)"/>
    <n v="5"/>
    <s v="Long(5-10)"/>
    <n v="4"/>
    <x v="0"/>
    <n v="0"/>
    <s v="Reasonable(&lt;=3)"/>
  </r>
  <r>
    <x v="34"/>
    <s v="Old(&gt;50)"/>
    <x v="1"/>
    <s v="Rarely"/>
    <s v="Sales"/>
    <n v="10"/>
    <s v="Middistance(6-14)"/>
    <n v="4"/>
    <s v="Satisfied(&gt;=3)"/>
    <x v="1"/>
    <n v="3"/>
    <s v="Medium"/>
    <n v="4"/>
    <x v="2"/>
    <x v="0"/>
    <n v="3"/>
    <s v="Satisfied(&gt;=3)"/>
    <x v="0"/>
    <n v="0"/>
    <s v="Y"/>
    <x v="1"/>
    <n v="13"/>
    <x v="0"/>
    <n v="38"/>
    <n v="2"/>
    <s v="Poor(&lt;=2)"/>
    <n v="37"/>
    <s v="Ultra_Long(&gt;10)"/>
    <n v="10"/>
    <x v="1"/>
    <n v="1"/>
    <s v="Reasonable(&lt;=3)"/>
  </r>
  <r>
    <x v="20"/>
    <s v="Middle_Age(30-50)"/>
    <x v="1"/>
    <s v="Rarely"/>
    <s v="Research &amp; Development"/>
    <n v="23"/>
    <s v="Far(&gt;=15)"/>
    <n v="2"/>
    <s v="Not_Satisfied(&lt;3)"/>
    <x v="1"/>
    <n v="3"/>
    <s v="Medium"/>
    <n v="2"/>
    <x v="0"/>
    <x v="2"/>
    <n v="2"/>
    <s v="Not_Satisfied(&lt;=2)"/>
    <x v="1"/>
    <n v="4"/>
    <s v="Y"/>
    <x v="1"/>
    <n v="12"/>
    <x v="0"/>
    <n v="17"/>
    <n v="4"/>
    <s v="Good(&gt;=3)"/>
    <n v="3"/>
    <s v="Short(&lt;=4)"/>
    <n v="2"/>
    <x v="0"/>
    <n v="1"/>
    <s v="Reasonable(&lt;=3)"/>
  </r>
  <r>
    <x v="2"/>
    <s v="Middle_Age(30-50)"/>
    <x v="0"/>
    <s v="Rarely"/>
    <s v="Human Resources"/>
    <n v="6"/>
    <s v="Middistance(6-14)"/>
    <n v="3"/>
    <s v="Satisfied(&gt;=3)"/>
    <x v="1"/>
    <n v="3"/>
    <s v="Medium"/>
    <n v="1"/>
    <x v="0"/>
    <x v="8"/>
    <n v="1"/>
    <s v="Not_Satisfied(&lt;=2)"/>
    <x v="2"/>
    <n v="4"/>
    <s v="Y"/>
    <x v="0"/>
    <n v="22"/>
    <x v="1"/>
    <n v="7"/>
    <n v="3"/>
    <s v="Good(&gt;=3)"/>
    <n v="3"/>
    <s v="Short(&lt;=4)"/>
    <n v="2"/>
    <x v="0"/>
    <n v="0"/>
    <s v="Reasonable(&lt;=3)"/>
  </r>
  <r>
    <x v="5"/>
    <s v="Middle_Age(30-50)"/>
    <x v="1"/>
    <s v="Rarely"/>
    <s v="Research &amp; Development"/>
    <n v="1"/>
    <s v="Nearby(&lt;=5)"/>
    <n v="4"/>
    <s v="Satisfied(&gt;=3)"/>
    <x v="1"/>
    <n v="3"/>
    <s v="Medium"/>
    <n v="1"/>
    <x v="0"/>
    <x v="1"/>
    <n v="1"/>
    <s v="Not_Satisfied(&lt;=2)"/>
    <x v="0"/>
    <n v="1"/>
    <s v="Y"/>
    <x v="1"/>
    <n v="13"/>
    <x v="0"/>
    <n v="1"/>
    <n v="3"/>
    <s v="Good(&gt;=3)"/>
    <n v="1"/>
    <s v="Short(&lt;=4)"/>
    <n v="0"/>
    <x v="0"/>
    <n v="0"/>
    <s v="Reasonable(&lt;=3)"/>
  </r>
  <r>
    <x v="35"/>
    <s v="Young(&lt;=29)"/>
    <x v="0"/>
    <s v="Frequently"/>
    <s v="Research &amp; Development"/>
    <n v="6"/>
    <s v="Middistance(6-14)"/>
    <n v="4"/>
    <s v="Satisfied(&gt;=3)"/>
    <x v="0"/>
    <n v="2"/>
    <s v="Low"/>
    <n v="1"/>
    <x v="0"/>
    <x v="2"/>
    <n v="4"/>
    <s v="Satisfied(&gt;=3)"/>
    <x v="0"/>
    <n v="1"/>
    <s v="Y"/>
    <x v="0"/>
    <n v="18"/>
    <x v="0"/>
    <n v="1"/>
    <n v="3"/>
    <s v="Good(&gt;=3)"/>
    <n v="1"/>
    <s v="Short(&lt;=4)"/>
    <n v="0"/>
    <x v="0"/>
    <n v="1"/>
    <s v="Reasonable(&lt;=3)"/>
  </r>
  <r>
    <x v="13"/>
    <s v="Middle_Age(30-50)"/>
    <x v="1"/>
    <s v="Rarely"/>
    <s v="Research &amp; Development"/>
    <n v="6"/>
    <s v="Middistance(6-14)"/>
    <n v="1"/>
    <s v="Not_Satisfied(&lt;3)"/>
    <x v="0"/>
    <n v="3"/>
    <s v="Medium"/>
    <n v="2"/>
    <x v="0"/>
    <x v="1"/>
    <n v="3"/>
    <s v="Satisfied(&gt;=3)"/>
    <x v="0"/>
    <n v="1"/>
    <s v="Y"/>
    <x v="1"/>
    <n v="14"/>
    <x v="0"/>
    <n v="16"/>
    <n v="3"/>
    <s v="Good(&gt;=3)"/>
    <n v="16"/>
    <s v="Ultra_Long(&gt;10)"/>
    <n v="13"/>
    <x v="2"/>
    <n v="2"/>
    <s v="Reasonable(&lt;=3)"/>
  </r>
  <r>
    <x v="2"/>
    <s v="Middle_Age(30-50)"/>
    <x v="1"/>
    <s v="Rarely"/>
    <s v="Research &amp; Development"/>
    <n v="2"/>
    <s v="Nearby(&lt;=5)"/>
    <n v="3"/>
    <s v="Satisfied(&gt;=3)"/>
    <x v="1"/>
    <n v="2"/>
    <s v="Low"/>
    <n v="2"/>
    <x v="0"/>
    <x v="4"/>
    <n v="4"/>
    <s v="Satisfied(&gt;=3)"/>
    <x v="2"/>
    <n v="5"/>
    <s v="Y"/>
    <x v="1"/>
    <n v="14"/>
    <x v="0"/>
    <n v="17"/>
    <n v="4"/>
    <s v="Good(&gt;=3)"/>
    <n v="1"/>
    <s v="Short(&lt;=4)"/>
    <n v="0"/>
    <x v="0"/>
    <n v="0"/>
    <s v="Reasonable(&lt;=3)"/>
  </r>
  <r>
    <x v="6"/>
    <s v="Old(&gt;50)"/>
    <x v="1"/>
    <s v="Rarely"/>
    <s v="Human Resources"/>
    <n v="2"/>
    <s v="Nearby(&lt;=5)"/>
    <n v="3"/>
    <s v="Satisfied(&gt;=3)"/>
    <x v="0"/>
    <n v="2"/>
    <s v="Low"/>
    <n v="5"/>
    <x v="2"/>
    <x v="5"/>
    <n v="4"/>
    <s v="Satisfied(&gt;=3)"/>
    <x v="1"/>
    <n v="9"/>
    <s v="Y"/>
    <x v="1"/>
    <n v="21"/>
    <x v="1"/>
    <n v="30"/>
    <n v="3"/>
    <s v="Good(&gt;=3)"/>
    <n v="3"/>
    <s v="Short(&lt;=4)"/>
    <n v="2"/>
    <x v="0"/>
    <n v="2"/>
    <s v="Reasonable(&lt;=3)"/>
  </r>
  <r>
    <x v="24"/>
    <s v="Middle_Age(30-50)"/>
    <x v="1"/>
    <s v="Frequently"/>
    <s v="Research &amp; Development"/>
    <n v="1"/>
    <s v="Nearby(&lt;=5)"/>
    <n v="1"/>
    <s v="Not_Satisfied(&lt;3)"/>
    <x v="0"/>
    <n v="3"/>
    <s v="Medium"/>
    <n v="5"/>
    <x v="2"/>
    <x v="7"/>
    <n v="2"/>
    <s v="Not_Satisfied(&lt;=2)"/>
    <x v="1"/>
    <n v="3"/>
    <s v="Y"/>
    <x v="0"/>
    <n v="19"/>
    <x v="0"/>
    <n v="28"/>
    <n v="2"/>
    <s v="Poor(&lt;=2)"/>
    <n v="8"/>
    <s v="Long(5-10)"/>
    <n v="3"/>
    <x v="0"/>
    <n v="0"/>
    <s v="Reasonable(&lt;=3)"/>
  </r>
  <r>
    <x v="36"/>
    <s v="Young(&lt;=29)"/>
    <x v="0"/>
    <s v="Rarely"/>
    <s v="Sales"/>
    <n v="5"/>
    <s v="Nearby(&lt;=5)"/>
    <n v="3"/>
    <s v="Satisfied(&gt;=3)"/>
    <x v="1"/>
    <n v="2"/>
    <s v="Low"/>
    <n v="2"/>
    <x v="0"/>
    <x v="0"/>
    <n v="3"/>
    <s v="Satisfied(&gt;=3)"/>
    <x v="0"/>
    <n v="1"/>
    <s v="Y"/>
    <x v="0"/>
    <n v="11"/>
    <x v="0"/>
    <n v="6"/>
    <n v="3"/>
    <s v="Good(&gt;=3)"/>
    <n v="6"/>
    <s v="Long(5-10)"/>
    <n v="4"/>
    <x v="0"/>
    <n v="0"/>
    <s v="Reasonable(&lt;=3)"/>
  </r>
  <r>
    <x v="36"/>
    <s v="Young(&lt;=29)"/>
    <x v="1"/>
    <s v="Rarely"/>
    <s v="Research &amp; Development"/>
    <n v="7"/>
    <s v="Middistance(6-14)"/>
    <n v="4"/>
    <s v="Satisfied(&gt;=3)"/>
    <x v="1"/>
    <n v="2"/>
    <s v="Low"/>
    <n v="1"/>
    <x v="0"/>
    <x v="1"/>
    <n v="4"/>
    <s v="Satisfied(&gt;=3)"/>
    <x v="1"/>
    <n v="1"/>
    <s v="Y"/>
    <x v="1"/>
    <n v="11"/>
    <x v="0"/>
    <n v="2"/>
    <n v="3"/>
    <s v="Good(&gt;=3)"/>
    <n v="2"/>
    <s v="Short(&lt;=4)"/>
    <n v="2"/>
    <x v="0"/>
    <n v="2"/>
    <s v="Reasonable(&lt;=3)"/>
  </r>
  <r>
    <x v="15"/>
    <s v="Young(&lt;=29)"/>
    <x v="1"/>
    <s v="Rarely"/>
    <s v="Research &amp; Development"/>
    <n v="15"/>
    <s v="Far(&gt;=15)"/>
    <n v="2"/>
    <s v="Not_Satisfied(&lt;3)"/>
    <x v="0"/>
    <n v="3"/>
    <s v="Medium"/>
    <n v="1"/>
    <x v="0"/>
    <x v="2"/>
    <n v="4"/>
    <s v="Satisfied(&gt;=3)"/>
    <x v="0"/>
    <n v="1"/>
    <s v="Y"/>
    <x v="1"/>
    <n v="15"/>
    <x v="0"/>
    <n v="1"/>
    <n v="3"/>
    <s v="Good(&gt;=3)"/>
    <n v="0"/>
    <s v="Short(&lt;=4)"/>
    <n v="0"/>
    <x v="0"/>
    <n v="0"/>
    <s v="Reasonable(&lt;=3)"/>
  </r>
  <r>
    <x v="31"/>
    <s v="Old(&gt;50)"/>
    <x v="1"/>
    <s v="Frequently"/>
    <s v="Research &amp; Development"/>
    <n v="1"/>
    <s v="Nearby(&lt;=5)"/>
    <n v="1"/>
    <s v="Not_Satisfied(&lt;3)"/>
    <x v="0"/>
    <n v="2"/>
    <s v="Low"/>
    <n v="3"/>
    <x v="1"/>
    <x v="4"/>
    <n v="1"/>
    <s v="Not_Satisfied(&lt;=2)"/>
    <x v="0"/>
    <n v="3"/>
    <s v="Y"/>
    <x v="1"/>
    <n v="20"/>
    <x v="1"/>
    <n v="23"/>
    <n v="2"/>
    <s v="Poor(&lt;=2)"/>
    <n v="13"/>
    <s v="Ultra_Long(&gt;10)"/>
    <n v="12"/>
    <x v="2"/>
    <n v="12"/>
    <s v="Not_Reasonable(&gt;3)"/>
  </r>
  <r>
    <x v="13"/>
    <s v="Middle_Age(30-50)"/>
    <x v="0"/>
    <s v="Frequently"/>
    <s v="Research &amp; Development"/>
    <n v="7"/>
    <s v="Middistance(6-14)"/>
    <n v="1"/>
    <s v="Not_Satisfied(&lt;3)"/>
    <x v="1"/>
    <n v="1"/>
    <s v="Low"/>
    <n v="2"/>
    <x v="0"/>
    <x v="2"/>
    <n v="3"/>
    <s v="Satisfied(&gt;=3)"/>
    <x v="0"/>
    <n v="1"/>
    <s v="Y"/>
    <x v="0"/>
    <n v="24"/>
    <x v="1"/>
    <n v="9"/>
    <n v="3"/>
    <s v="Good(&gt;=3)"/>
    <n v="9"/>
    <s v="Long(5-10)"/>
    <n v="7"/>
    <x v="1"/>
    <n v="0"/>
    <s v="Reasonable(&lt;=3)"/>
  </r>
  <r>
    <x v="33"/>
    <s v="Old(&gt;50)"/>
    <x v="1"/>
    <s v="Rarely"/>
    <s v="Human Resources"/>
    <n v="26"/>
    <s v="Far(&gt;=15)"/>
    <n v="4"/>
    <s v="Satisfied(&gt;=3)"/>
    <x v="0"/>
    <n v="4"/>
    <s v="High"/>
    <n v="4"/>
    <x v="2"/>
    <x v="5"/>
    <n v="4"/>
    <s v="Satisfied(&gt;=3)"/>
    <x v="0"/>
    <n v="2"/>
    <s v="Y"/>
    <x v="0"/>
    <n v="12"/>
    <x v="0"/>
    <n v="23"/>
    <n v="3"/>
    <s v="Good(&gt;=3)"/>
    <n v="5"/>
    <s v="Long(5-10)"/>
    <n v="3"/>
    <x v="0"/>
    <n v="4"/>
    <s v="Not_Reasonable(&gt;3)"/>
  </r>
  <r>
    <x v="17"/>
    <s v="Young(&lt;=29)"/>
    <x v="1"/>
    <s v="Rarely"/>
    <s v="Research &amp; Development"/>
    <n v="18"/>
    <s v="Far(&gt;=15)"/>
    <n v="2"/>
    <s v="Not_Satisfied(&lt;3)"/>
    <x v="1"/>
    <n v="3"/>
    <s v="Medium"/>
    <n v="1"/>
    <x v="0"/>
    <x v="2"/>
    <n v="3"/>
    <s v="Satisfied(&gt;=3)"/>
    <x v="1"/>
    <n v="0"/>
    <s v="Y"/>
    <x v="1"/>
    <n v="12"/>
    <x v="0"/>
    <n v="6"/>
    <n v="3"/>
    <s v="Good(&gt;=3)"/>
    <n v="5"/>
    <s v="Long(5-10)"/>
    <n v="3"/>
    <x v="0"/>
    <n v="1"/>
    <s v="Reasonable(&lt;=3)"/>
  </r>
  <r>
    <x v="13"/>
    <s v="Middle_Age(30-50)"/>
    <x v="1"/>
    <s v="Rarely"/>
    <s v="Research &amp; Development"/>
    <n v="6"/>
    <s v="Middistance(6-14)"/>
    <n v="3"/>
    <s v="Satisfied(&gt;=3)"/>
    <x v="0"/>
    <n v="2"/>
    <s v="Low"/>
    <n v="2"/>
    <x v="0"/>
    <x v="1"/>
    <n v="2"/>
    <s v="Not_Satisfied(&lt;=2)"/>
    <x v="2"/>
    <n v="6"/>
    <s v="Y"/>
    <x v="1"/>
    <n v="15"/>
    <x v="0"/>
    <n v="12"/>
    <n v="3"/>
    <s v="Good(&gt;=3)"/>
    <n v="1"/>
    <s v="Short(&lt;=4)"/>
    <n v="0"/>
    <x v="0"/>
    <n v="0"/>
    <s v="Reasonable(&lt;=3)"/>
  </r>
  <r>
    <x v="2"/>
    <s v="Middle_Age(30-50)"/>
    <x v="1"/>
    <s v="Rarely"/>
    <s v="Sales"/>
    <n v="3"/>
    <s v="Nearby(&lt;=5)"/>
    <n v="3"/>
    <s v="Satisfied(&gt;=3)"/>
    <x v="1"/>
    <n v="3"/>
    <s v="Medium"/>
    <n v="3"/>
    <x v="1"/>
    <x v="0"/>
    <n v="4"/>
    <s v="Satisfied(&gt;=3)"/>
    <x v="0"/>
    <n v="2"/>
    <s v="Y"/>
    <x v="1"/>
    <n v="12"/>
    <x v="0"/>
    <n v="12"/>
    <n v="3"/>
    <s v="Good(&gt;=3)"/>
    <n v="5"/>
    <s v="Long(5-10)"/>
    <n v="3"/>
    <x v="0"/>
    <n v="1"/>
    <s v="Reasonable(&lt;=3)"/>
  </r>
  <r>
    <x v="13"/>
    <s v="Middle_Age(30-50)"/>
    <x v="1"/>
    <s v="Rarely"/>
    <s v="Research &amp; Development"/>
    <n v="5"/>
    <s v="Nearby(&lt;=5)"/>
    <n v="3"/>
    <s v="Satisfied(&gt;=3)"/>
    <x v="0"/>
    <n v="2"/>
    <s v="Low"/>
    <n v="3"/>
    <x v="1"/>
    <x v="5"/>
    <n v="1"/>
    <s v="Not_Satisfied(&lt;=2)"/>
    <x v="0"/>
    <n v="2"/>
    <s v="Y"/>
    <x v="1"/>
    <n v="12"/>
    <x v="0"/>
    <n v="14"/>
    <n v="3"/>
    <s v="Good(&gt;=3)"/>
    <n v="11"/>
    <s v="Ultra_Long(&gt;10)"/>
    <n v="10"/>
    <x v="1"/>
    <n v="5"/>
    <s v="Not_Reasonable(&gt;3)"/>
  </r>
  <r>
    <x v="9"/>
    <s v="Middle_Age(30-50)"/>
    <x v="1"/>
    <s v="Frequently"/>
    <s v="Sales"/>
    <n v="11"/>
    <s v="Middistance(6-14)"/>
    <n v="2"/>
    <s v="Not_Satisfied(&lt;3)"/>
    <x v="0"/>
    <n v="3"/>
    <s v="Medium"/>
    <n v="3"/>
    <x v="1"/>
    <x v="0"/>
    <n v="4"/>
    <s v="Satisfied(&gt;=3)"/>
    <x v="1"/>
    <n v="0"/>
    <s v="Y"/>
    <x v="1"/>
    <n v="14"/>
    <x v="0"/>
    <n v="10"/>
    <n v="3"/>
    <s v="Good(&gt;=3)"/>
    <n v="9"/>
    <s v="Long(5-10)"/>
    <n v="7"/>
    <x v="1"/>
    <n v="2"/>
    <s v="Reasonable(&lt;=3)"/>
  </r>
  <r>
    <x v="9"/>
    <s v="Middle_Age(30-50)"/>
    <x v="1"/>
    <s v="Rarely"/>
    <s v="Research &amp; Development"/>
    <n v="3"/>
    <s v="Nearby(&lt;=5)"/>
    <n v="1"/>
    <s v="Not_Satisfied(&lt;3)"/>
    <x v="0"/>
    <n v="3"/>
    <s v="Medium"/>
    <n v="1"/>
    <x v="0"/>
    <x v="2"/>
    <n v="4"/>
    <s v="Satisfied(&gt;=3)"/>
    <x v="2"/>
    <n v="5"/>
    <s v="Y"/>
    <x v="1"/>
    <n v="22"/>
    <x v="1"/>
    <n v="7"/>
    <n v="3"/>
    <s v="Good(&gt;=3)"/>
    <n v="1"/>
    <s v="Short(&lt;=4)"/>
    <n v="0"/>
    <x v="0"/>
    <n v="0"/>
    <s v="Reasonable(&lt;=3)"/>
  </r>
  <r>
    <x v="23"/>
    <s v="Middle_Age(30-50)"/>
    <x v="1"/>
    <s v="Frequently"/>
    <s v="Sales"/>
    <n v="26"/>
    <s v="Far(&gt;=15)"/>
    <n v="3"/>
    <s v="Satisfied(&gt;=3)"/>
    <x v="1"/>
    <n v="3"/>
    <s v="Medium"/>
    <n v="4"/>
    <x v="2"/>
    <x v="5"/>
    <n v="4"/>
    <s v="Satisfied(&gt;=3)"/>
    <x v="1"/>
    <n v="1"/>
    <s v="Y"/>
    <x v="0"/>
    <n v="12"/>
    <x v="0"/>
    <n v="25"/>
    <n v="4"/>
    <s v="Good(&gt;=3)"/>
    <n v="25"/>
    <s v="Ultra_Long(&gt;10)"/>
    <n v="12"/>
    <x v="2"/>
    <n v="4"/>
    <s v="Not_Reasonable(&gt;3)"/>
  </r>
  <r>
    <x v="7"/>
    <s v="Middle_Age(30-50)"/>
    <x v="1"/>
    <s v="Frequently"/>
    <s v="Research &amp; Development"/>
    <n v="23"/>
    <s v="Far(&gt;=15)"/>
    <n v="1"/>
    <s v="Not_Satisfied(&lt;3)"/>
    <x v="1"/>
    <n v="1"/>
    <s v="Low"/>
    <n v="1"/>
    <x v="0"/>
    <x v="1"/>
    <n v="3"/>
    <s v="Satisfied(&gt;=3)"/>
    <x v="2"/>
    <n v="1"/>
    <s v="Y"/>
    <x v="1"/>
    <n v="25"/>
    <x v="1"/>
    <n v="10"/>
    <n v="2"/>
    <s v="Poor(&lt;=2)"/>
    <n v="10"/>
    <s v="Long(5-10)"/>
    <n v="7"/>
    <x v="1"/>
    <n v="0"/>
    <s v="Reasonable(&lt;=3)"/>
  </r>
  <r>
    <x v="3"/>
    <s v="Middle_Age(30-50)"/>
    <x v="1"/>
    <s v="Rarely"/>
    <s v="Sales"/>
    <n v="22"/>
    <s v="Far(&gt;=15)"/>
    <n v="3"/>
    <s v="Satisfied(&gt;=3)"/>
    <x v="1"/>
    <n v="3"/>
    <s v="Medium"/>
    <n v="2"/>
    <x v="0"/>
    <x v="0"/>
    <n v="2"/>
    <s v="Not_Satisfied(&lt;=2)"/>
    <x v="1"/>
    <n v="0"/>
    <s v="Y"/>
    <x v="1"/>
    <n v="13"/>
    <x v="0"/>
    <n v="8"/>
    <n v="4"/>
    <s v="Good(&gt;=3)"/>
    <n v="7"/>
    <s v="Long(5-10)"/>
    <n v="7"/>
    <x v="1"/>
    <n v="0"/>
    <s v="Reasonable(&lt;=3)"/>
  </r>
  <r>
    <x v="29"/>
    <s v="Old(&gt;50)"/>
    <x v="0"/>
    <s v="Rarely"/>
    <s v="Research &amp; Development"/>
    <n v="14"/>
    <s v="Middistance(6-14)"/>
    <n v="2"/>
    <s v="Not_Satisfied(&lt;3)"/>
    <x v="0"/>
    <n v="3"/>
    <s v="Medium"/>
    <n v="1"/>
    <x v="0"/>
    <x v="1"/>
    <n v="2"/>
    <s v="Not_Satisfied(&lt;=2)"/>
    <x v="1"/>
    <n v="9"/>
    <s v="Y"/>
    <x v="0"/>
    <n v="18"/>
    <x v="0"/>
    <n v="7"/>
    <n v="3"/>
    <s v="Good(&gt;=3)"/>
    <n v="5"/>
    <s v="Long(5-10)"/>
    <n v="4"/>
    <x v="0"/>
    <n v="4"/>
    <s v="Not_Reasonable(&gt;3)"/>
  </r>
  <r>
    <x v="31"/>
    <s v="Old(&gt;50)"/>
    <x v="1"/>
    <s v="Rarely"/>
    <s v="Research &amp; Development"/>
    <n v="6"/>
    <s v="Middistance(6-14)"/>
    <n v="1"/>
    <s v="Not_Satisfied(&lt;3)"/>
    <x v="1"/>
    <n v="3"/>
    <s v="Medium"/>
    <n v="5"/>
    <x v="2"/>
    <x v="7"/>
    <n v="3"/>
    <s v="Satisfied(&gt;=3)"/>
    <x v="0"/>
    <n v="7"/>
    <s v="Y"/>
    <x v="1"/>
    <n v="13"/>
    <x v="0"/>
    <n v="23"/>
    <n v="3"/>
    <s v="Good(&gt;=3)"/>
    <n v="20"/>
    <s v="Ultra_Long(&gt;10)"/>
    <n v="18"/>
    <x v="2"/>
    <n v="15"/>
    <s v="Not_Reasonable(&gt;3)"/>
  </r>
  <r>
    <x v="12"/>
    <s v="Middle_Age(30-50)"/>
    <x v="0"/>
    <s v="Rarely"/>
    <s v="Sales"/>
    <n v="6"/>
    <s v="Middistance(6-14)"/>
    <n v="2"/>
    <s v="Not_Satisfied(&lt;3)"/>
    <x v="1"/>
    <n v="1"/>
    <s v="Low"/>
    <n v="2"/>
    <x v="0"/>
    <x v="0"/>
    <n v="3"/>
    <s v="Satisfied(&gt;=3)"/>
    <x v="1"/>
    <n v="4"/>
    <s v="Y"/>
    <x v="0"/>
    <n v="18"/>
    <x v="0"/>
    <n v="12"/>
    <n v="2"/>
    <s v="Poor(&lt;=2)"/>
    <n v="7"/>
    <s v="Long(5-10)"/>
    <n v="7"/>
    <x v="1"/>
    <n v="7"/>
    <s v="Not_Reasonable(&gt;3)"/>
  </r>
  <r>
    <x v="25"/>
    <s v="Young(&lt;=29)"/>
    <x v="1"/>
    <s v="Rarely"/>
    <s v="Research &amp; Development"/>
    <n v="6"/>
    <s v="Middistance(6-14)"/>
    <n v="3"/>
    <s v="Satisfied(&gt;=3)"/>
    <x v="0"/>
    <n v="2"/>
    <s v="Low"/>
    <n v="1"/>
    <x v="0"/>
    <x v="1"/>
    <n v="2"/>
    <s v="Not_Satisfied(&lt;=2)"/>
    <x v="1"/>
    <n v="1"/>
    <s v="Y"/>
    <x v="1"/>
    <n v="19"/>
    <x v="0"/>
    <n v="5"/>
    <n v="2"/>
    <s v="Poor(&lt;=2)"/>
    <n v="5"/>
    <s v="Long(5-10)"/>
    <n v="4"/>
    <x v="0"/>
    <n v="4"/>
    <s v="Not_Reasonable(&gt;3)"/>
  </r>
  <r>
    <x v="34"/>
    <s v="Old(&gt;50)"/>
    <x v="0"/>
    <s v="Rarely"/>
    <s v="Research &amp; Development"/>
    <n v="23"/>
    <s v="Far(&gt;=15)"/>
    <n v="4"/>
    <s v="Satisfied(&gt;=3)"/>
    <x v="0"/>
    <n v="3"/>
    <s v="Medium"/>
    <n v="3"/>
    <x v="1"/>
    <x v="4"/>
    <n v="4"/>
    <s v="Satisfied(&gt;=3)"/>
    <x v="1"/>
    <n v="1"/>
    <s v="Y"/>
    <x v="1"/>
    <n v="12"/>
    <x v="0"/>
    <n v="40"/>
    <n v="2"/>
    <s v="Poor(&lt;=2)"/>
    <n v="40"/>
    <s v="Ultra_Long(&gt;10)"/>
    <n v="10"/>
    <x v="1"/>
    <n v="15"/>
    <s v="Not_Reasonable(&gt;3)"/>
  </r>
  <r>
    <x v="37"/>
    <s v="Young(&lt;=29)"/>
    <x v="0"/>
    <s v="Rarely"/>
    <s v="Sales"/>
    <n v="22"/>
    <s v="Far(&gt;=15)"/>
    <n v="4"/>
    <s v="Satisfied(&gt;=3)"/>
    <x v="1"/>
    <n v="3"/>
    <s v="Medium"/>
    <n v="1"/>
    <x v="0"/>
    <x v="6"/>
    <n v="3"/>
    <s v="Satisfied(&gt;=3)"/>
    <x v="0"/>
    <n v="1"/>
    <s v="Y"/>
    <x v="0"/>
    <n v="19"/>
    <x v="0"/>
    <n v="0"/>
    <n v="2"/>
    <s v="Poor(&lt;=2)"/>
    <n v="0"/>
    <s v="Short(&lt;=4)"/>
    <n v="0"/>
    <x v="0"/>
    <n v="0"/>
    <s v="Reasonable(&lt;=3)"/>
  </r>
  <r>
    <x v="15"/>
    <s v="Young(&lt;=29)"/>
    <x v="1"/>
    <s v="Rarely"/>
    <s v="Research &amp; Development"/>
    <n v="2"/>
    <s v="Nearby(&lt;=5)"/>
    <n v="3"/>
    <s v="Satisfied(&gt;=3)"/>
    <x v="1"/>
    <n v="3"/>
    <s v="Medium"/>
    <n v="1"/>
    <x v="0"/>
    <x v="2"/>
    <n v="4"/>
    <s v="Satisfied(&gt;=3)"/>
    <x v="1"/>
    <n v="0"/>
    <s v="Y"/>
    <x v="1"/>
    <n v="14"/>
    <x v="0"/>
    <n v="3"/>
    <n v="3"/>
    <s v="Good(&gt;=3)"/>
    <n v="2"/>
    <s v="Short(&lt;=4)"/>
    <n v="1"/>
    <x v="0"/>
    <n v="2"/>
    <s v="Reasonable(&lt;=3)"/>
  </r>
  <r>
    <x v="1"/>
    <s v="Middle_Age(30-50)"/>
    <x v="1"/>
    <s v="Rarely"/>
    <s v="Research &amp; Development"/>
    <n v="20"/>
    <s v="Far(&gt;=15)"/>
    <n v="3"/>
    <s v="Satisfied(&gt;=3)"/>
    <x v="0"/>
    <n v="3"/>
    <s v="Medium"/>
    <n v="2"/>
    <x v="0"/>
    <x v="3"/>
    <n v="1"/>
    <s v="Not_Satisfied(&lt;=2)"/>
    <x v="1"/>
    <n v="1"/>
    <s v="Y"/>
    <x v="1"/>
    <n v="14"/>
    <x v="0"/>
    <n v="16"/>
    <n v="2"/>
    <s v="Poor(&lt;=2)"/>
    <n v="15"/>
    <s v="Ultra_Long(&gt;10)"/>
    <n v="11"/>
    <x v="2"/>
    <n v="5"/>
    <s v="Not_Reasonable(&gt;3)"/>
  </r>
  <r>
    <x v="23"/>
    <s v="Middle_Age(30-50)"/>
    <x v="1"/>
    <s v="Frequently"/>
    <s v="Research &amp; Development"/>
    <n v="28"/>
    <s v="Far(&gt;=15)"/>
    <n v="2"/>
    <s v="Not_Satisfied(&lt;3)"/>
    <x v="0"/>
    <n v="4"/>
    <s v="High"/>
    <n v="1"/>
    <x v="0"/>
    <x v="1"/>
    <n v="3"/>
    <s v="Satisfied(&gt;=3)"/>
    <x v="0"/>
    <n v="4"/>
    <s v="Y"/>
    <x v="1"/>
    <n v="12"/>
    <x v="0"/>
    <n v="18"/>
    <n v="3"/>
    <s v="Good(&gt;=3)"/>
    <n v="3"/>
    <s v="Short(&lt;=4)"/>
    <n v="2"/>
    <x v="0"/>
    <n v="1"/>
    <s v="Reasonable(&lt;=3)"/>
  </r>
  <r>
    <x v="24"/>
    <s v="Middle_Age(30-50)"/>
    <x v="1"/>
    <s v="Frequently"/>
    <s v="Sales"/>
    <n v="12"/>
    <s v="Middistance(6-14)"/>
    <n v="3"/>
    <s v="Satisfied(&gt;=3)"/>
    <x v="0"/>
    <n v="3"/>
    <s v="Medium"/>
    <n v="3"/>
    <x v="1"/>
    <x v="0"/>
    <n v="4"/>
    <s v="Satisfied(&gt;=3)"/>
    <x v="0"/>
    <n v="4"/>
    <s v="Y"/>
    <x v="1"/>
    <n v="11"/>
    <x v="0"/>
    <n v="16"/>
    <n v="3"/>
    <s v="Good(&gt;=3)"/>
    <n v="2"/>
    <s v="Short(&lt;=4)"/>
    <n v="2"/>
    <x v="0"/>
    <n v="2"/>
    <s v="Reasonable(&lt;=3)"/>
  </r>
  <r>
    <x v="12"/>
    <s v="Middle_Age(30-50)"/>
    <x v="0"/>
    <s v="Rarely"/>
    <s v="Sales"/>
    <n v="20"/>
    <s v="Far(&gt;=15)"/>
    <n v="2"/>
    <s v="Not_Satisfied(&lt;3)"/>
    <x v="0"/>
    <n v="1"/>
    <s v="Low"/>
    <n v="2"/>
    <x v="0"/>
    <x v="0"/>
    <n v="3"/>
    <s v="Satisfied(&gt;=3)"/>
    <x v="1"/>
    <n v="3"/>
    <s v="Y"/>
    <x v="0"/>
    <n v="11"/>
    <x v="0"/>
    <n v="4"/>
    <n v="3"/>
    <s v="Good(&gt;=3)"/>
    <n v="2"/>
    <s v="Short(&lt;=4)"/>
    <n v="2"/>
    <x v="0"/>
    <n v="2"/>
    <s v="Reasonable(&lt;=3)"/>
  </r>
  <r>
    <x v="0"/>
    <s v="Middle_Age(30-50)"/>
    <x v="1"/>
    <s v="Rarely"/>
    <s v="Sales"/>
    <n v="9"/>
    <s v="Middistance(6-14)"/>
    <n v="3"/>
    <s v="Satisfied(&gt;=3)"/>
    <x v="1"/>
    <n v="3"/>
    <s v="Medium"/>
    <n v="3"/>
    <x v="1"/>
    <x v="0"/>
    <n v="3"/>
    <s v="Satisfied(&gt;=3)"/>
    <x v="2"/>
    <n v="3"/>
    <s v="Y"/>
    <x v="0"/>
    <n v="13"/>
    <x v="0"/>
    <n v="12"/>
    <n v="3"/>
    <s v="Good(&gt;=3)"/>
    <n v="9"/>
    <s v="Long(5-10)"/>
    <n v="7"/>
    <x v="1"/>
    <n v="0"/>
    <s v="Reasonable(&lt;=3)"/>
  </r>
  <r>
    <x v="25"/>
    <s v="Young(&lt;=29)"/>
    <x v="1"/>
    <s v="Rarely"/>
    <s v="Human Resources"/>
    <n v="25"/>
    <s v="Far(&gt;=15)"/>
    <n v="3"/>
    <s v="Satisfied(&gt;=3)"/>
    <x v="0"/>
    <n v="3"/>
    <s v="Medium"/>
    <n v="1"/>
    <x v="0"/>
    <x v="8"/>
    <n v="3"/>
    <s v="Satisfied(&gt;=3)"/>
    <x v="1"/>
    <n v="1"/>
    <s v="Y"/>
    <x v="1"/>
    <n v="23"/>
    <x v="1"/>
    <n v="8"/>
    <n v="3"/>
    <s v="Good(&gt;=3)"/>
    <n v="8"/>
    <s v="Long(5-10)"/>
    <n v="7"/>
    <x v="1"/>
    <n v="5"/>
    <s v="Not_Reasonable(&gt;3)"/>
  </r>
  <r>
    <x v="9"/>
    <s v="Middle_Age(30-50)"/>
    <x v="1"/>
    <s v="Rarely"/>
    <s v="Research &amp; Development"/>
    <n v="6"/>
    <s v="Middistance(6-14)"/>
    <n v="2"/>
    <s v="Not_Satisfied(&lt;3)"/>
    <x v="1"/>
    <n v="3"/>
    <s v="Medium"/>
    <n v="2"/>
    <x v="0"/>
    <x v="3"/>
    <n v="2"/>
    <s v="Not_Satisfied(&lt;=2)"/>
    <x v="2"/>
    <n v="6"/>
    <s v="Y"/>
    <x v="1"/>
    <n v="20"/>
    <x v="1"/>
    <n v="7"/>
    <n v="3"/>
    <s v="Good(&gt;=3)"/>
    <n v="3"/>
    <s v="Short(&lt;=4)"/>
    <n v="2"/>
    <x v="0"/>
    <n v="0"/>
    <s v="Reasonable(&lt;=3)"/>
  </r>
  <r>
    <x v="31"/>
    <s v="Old(&gt;50)"/>
    <x v="0"/>
    <s v="Frequently"/>
    <s v="Research &amp; Development"/>
    <n v="8"/>
    <s v="Middistance(6-14)"/>
    <n v="1"/>
    <s v="Not_Satisfied(&lt;3)"/>
    <x v="1"/>
    <n v="1"/>
    <s v="Low"/>
    <n v="3"/>
    <x v="1"/>
    <x v="3"/>
    <n v="4"/>
    <s v="Satisfied(&gt;=3)"/>
    <x v="0"/>
    <n v="2"/>
    <s v="Y"/>
    <x v="1"/>
    <n v="15"/>
    <x v="0"/>
    <n v="18"/>
    <n v="3"/>
    <s v="Good(&gt;=3)"/>
    <n v="4"/>
    <s v="Short(&lt;=4)"/>
    <n v="2"/>
    <x v="0"/>
    <n v="0"/>
    <s v="Reasonable(&lt;=3)"/>
  </r>
  <r>
    <x v="22"/>
    <s v="Middle_Age(30-50)"/>
    <x v="1"/>
    <s v="Rarely"/>
    <s v="Sales"/>
    <n v="4"/>
    <s v="Nearby(&lt;=5)"/>
    <n v="4"/>
    <s v="Satisfied(&gt;=3)"/>
    <x v="0"/>
    <n v="2"/>
    <s v="Low"/>
    <n v="2"/>
    <x v="0"/>
    <x v="0"/>
    <n v="3"/>
    <s v="Satisfied(&gt;=3)"/>
    <x v="1"/>
    <n v="4"/>
    <s v="Y"/>
    <x v="1"/>
    <n v="14"/>
    <x v="0"/>
    <n v="17"/>
    <n v="4"/>
    <s v="Good(&gt;=3)"/>
    <n v="15"/>
    <s v="Ultra_Long(&gt;10)"/>
    <n v="11"/>
    <x v="2"/>
    <n v="5"/>
    <s v="Not_Reasonable(&gt;3)"/>
  </r>
  <r>
    <x v="36"/>
    <s v="Young(&lt;=29)"/>
    <x v="1"/>
    <s v="Rarely"/>
    <s v="Sales"/>
    <n v="28"/>
    <s v="Far(&gt;=15)"/>
    <n v="1"/>
    <s v="Not_Satisfied(&lt;3)"/>
    <x v="1"/>
    <n v="2"/>
    <s v="Low"/>
    <n v="2"/>
    <x v="0"/>
    <x v="0"/>
    <n v="3"/>
    <s v="Satisfied(&gt;=3)"/>
    <x v="1"/>
    <n v="2"/>
    <s v="Y"/>
    <x v="1"/>
    <n v="18"/>
    <x v="0"/>
    <n v="6"/>
    <n v="3"/>
    <s v="Good(&gt;=3)"/>
    <n v="2"/>
    <s v="Short(&lt;=4)"/>
    <n v="2"/>
    <x v="0"/>
    <n v="2"/>
    <s v="Reasonable(&lt;=3)"/>
  </r>
  <r>
    <x v="7"/>
    <s v="Middle_Age(30-50)"/>
    <x v="1"/>
    <s v="Rarely"/>
    <s v="Human Resources"/>
    <n v="9"/>
    <s v="Middistance(6-14)"/>
    <n v="3"/>
    <s v="Satisfied(&gt;=3)"/>
    <x v="1"/>
    <n v="3"/>
    <s v="Medium"/>
    <n v="2"/>
    <x v="0"/>
    <x v="8"/>
    <n v="4"/>
    <s v="Satisfied(&gt;=3)"/>
    <x v="1"/>
    <n v="0"/>
    <s v="Y"/>
    <x v="0"/>
    <n v="19"/>
    <x v="0"/>
    <n v="12"/>
    <n v="1"/>
    <s v="Poor(&lt;=2)"/>
    <n v="11"/>
    <s v="Ultra_Long(&gt;10)"/>
    <n v="9"/>
    <x v="1"/>
    <n v="4"/>
    <s v="Not_Reasonable(&gt;3)"/>
  </r>
  <r>
    <x v="5"/>
    <s v="Middle_Age(30-50)"/>
    <x v="0"/>
    <s v="Rarely"/>
    <s v="Research &amp; Development"/>
    <n v="9"/>
    <s v="Middistance(6-14)"/>
    <n v="1"/>
    <s v="Not_Satisfied(&lt;3)"/>
    <x v="0"/>
    <n v="3"/>
    <s v="Medium"/>
    <n v="1"/>
    <x v="0"/>
    <x v="2"/>
    <n v="1"/>
    <s v="Not_Satisfied(&lt;=2)"/>
    <x v="0"/>
    <n v="7"/>
    <s v="Y"/>
    <x v="1"/>
    <n v="22"/>
    <x v="1"/>
    <n v="10"/>
    <n v="4"/>
    <s v="Good(&gt;=3)"/>
    <n v="5"/>
    <s v="Long(5-10)"/>
    <n v="4"/>
    <x v="0"/>
    <n v="0"/>
    <s v="Reasonable(&lt;=3)"/>
  </r>
  <r>
    <x v="28"/>
    <s v="Middle_Age(30-50)"/>
    <x v="1"/>
    <s v="Rarely"/>
    <s v="Research &amp; Development"/>
    <n v="29"/>
    <s v="Far(&gt;=15)"/>
    <n v="3"/>
    <s v="Satisfied(&gt;=3)"/>
    <x v="1"/>
    <n v="3"/>
    <s v="Medium"/>
    <n v="1"/>
    <x v="0"/>
    <x v="1"/>
    <n v="4"/>
    <s v="Satisfied(&gt;=3)"/>
    <x v="0"/>
    <n v="5"/>
    <s v="Y"/>
    <x v="1"/>
    <n v="13"/>
    <x v="0"/>
    <n v="9"/>
    <n v="2"/>
    <s v="Poor(&lt;=2)"/>
    <n v="6"/>
    <s v="Long(5-10)"/>
    <n v="5"/>
    <x v="1"/>
    <n v="0"/>
    <s v="Reasonable(&lt;=3)"/>
  </r>
  <r>
    <x v="8"/>
    <s v="Middle_Age(30-50)"/>
    <x v="1"/>
    <s v="Rarely"/>
    <s v="Research &amp; Development"/>
    <n v="3"/>
    <s v="Nearby(&lt;=5)"/>
    <n v="4"/>
    <s v="Satisfied(&gt;=3)"/>
    <x v="0"/>
    <n v="3"/>
    <s v="Medium"/>
    <n v="2"/>
    <x v="0"/>
    <x v="1"/>
    <n v="3"/>
    <s v="Satisfied(&gt;=3)"/>
    <x v="0"/>
    <n v="3"/>
    <s v="Y"/>
    <x v="0"/>
    <n v="20"/>
    <x v="1"/>
    <n v="19"/>
    <n v="3"/>
    <s v="Good(&gt;=3)"/>
    <n v="3"/>
    <s v="Short(&lt;=4)"/>
    <n v="2"/>
    <x v="0"/>
    <n v="2"/>
    <s v="Reasonable(&lt;=3)"/>
  </r>
  <r>
    <x v="7"/>
    <s v="Middle_Age(30-50)"/>
    <x v="1"/>
    <s v="Rarely"/>
    <s v="Research &amp; Development"/>
    <n v="18"/>
    <s v="Far(&gt;=15)"/>
    <n v="1"/>
    <s v="Not_Satisfied(&lt;3)"/>
    <x v="0"/>
    <n v="3"/>
    <s v="Medium"/>
    <n v="1"/>
    <x v="0"/>
    <x v="1"/>
    <n v="3"/>
    <s v="Satisfied(&gt;=3)"/>
    <x v="0"/>
    <n v="1"/>
    <s v="Y"/>
    <x v="1"/>
    <n v="14"/>
    <x v="0"/>
    <n v="5"/>
    <n v="2"/>
    <s v="Poor(&lt;=2)"/>
    <n v="5"/>
    <s v="Long(5-10)"/>
    <n v="4"/>
    <x v="0"/>
    <n v="0"/>
    <s v="Reasonable(&lt;=3)"/>
  </r>
  <r>
    <x v="5"/>
    <s v="Middle_Age(30-50)"/>
    <x v="1"/>
    <s v="Frequently"/>
    <s v="Sales"/>
    <n v="9"/>
    <s v="Middistance(6-14)"/>
    <n v="4"/>
    <s v="Satisfied(&gt;=3)"/>
    <x v="1"/>
    <n v="1"/>
    <s v="Low"/>
    <n v="2"/>
    <x v="0"/>
    <x v="0"/>
    <n v="4"/>
    <s v="Satisfied(&gt;=3)"/>
    <x v="2"/>
    <n v="0"/>
    <s v="Y"/>
    <x v="1"/>
    <n v="17"/>
    <x v="0"/>
    <n v="9"/>
    <n v="4"/>
    <s v="Good(&gt;=3)"/>
    <n v="8"/>
    <s v="Long(5-10)"/>
    <n v="7"/>
    <x v="1"/>
    <n v="0"/>
    <s v="Reasonable(&lt;=3)"/>
  </r>
  <r>
    <x v="7"/>
    <s v="Middle_Age(30-50)"/>
    <x v="1"/>
    <s v="Rarely"/>
    <s v="Research &amp; Development"/>
    <n v="5"/>
    <s v="Nearby(&lt;=5)"/>
    <n v="4"/>
    <s v="Satisfied(&gt;=3)"/>
    <x v="0"/>
    <n v="3"/>
    <s v="Medium"/>
    <n v="1"/>
    <x v="0"/>
    <x v="1"/>
    <n v="1"/>
    <s v="Not_Satisfied(&lt;=2)"/>
    <x v="2"/>
    <n v="5"/>
    <s v="Y"/>
    <x v="1"/>
    <n v="14"/>
    <x v="0"/>
    <n v="8"/>
    <n v="3"/>
    <s v="Good(&gt;=3)"/>
    <n v="3"/>
    <s v="Short(&lt;=4)"/>
    <n v="2"/>
    <x v="0"/>
    <n v="2"/>
    <s v="Reasonable(&lt;=3)"/>
  </r>
  <r>
    <x v="7"/>
    <s v="Middle_Age(30-50)"/>
    <x v="1"/>
    <s v="Rarely"/>
    <s v="Research &amp; Development"/>
    <n v="2"/>
    <s v="Nearby(&lt;=5)"/>
    <n v="2"/>
    <s v="Not_Satisfied(&lt;3)"/>
    <x v="1"/>
    <n v="2"/>
    <s v="Low"/>
    <n v="1"/>
    <x v="0"/>
    <x v="2"/>
    <n v="4"/>
    <s v="Satisfied(&gt;=3)"/>
    <x v="0"/>
    <n v="0"/>
    <s v="Y"/>
    <x v="1"/>
    <n v="13"/>
    <x v="0"/>
    <n v="6"/>
    <n v="3"/>
    <s v="Good(&gt;=3)"/>
    <n v="5"/>
    <s v="Long(5-10)"/>
    <n v="3"/>
    <x v="0"/>
    <n v="1"/>
    <s v="Reasonable(&lt;=3)"/>
  </r>
  <r>
    <x v="0"/>
    <s v="Middle_Age(30-50)"/>
    <x v="1"/>
    <s v="Frequently"/>
    <s v="Research &amp; Development"/>
    <n v="10"/>
    <s v="Middistance(6-14)"/>
    <n v="4"/>
    <s v="Satisfied(&gt;=3)"/>
    <x v="1"/>
    <n v="2"/>
    <s v="Low"/>
    <n v="4"/>
    <x v="2"/>
    <x v="5"/>
    <n v="1"/>
    <s v="Not_Satisfied(&lt;=2)"/>
    <x v="2"/>
    <n v="4"/>
    <s v="Y"/>
    <x v="1"/>
    <n v="13"/>
    <x v="0"/>
    <n v="21"/>
    <n v="2"/>
    <s v="Poor(&lt;=2)"/>
    <n v="7"/>
    <s v="Long(5-10)"/>
    <n v="6"/>
    <x v="1"/>
    <n v="7"/>
    <s v="Not_Reasonable(&gt;3)"/>
  </r>
  <r>
    <x v="0"/>
    <s v="Middle_Age(30-50)"/>
    <x v="1"/>
    <s v="Rarely"/>
    <s v="Research &amp; Development"/>
    <n v="9"/>
    <s v="Middistance(6-14)"/>
    <n v="3"/>
    <s v="Satisfied(&gt;=3)"/>
    <x v="1"/>
    <n v="3"/>
    <s v="Medium"/>
    <n v="1"/>
    <x v="0"/>
    <x v="2"/>
    <n v="1"/>
    <s v="Not_Satisfied(&lt;=2)"/>
    <x v="1"/>
    <n v="2"/>
    <s v="Y"/>
    <x v="1"/>
    <n v="21"/>
    <x v="1"/>
    <n v="7"/>
    <n v="3"/>
    <s v="Good(&gt;=3)"/>
    <n v="5"/>
    <s v="Long(5-10)"/>
    <n v="0"/>
    <x v="0"/>
    <n v="1"/>
    <s v="Reasonable(&lt;=3)"/>
  </r>
  <r>
    <x v="37"/>
    <s v="Young(&lt;=29)"/>
    <x v="1"/>
    <s v="Rarely"/>
    <s v="Research &amp; Development"/>
    <n v="3"/>
    <s v="Nearby(&lt;=5)"/>
    <n v="2"/>
    <s v="Not_Satisfied(&lt;3)"/>
    <x v="0"/>
    <n v="3"/>
    <s v="Medium"/>
    <n v="1"/>
    <x v="0"/>
    <x v="2"/>
    <n v="2"/>
    <s v="Not_Satisfied(&lt;=2)"/>
    <x v="0"/>
    <n v="1"/>
    <s v="Y"/>
    <x v="1"/>
    <n v="14"/>
    <x v="0"/>
    <n v="1"/>
    <n v="3"/>
    <s v="Good(&gt;=3)"/>
    <n v="1"/>
    <s v="Short(&lt;=4)"/>
    <n v="0"/>
    <x v="0"/>
    <n v="0"/>
    <s v="Reasonable(&lt;=3)"/>
  </r>
  <r>
    <x v="32"/>
    <s v="Middle_Age(30-50)"/>
    <x v="1"/>
    <s v="Frequently"/>
    <s v="Research &amp; Development"/>
    <n v="26"/>
    <s v="Far(&gt;=15)"/>
    <n v="2"/>
    <s v="Not_Satisfied(&lt;3)"/>
    <x v="0"/>
    <n v="3"/>
    <s v="Medium"/>
    <n v="2"/>
    <x v="0"/>
    <x v="1"/>
    <n v="2"/>
    <s v="Not_Satisfied(&lt;=2)"/>
    <x v="2"/>
    <n v="1"/>
    <s v="Y"/>
    <x v="1"/>
    <n v="11"/>
    <x v="0"/>
    <n v="20"/>
    <n v="3"/>
    <s v="Good(&gt;=3)"/>
    <n v="20"/>
    <s v="Ultra_Long(&gt;10)"/>
    <n v="7"/>
    <x v="1"/>
    <n v="2"/>
    <s v="Reasonable(&lt;=3)"/>
  </r>
  <r>
    <x v="10"/>
    <s v="Middle_Age(30-50)"/>
    <x v="1"/>
    <s v="Rarely"/>
    <s v="Sales"/>
    <n v="1"/>
    <s v="Nearby(&lt;=5)"/>
    <n v="3"/>
    <s v="Satisfied(&gt;=3)"/>
    <x v="1"/>
    <n v="3"/>
    <s v="Medium"/>
    <n v="3"/>
    <x v="1"/>
    <x v="0"/>
    <n v="2"/>
    <s v="Not_Satisfied(&lt;=2)"/>
    <x v="1"/>
    <n v="1"/>
    <s v="Y"/>
    <x v="1"/>
    <n v="13"/>
    <x v="0"/>
    <n v="10"/>
    <n v="3"/>
    <s v="Good(&gt;=3)"/>
    <n v="10"/>
    <s v="Long(5-10)"/>
    <n v="8"/>
    <x v="1"/>
    <n v="0"/>
    <s v="Reasonable(&lt;=3)"/>
  </r>
  <r>
    <x v="16"/>
    <s v="Old(&gt;50)"/>
    <x v="1"/>
    <s v="Rarely"/>
    <s v="Sales"/>
    <n v="6"/>
    <s v="Middistance(6-14)"/>
    <n v="2"/>
    <s v="Not_Satisfied(&lt;3)"/>
    <x v="1"/>
    <n v="3"/>
    <s v="Medium"/>
    <n v="2"/>
    <x v="0"/>
    <x v="6"/>
    <n v="3"/>
    <s v="Satisfied(&gt;=3)"/>
    <x v="1"/>
    <n v="2"/>
    <s v="Y"/>
    <x v="0"/>
    <n v="20"/>
    <x v="1"/>
    <n v="13"/>
    <n v="1"/>
    <s v="Poor(&lt;=2)"/>
    <n v="7"/>
    <s v="Long(5-10)"/>
    <n v="7"/>
    <x v="1"/>
    <n v="4"/>
    <s v="Not_Reasonable(&gt;3)"/>
  </r>
  <r>
    <x v="28"/>
    <s v="Middle_Age(30-50)"/>
    <x v="1"/>
    <s v="Rarely"/>
    <s v="Research &amp; Development"/>
    <n v="9"/>
    <s v="Middistance(6-14)"/>
    <n v="2"/>
    <s v="Not_Satisfied(&lt;3)"/>
    <x v="1"/>
    <n v="3"/>
    <s v="Medium"/>
    <n v="2"/>
    <x v="0"/>
    <x v="2"/>
    <n v="2"/>
    <s v="Not_Satisfied(&lt;=2)"/>
    <x v="2"/>
    <n v="8"/>
    <s v="Y"/>
    <x v="1"/>
    <n v="18"/>
    <x v="0"/>
    <n v="20"/>
    <n v="1"/>
    <s v="Poor(&lt;=2)"/>
    <n v="17"/>
    <s v="Ultra_Long(&gt;10)"/>
    <n v="9"/>
    <x v="1"/>
    <n v="0"/>
    <s v="Reasonable(&lt;=3)"/>
  </r>
  <r>
    <x v="5"/>
    <s v="Middle_Age(30-50)"/>
    <x v="1"/>
    <s v="Frequently"/>
    <s v="Sales"/>
    <n v="8"/>
    <s v="Middistance(6-14)"/>
    <n v="2"/>
    <s v="Not_Satisfied(&lt;3)"/>
    <x v="0"/>
    <n v="3"/>
    <s v="Medium"/>
    <n v="3"/>
    <x v="1"/>
    <x v="0"/>
    <n v="4"/>
    <s v="Satisfied(&gt;=3)"/>
    <x v="0"/>
    <n v="1"/>
    <s v="Y"/>
    <x v="1"/>
    <n v="14"/>
    <x v="0"/>
    <n v="9"/>
    <n v="3"/>
    <s v="Good(&gt;=3)"/>
    <n v="9"/>
    <s v="Long(5-10)"/>
    <n v="8"/>
    <x v="1"/>
    <n v="3"/>
    <s v="Reasonable(&lt;=3)"/>
  </r>
  <r>
    <x v="11"/>
    <s v="Young(&lt;=29)"/>
    <x v="1"/>
    <s v="Rarely"/>
    <s v="Research &amp; Development"/>
    <n v="1"/>
    <s v="Nearby(&lt;=5)"/>
    <n v="4"/>
    <s v="Satisfied(&gt;=3)"/>
    <x v="1"/>
    <n v="3"/>
    <s v="Medium"/>
    <n v="2"/>
    <x v="0"/>
    <x v="3"/>
    <n v="3"/>
    <s v="Satisfied(&gt;=3)"/>
    <x v="1"/>
    <n v="1"/>
    <s v="Y"/>
    <x v="1"/>
    <n v="13"/>
    <x v="0"/>
    <n v="10"/>
    <n v="3"/>
    <s v="Good(&gt;=3)"/>
    <n v="10"/>
    <s v="Long(5-10)"/>
    <n v="7"/>
    <x v="1"/>
    <n v="0"/>
    <s v="Reasonable(&lt;=3)"/>
  </r>
  <r>
    <x v="31"/>
    <s v="Old(&gt;50)"/>
    <x v="1"/>
    <s v="Rarely"/>
    <s v="Research &amp; Development"/>
    <n v="7"/>
    <s v="Middistance(6-14)"/>
    <n v="2"/>
    <s v="Not_Satisfied(&lt;3)"/>
    <x v="1"/>
    <n v="2"/>
    <s v="Low"/>
    <n v="2"/>
    <x v="0"/>
    <x v="3"/>
    <n v="3"/>
    <s v="Satisfied(&gt;=3)"/>
    <x v="1"/>
    <n v="2"/>
    <s v="Y"/>
    <x v="1"/>
    <n v="17"/>
    <x v="0"/>
    <n v="10"/>
    <n v="3"/>
    <s v="Good(&gt;=3)"/>
    <n v="1"/>
    <s v="Short(&lt;=4)"/>
    <n v="0"/>
    <x v="0"/>
    <n v="0"/>
    <s v="Reasonable(&lt;=3)"/>
  </r>
  <r>
    <x v="34"/>
    <s v="Old(&gt;50)"/>
    <x v="1"/>
    <s v="Rarely"/>
    <s v="Research &amp; Development"/>
    <n v="9"/>
    <s v="Middistance(6-14)"/>
    <n v="2"/>
    <s v="Not_Satisfied(&lt;3)"/>
    <x v="0"/>
    <n v="2"/>
    <s v="Low"/>
    <n v="1"/>
    <x v="0"/>
    <x v="1"/>
    <n v="2"/>
    <s v="Not_Satisfied(&lt;=2)"/>
    <x v="1"/>
    <n v="4"/>
    <s v="Y"/>
    <x v="0"/>
    <n v="20"/>
    <x v="1"/>
    <n v="9"/>
    <n v="2"/>
    <s v="Poor(&lt;=2)"/>
    <n v="1"/>
    <s v="Short(&lt;=4)"/>
    <n v="0"/>
    <x v="0"/>
    <n v="0"/>
    <s v="Reasonable(&lt;=3)"/>
  </r>
  <r>
    <x v="32"/>
    <s v="Middle_Age(30-50)"/>
    <x v="1"/>
    <s v="Rarely"/>
    <s v="Sales"/>
    <n v="4"/>
    <s v="Nearby(&lt;=5)"/>
    <n v="3"/>
    <s v="Satisfied(&gt;=3)"/>
    <x v="1"/>
    <n v="2"/>
    <s v="Low"/>
    <n v="3"/>
    <x v="1"/>
    <x v="0"/>
    <n v="4"/>
    <s v="Satisfied(&gt;=3)"/>
    <x v="1"/>
    <n v="7"/>
    <s v="Y"/>
    <x v="1"/>
    <n v="11"/>
    <x v="0"/>
    <n v="15"/>
    <n v="2"/>
    <s v="Poor(&lt;=2)"/>
    <n v="12"/>
    <s v="Ultra_Long(&gt;10)"/>
    <n v="11"/>
    <x v="2"/>
    <n v="2"/>
    <s v="Reasonable(&lt;=3)"/>
  </r>
  <r>
    <x v="13"/>
    <s v="Middle_Age(30-50)"/>
    <x v="1"/>
    <s v="Frequently"/>
    <s v="Sales"/>
    <n v="2"/>
    <s v="Nearby(&lt;=5)"/>
    <n v="3"/>
    <s v="Satisfied(&gt;=3)"/>
    <x v="0"/>
    <n v="3"/>
    <s v="Medium"/>
    <n v="1"/>
    <x v="0"/>
    <x v="6"/>
    <n v="3"/>
    <s v="Satisfied(&gt;=3)"/>
    <x v="1"/>
    <n v="6"/>
    <s v="Y"/>
    <x v="1"/>
    <n v="18"/>
    <x v="0"/>
    <n v="6"/>
    <n v="3"/>
    <s v="Good(&gt;=3)"/>
    <n v="4"/>
    <s v="Short(&lt;=4)"/>
    <n v="3"/>
    <x v="0"/>
    <n v="1"/>
    <s v="Reasonable(&lt;=3)"/>
  </r>
  <r>
    <x v="15"/>
    <s v="Young(&lt;=29)"/>
    <x v="1"/>
    <s v="Rarely"/>
    <s v="Research &amp; Development"/>
    <n v="19"/>
    <s v="Far(&gt;=15)"/>
    <n v="3"/>
    <s v="Satisfied(&gt;=3)"/>
    <x v="1"/>
    <n v="3"/>
    <s v="Medium"/>
    <n v="1"/>
    <x v="0"/>
    <x v="1"/>
    <n v="4"/>
    <s v="Satisfied(&gt;=3)"/>
    <x v="1"/>
    <n v="1"/>
    <s v="Y"/>
    <x v="1"/>
    <n v="24"/>
    <x v="1"/>
    <n v="2"/>
    <n v="3"/>
    <s v="Good(&gt;=3)"/>
    <n v="2"/>
    <s v="Short(&lt;=4)"/>
    <n v="2"/>
    <x v="0"/>
    <n v="2"/>
    <s v="Reasonable(&lt;=3)"/>
  </r>
  <r>
    <x v="4"/>
    <s v="Young(&lt;=29)"/>
    <x v="1"/>
    <s v="Rarely"/>
    <s v="Research &amp; Development"/>
    <n v="9"/>
    <s v="Middistance(6-14)"/>
    <n v="4"/>
    <s v="Satisfied(&gt;=3)"/>
    <x v="1"/>
    <n v="3"/>
    <s v="Medium"/>
    <n v="1"/>
    <x v="0"/>
    <x v="1"/>
    <n v="2"/>
    <s v="Not_Satisfied(&lt;=2)"/>
    <x v="2"/>
    <n v="6"/>
    <s v="Y"/>
    <x v="1"/>
    <n v="18"/>
    <x v="0"/>
    <n v="6"/>
    <n v="1"/>
    <s v="Poor(&lt;=2)"/>
    <n v="2"/>
    <s v="Short(&lt;=4)"/>
    <n v="2"/>
    <x v="0"/>
    <n v="2"/>
    <s v="Reasonable(&lt;=3)"/>
  </r>
  <r>
    <x v="14"/>
    <s v="Young(&lt;=29)"/>
    <x v="1"/>
    <s v="Rarely"/>
    <s v="Research &amp; Development"/>
    <n v="21"/>
    <s v="Far(&gt;=15)"/>
    <n v="3"/>
    <s v="Satisfied(&gt;=3)"/>
    <x v="1"/>
    <n v="3"/>
    <s v="Medium"/>
    <n v="1"/>
    <x v="0"/>
    <x v="1"/>
    <n v="4"/>
    <s v="Satisfied(&gt;=3)"/>
    <x v="1"/>
    <n v="1"/>
    <s v="Y"/>
    <x v="1"/>
    <n v="11"/>
    <x v="0"/>
    <n v="5"/>
    <n v="1"/>
    <s v="Poor(&lt;=2)"/>
    <n v="5"/>
    <s v="Long(5-10)"/>
    <n v="2"/>
    <x v="0"/>
    <n v="0"/>
    <s v="Reasonable(&lt;=3)"/>
  </r>
  <r>
    <x v="38"/>
    <s v="Old(&gt;50)"/>
    <x v="1"/>
    <s v="Rarely"/>
    <s v="Research &amp; Development"/>
    <n v="24"/>
    <s v="Far(&gt;=15)"/>
    <n v="3"/>
    <s v="Satisfied(&gt;=3)"/>
    <x v="1"/>
    <n v="4"/>
    <s v="High"/>
    <n v="3"/>
    <x v="1"/>
    <x v="4"/>
    <n v="4"/>
    <s v="Satisfied(&gt;=3)"/>
    <x v="2"/>
    <n v="3"/>
    <s v="Y"/>
    <x v="0"/>
    <n v="16"/>
    <x v="0"/>
    <n v="12"/>
    <n v="1"/>
    <s v="Poor(&lt;=2)"/>
    <n v="5"/>
    <s v="Long(5-10)"/>
    <n v="3"/>
    <x v="0"/>
    <n v="1"/>
    <s v="Reasonable(&lt;=3)"/>
  </r>
  <r>
    <x v="4"/>
    <s v="Young(&lt;=29)"/>
    <x v="1"/>
    <s v="Rarely"/>
    <s v="Research &amp; Development"/>
    <n v="3"/>
    <s v="Nearby(&lt;=5)"/>
    <n v="3"/>
    <s v="Satisfied(&gt;=3)"/>
    <x v="1"/>
    <n v="2"/>
    <s v="Low"/>
    <n v="1"/>
    <x v="0"/>
    <x v="1"/>
    <n v="3"/>
    <s v="Satisfied(&gt;=3)"/>
    <x v="2"/>
    <n v="1"/>
    <s v="Y"/>
    <x v="0"/>
    <n v="15"/>
    <x v="0"/>
    <n v="1"/>
    <n v="2"/>
    <s v="Poor(&lt;=2)"/>
    <n v="1"/>
    <s v="Short(&lt;=4)"/>
    <n v="1"/>
    <x v="0"/>
    <n v="0"/>
    <s v="Reasonable(&lt;=3)"/>
  </r>
  <r>
    <x v="24"/>
    <s v="Middle_Age(30-50)"/>
    <x v="1"/>
    <s v="Rarely"/>
    <s v="Research &amp; Development"/>
    <n v="11"/>
    <s v="Middistance(6-14)"/>
    <n v="3"/>
    <s v="Satisfied(&gt;=3)"/>
    <x v="0"/>
    <n v="3"/>
    <s v="Medium"/>
    <n v="5"/>
    <x v="2"/>
    <x v="5"/>
    <n v="2"/>
    <s v="Not_Satisfied(&lt;=2)"/>
    <x v="0"/>
    <n v="3"/>
    <s v="Y"/>
    <x v="1"/>
    <n v="15"/>
    <x v="0"/>
    <n v="21"/>
    <n v="3"/>
    <s v="Good(&gt;=3)"/>
    <n v="5"/>
    <s v="Long(5-10)"/>
    <n v="4"/>
    <x v="0"/>
    <n v="4"/>
    <s v="Not_Reasonable(&gt;3)"/>
  </r>
  <r>
    <x v="0"/>
    <s v="Middle_Age(30-50)"/>
    <x v="1"/>
    <s v="Rarely"/>
    <s v="Research &amp; Development"/>
    <n v="14"/>
    <s v="Middistance(6-14)"/>
    <n v="1"/>
    <s v="Not_Satisfied(&lt;3)"/>
    <x v="1"/>
    <n v="3"/>
    <s v="Medium"/>
    <n v="1"/>
    <x v="0"/>
    <x v="1"/>
    <n v="3"/>
    <s v="Satisfied(&gt;=3)"/>
    <x v="2"/>
    <n v="4"/>
    <s v="Y"/>
    <x v="1"/>
    <n v="12"/>
    <x v="0"/>
    <n v="13"/>
    <n v="3"/>
    <s v="Good(&gt;=3)"/>
    <n v="9"/>
    <s v="Long(5-10)"/>
    <n v="8"/>
    <x v="1"/>
    <n v="1"/>
    <s v="Reasonable(&lt;=3)"/>
  </r>
  <r>
    <x v="7"/>
    <s v="Middle_Age(30-50)"/>
    <x v="1"/>
    <s v="Rarely"/>
    <s v="Sales"/>
    <n v="5"/>
    <s v="Nearby(&lt;=5)"/>
    <n v="2"/>
    <s v="Not_Satisfied(&lt;3)"/>
    <x v="0"/>
    <n v="3"/>
    <s v="Medium"/>
    <n v="3"/>
    <x v="1"/>
    <x v="0"/>
    <n v="4"/>
    <s v="Satisfied(&gt;=3)"/>
    <x v="1"/>
    <n v="2"/>
    <s v="Y"/>
    <x v="1"/>
    <n v="12"/>
    <x v="0"/>
    <n v="12"/>
    <n v="3"/>
    <s v="Good(&gt;=3)"/>
    <n v="10"/>
    <s v="Long(5-10)"/>
    <n v="9"/>
    <x v="1"/>
    <n v="7"/>
    <s v="Not_Reasonable(&gt;3)"/>
  </r>
  <r>
    <x v="8"/>
    <s v="Middle_Age(30-50)"/>
    <x v="1"/>
    <s v="Rarely"/>
    <s v="Sales"/>
    <n v="1"/>
    <s v="Nearby(&lt;=5)"/>
    <n v="1"/>
    <s v="Not_Satisfied(&lt;3)"/>
    <x v="0"/>
    <n v="2"/>
    <s v="Low"/>
    <n v="2"/>
    <x v="0"/>
    <x v="0"/>
    <n v="4"/>
    <s v="Satisfied(&gt;=3)"/>
    <x v="0"/>
    <n v="4"/>
    <s v="Y"/>
    <x v="1"/>
    <n v="22"/>
    <x v="1"/>
    <n v="12"/>
    <n v="4"/>
    <s v="Good(&gt;=3)"/>
    <n v="8"/>
    <s v="Long(5-10)"/>
    <n v="3"/>
    <x v="0"/>
    <n v="0"/>
    <s v="Reasonable(&lt;=3)"/>
  </r>
  <r>
    <x v="5"/>
    <s v="Middle_Age(30-50)"/>
    <x v="1"/>
    <s v="Rarely"/>
    <s v="Research &amp; Development"/>
    <n v="6"/>
    <s v="Middistance(6-14)"/>
    <n v="3"/>
    <s v="Satisfied(&gt;=3)"/>
    <x v="1"/>
    <n v="3"/>
    <s v="Medium"/>
    <n v="1"/>
    <x v="0"/>
    <x v="1"/>
    <n v="3"/>
    <s v="Satisfied(&gt;=3)"/>
    <x v="0"/>
    <n v="3"/>
    <s v="Y"/>
    <x v="1"/>
    <n v="20"/>
    <x v="1"/>
    <n v="8"/>
    <n v="3"/>
    <s v="Good(&gt;=3)"/>
    <n v="5"/>
    <s v="Long(5-10)"/>
    <n v="4"/>
    <x v="0"/>
    <n v="1"/>
    <s v="Reasonable(&lt;=3)"/>
  </r>
  <r>
    <x v="4"/>
    <s v="Young(&lt;=29)"/>
    <x v="1"/>
    <s v="Rarely"/>
    <s v="Research &amp; Development"/>
    <n v="17"/>
    <s v="Far(&gt;=15)"/>
    <n v="3"/>
    <s v="Satisfied(&gt;=3)"/>
    <x v="1"/>
    <n v="3"/>
    <s v="Medium"/>
    <n v="1"/>
    <x v="0"/>
    <x v="1"/>
    <n v="2"/>
    <s v="Not_Satisfied(&lt;=2)"/>
    <x v="1"/>
    <n v="0"/>
    <s v="Y"/>
    <x v="0"/>
    <n v="16"/>
    <x v="0"/>
    <n v="6"/>
    <n v="2"/>
    <s v="Poor(&lt;=2)"/>
    <n v="5"/>
    <s v="Long(5-10)"/>
    <n v="2"/>
    <x v="0"/>
    <n v="1"/>
    <s v="Reasonable(&lt;=3)"/>
  </r>
  <r>
    <x v="37"/>
    <s v="Young(&lt;=29)"/>
    <x v="0"/>
    <s v="Frequently"/>
    <s v="Sales"/>
    <n v="1"/>
    <s v="Nearby(&lt;=5)"/>
    <n v="3"/>
    <s v="Satisfied(&gt;=3)"/>
    <x v="0"/>
    <n v="1"/>
    <s v="Low"/>
    <n v="1"/>
    <x v="0"/>
    <x v="6"/>
    <n v="1"/>
    <s v="Not_Satisfied(&lt;=2)"/>
    <x v="0"/>
    <n v="0"/>
    <s v="Y"/>
    <x v="1"/>
    <n v="21"/>
    <x v="1"/>
    <n v="1"/>
    <n v="4"/>
    <s v="Good(&gt;=3)"/>
    <n v="0"/>
    <s v="Short(&lt;=4)"/>
    <n v="0"/>
    <x v="0"/>
    <n v="0"/>
    <s v="Reasonable(&lt;=3)"/>
  </r>
  <r>
    <x v="9"/>
    <s v="Middle_Age(30-50)"/>
    <x v="1"/>
    <s v="Frequently"/>
    <s v="Research &amp; Development"/>
    <n v="3"/>
    <s v="Nearby(&lt;=5)"/>
    <n v="4"/>
    <s v="Satisfied(&gt;=3)"/>
    <x v="1"/>
    <n v="3"/>
    <s v="Medium"/>
    <n v="1"/>
    <x v="0"/>
    <x v="2"/>
    <n v="2"/>
    <s v="Not_Satisfied(&lt;=2)"/>
    <x v="0"/>
    <n v="4"/>
    <s v="Y"/>
    <x v="1"/>
    <n v="12"/>
    <x v="0"/>
    <n v="13"/>
    <n v="2"/>
    <s v="Poor(&lt;=2)"/>
    <n v="8"/>
    <s v="Long(5-10)"/>
    <n v="7"/>
    <x v="1"/>
    <n v="7"/>
    <s v="Not_Reasonable(&gt;3)"/>
  </r>
  <r>
    <x v="7"/>
    <s v="Middle_Age(30-50)"/>
    <x v="1"/>
    <s v="Rarely"/>
    <s v="Research &amp; Development"/>
    <n v="9"/>
    <s v="Middistance(6-14)"/>
    <n v="3"/>
    <s v="Satisfied(&gt;=3)"/>
    <x v="1"/>
    <n v="3"/>
    <s v="Medium"/>
    <n v="2"/>
    <x v="0"/>
    <x v="2"/>
    <n v="1"/>
    <s v="Not_Satisfied(&lt;=2)"/>
    <x v="2"/>
    <n v="1"/>
    <s v="Y"/>
    <x v="1"/>
    <n v="11"/>
    <x v="0"/>
    <n v="12"/>
    <n v="3"/>
    <s v="Good(&gt;=3)"/>
    <n v="12"/>
    <s v="Ultra_Long(&gt;10)"/>
    <n v="9"/>
    <x v="1"/>
    <n v="6"/>
    <s v="Not_Reasonable(&gt;3)"/>
  </r>
  <r>
    <x v="28"/>
    <s v="Middle_Age(30-50)"/>
    <x v="1"/>
    <s v="Rarely"/>
    <s v="Sales"/>
    <n v="4"/>
    <s v="Nearby(&lt;=5)"/>
    <n v="3"/>
    <s v="Satisfied(&gt;=3)"/>
    <x v="0"/>
    <n v="3"/>
    <s v="Medium"/>
    <n v="2"/>
    <x v="0"/>
    <x v="0"/>
    <n v="1"/>
    <s v="Not_Satisfied(&lt;=2)"/>
    <x v="2"/>
    <n v="4"/>
    <s v="Y"/>
    <x v="0"/>
    <n v="11"/>
    <x v="0"/>
    <n v="9"/>
    <n v="4"/>
    <s v="Good(&gt;=3)"/>
    <n v="5"/>
    <s v="Long(5-10)"/>
    <n v="4"/>
    <x v="0"/>
    <n v="0"/>
    <s v="Reasonable(&lt;=3)"/>
  </r>
  <r>
    <x v="29"/>
    <s v="Old(&gt;50)"/>
    <x v="1"/>
    <s v="Rarely"/>
    <s v="Research &amp; Development"/>
    <n v="8"/>
    <s v="Middistance(6-14)"/>
    <n v="3"/>
    <s v="Satisfied(&gt;=3)"/>
    <x v="0"/>
    <n v="3"/>
    <s v="Medium"/>
    <n v="1"/>
    <x v="0"/>
    <x v="1"/>
    <n v="1"/>
    <s v="Not_Satisfied(&lt;=2)"/>
    <x v="2"/>
    <n v="4"/>
    <s v="Y"/>
    <x v="0"/>
    <n v="18"/>
    <x v="0"/>
    <n v="19"/>
    <n v="3"/>
    <s v="Good(&gt;=3)"/>
    <n v="2"/>
    <s v="Short(&lt;=4)"/>
    <n v="2"/>
    <x v="0"/>
    <n v="2"/>
    <s v="Reasonable(&lt;=3)"/>
  </r>
  <r>
    <x v="3"/>
    <s v="Middle_Age(30-50)"/>
    <x v="1"/>
    <s v="Rarely"/>
    <s v="Research &amp; Development"/>
    <n v="2"/>
    <s v="Nearby(&lt;=5)"/>
    <n v="3"/>
    <s v="Satisfied(&gt;=3)"/>
    <x v="1"/>
    <n v="3"/>
    <s v="Medium"/>
    <n v="1"/>
    <x v="0"/>
    <x v="1"/>
    <n v="4"/>
    <s v="Satisfied(&gt;=3)"/>
    <x v="0"/>
    <n v="0"/>
    <s v="Y"/>
    <x v="1"/>
    <n v="14"/>
    <x v="0"/>
    <n v="4"/>
    <n v="4"/>
    <s v="Good(&gt;=3)"/>
    <n v="3"/>
    <s v="Short(&lt;=4)"/>
    <n v="1"/>
    <x v="0"/>
    <n v="0"/>
    <s v="Reasonable(&lt;=3)"/>
  </r>
  <r>
    <x v="37"/>
    <s v="Young(&lt;=29)"/>
    <x v="0"/>
    <s v="Rarely"/>
    <s v="Research &amp; Development"/>
    <n v="2"/>
    <s v="Nearby(&lt;=5)"/>
    <n v="2"/>
    <s v="Not_Satisfied(&lt;3)"/>
    <x v="1"/>
    <n v="2"/>
    <s v="Low"/>
    <n v="1"/>
    <x v="0"/>
    <x v="2"/>
    <n v="4"/>
    <s v="Satisfied(&gt;=3)"/>
    <x v="0"/>
    <n v="1"/>
    <s v="Y"/>
    <x v="1"/>
    <n v="22"/>
    <x v="1"/>
    <n v="1"/>
    <n v="2"/>
    <s v="Poor(&lt;=2)"/>
    <n v="1"/>
    <s v="Short(&lt;=4)"/>
    <n v="0"/>
    <x v="0"/>
    <n v="1"/>
    <s v="Reasonable(&lt;=3)"/>
  </r>
  <r>
    <x v="21"/>
    <s v="Middle_Age(30-50)"/>
    <x v="1"/>
    <s v="Rarely"/>
    <s v="Sales"/>
    <n v="1"/>
    <s v="Nearby(&lt;=5)"/>
    <n v="2"/>
    <s v="Not_Satisfied(&lt;3)"/>
    <x v="0"/>
    <n v="3"/>
    <s v="Medium"/>
    <n v="3"/>
    <x v="1"/>
    <x v="0"/>
    <n v="1"/>
    <s v="Not_Satisfied(&lt;=2)"/>
    <x v="2"/>
    <n v="1"/>
    <s v="Y"/>
    <x v="1"/>
    <n v="25"/>
    <x v="1"/>
    <n v="24"/>
    <n v="3"/>
    <s v="Good(&gt;=3)"/>
    <n v="24"/>
    <s v="Ultra_Long(&gt;10)"/>
    <n v="13"/>
    <x v="2"/>
    <n v="15"/>
    <s v="Not_Reasonable(&gt;3)"/>
  </r>
  <r>
    <x v="8"/>
    <s v="Middle_Age(30-50)"/>
    <x v="1"/>
    <s v="Rarely"/>
    <s v="Research &amp; Development"/>
    <n v="9"/>
    <s v="Middistance(6-14)"/>
    <n v="3"/>
    <s v="Satisfied(&gt;=3)"/>
    <x v="0"/>
    <n v="3"/>
    <s v="Medium"/>
    <n v="1"/>
    <x v="0"/>
    <x v="2"/>
    <n v="4"/>
    <s v="Satisfied(&gt;=3)"/>
    <x v="0"/>
    <n v="1"/>
    <s v="Y"/>
    <x v="1"/>
    <n v="12"/>
    <x v="0"/>
    <n v="2"/>
    <n v="3"/>
    <s v="Good(&gt;=3)"/>
    <n v="2"/>
    <s v="Short(&lt;=4)"/>
    <n v="2"/>
    <x v="0"/>
    <n v="2"/>
    <s v="Reasonable(&lt;=3)"/>
  </r>
  <r>
    <x v="12"/>
    <s v="Middle_Age(30-50)"/>
    <x v="1"/>
    <s v="Rarely"/>
    <s v="Research &amp; Development"/>
    <n v="12"/>
    <s v="Middistance(6-14)"/>
    <n v="3"/>
    <s v="Satisfied(&gt;=3)"/>
    <x v="0"/>
    <n v="3"/>
    <s v="Medium"/>
    <n v="1"/>
    <x v="0"/>
    <x v="1"/>
    <n v="4"/>
    <s v="Satisfied(&gt;=3)"/>
    <x v="1"/>
    <n v="8"/>
    <s v="Y"/>
    <x v="0"/>
    <n v="23"/>
    <x v="1"/>
    <n v="7"/>
    <n v="3"/>
    <s v="Good(&gt;=3)"/>
    <n v="4"/>
    <s v="Short(&lt;=4)"/>
    <n v="2"/>
    <x v="0"/>
    <n v="0"/>
    <s v="Reasonable(&lt;=3)"/>
  </r>
  <r>
    <x v="13"/>
    <s v="Middle_Age(30-50)"/>
    <x v="1"/>
    <s v="Rarely"/>
    <s v="Research &amp; Development"/>
    <n v="27"/>
    <s v="Far(&gt;=15)"/>
    <n v="4"/>
    <s v="Satisfied(&gt;=3)"/>
    <x v="0"/>
    <n v="3"/>
    <s v="Medium"/>
    <n v="1"/>
    <x v="0"/>
    <x v="1"/>
    <n v="2"/>
    <s v="Not_Satisfied(&lt;=2)"/>
    <x v="0"/>
    <n v="2"/>
    <s v="Y"/>
    <x v="1"/>
    <n v="15"/>
    <x v="0"/>
    <n v="9"/>
    <n v="3"/>
    <s v="Good(&gt;=3)"/>
    <n v="3"/>
    <s v="Short(&lt;=4)"/>
    <n v="2"/>
    <x v="0"/>
    <n v="1"/>
    <s v="Reasonable(&lt;=3)"/>
  </r>
  <r>
    <x v="0"/>
    <s v="Middle_Age(30-50)"/>
    <x v="0"/>
    <s v="Rarely"/>
    <s v="Sales"/>
    <n v="20"/>
    <s v="Far(&gt;=15)"/>
    <n v="2"/>
    <s v="Not_Satisfied(&lt;3)"/>
    <x v="0"/>
    <n v="3"/>
    <s v="Medium"/>
    <n v="1"/>
    <x v="0"/>
    <x v="6"/>
    <n v="2"/>
    <s v="Not_Satisfied(&lt;=2)"/>
    <x v="0"/>
    <n v="1"/>
    <s v="Y"/>
    <x v="0"/>
    <n v="22"/>
    <x v="1"/>
    <n v="4"/>
    <n v="2"/>
    <s v="Poor(&lt;=2)"/>
    <n v="4"/>
    <s v="Short(&lt;=4)"/>
    <n v="3"/>
    <x v="0"/>
    <n v="0"/>
    <s v="Reasonable(&lt;=3)"/>
  </r>
  <r>
    <x v="24"/>
    <s v="Middle_Age(30-50)"/>
    <x v="1"/>
    <s v="Rarely"/>
    <s v="Research &amp; Development"/>
    <n v="1"/>
    <s v="Nearby(&lt;=5)"/>
    <n v="3"/>
    <s v="Satisfied(&gt;=3)"/>
    <x v="1"/>
    <n v="2"/>
    <s v="Low"/>
    <n v="1"/>
    <x v="0"/>
    <x v="2"/>
    <n v="3"/>
    <s v="Satisfied(&gt;=3)"/>
    <x v="1"/>
    <n v="2"/>
    <s v="Y"/>
    <x v="1"/>
    <n v="15"/>
    <x v="0"/>
    <n v="5"/>
    <n v="2"/>
    <s v="Poor(&lt;=2)"/>
    <n v="3"/>
    <s v="Short(&lt;=4)"/>
    <n v="2"/>
    <x v="0"/>
    <n v="0"/>
    <s v="Reasonable(&lt;=3)"/>
  </r>
  <r>
    <x v="16"/>
    <s v="Old(&gt;50)"/>
    <x v="1"/>
    <s v="Rarely"/>
    <s v="Research &amp; Development"/>
    <n v="13"/>
    <s v="Middistance(6-14)"/>
    <n v="4"/>
    <s v="Satisfied(&gt;=3)"/>
    <x v="0"/>
    <n v="4"/>
    <s v="High"/>
    <n v="2"/>
    <x v="0"/>
    <x v="3"/>
    <n v="1"/>
    <s v="Not_Satisfied(&lt;=2)"/>
    <x v="2"/>
    <n v="1"/>
    <s v="Y"/>
    <x v="1"/>
    <n v="11"/>
    <x v="0"/>
    <n v="5"/>
    <n v="3"/>
    <s v="Good(&gt;=3)"/>
    <n v="4"/>
    <s v="Short(&lt;=4)"/>
    <n v="2"/>
    <x v="0"/>
    <n v="1"/>
    <s v="Reasonable(&lt;=3)"/>
  </r>
  <r>
    <x v="3"/>
    <s v="Middle_Age(30-50)"/>
    <x v="1"/>
    <s v="Rarely"/>
    <s v="Research &amp; Development"/>
    <n v="14"/>
    <s v="Middistance(6-14)"/>
    <n v="4"/>
    <s v="Satisfied(&gt;=3)"/>
    <x v="0"/>
    <n v="3"/>
    <s v="Medium"/>
    <n v="1"/>
    <x v="0"/>
    <x v="1"/>
    <n v="2"/>
    <s v="Not_Satisfied(&lt;=2)"/>
    <x v="1"/>
    <n v="1"/>
    <s v="Y"/>
    <x v="1"/>
    <n v="13"/>
    <x v="0"/>
    <n v="8"/>
    <n v="3"/>
    <s v="Good(&gt;=3)"/>
    <n v="8"/>
    <s v="Long(5-10)"/>
    <n v="7"/>
    <x v="1"/>
    <n v="1"/>
    <s v="Reasonable(&lt;=3)"/>
  </r>
  <r>
    <x v="32"/>
    <s v="Middle_Age(30-50)"/>
    <x v="1"/>
    <s v="Rarely"/>
    <s v="Research &amp; Development"/>
    <n v="4"/>
    <s v="Nearby(&lt;=5)"/>
    <n v="4"/>
    <s v="Satisfied(&gt;=3)"/>
    <x v="0"/>
    <n v="3"/>
    <s v="Medium"/>
    <n v="5"/>
    <x v="2"/>
    <x v="5"/>
    <n v="3"/>
    <s v="Satisfied(&gt;=3)"/>
    <x v="1"/>
    <n v="1"/>
    <s v="Y"/>
    <x v="1"/>
    <n v="14"/>
    <x v="0"/>
    <n v="21"/>
    <n v="3"/>
    <s v="Good(&gt;=3)"/>
    <n v="20"/>
    <s v="Ultra_Long(&gt;10)"/>
    <n v="8"/>
    <x v="1"/>
    <n v="9"/>
    <s v="Not_Reasonable(&gt;3)"/>
  </r>
  <r>
    <x v="27"/>
    <s v="Old(&gt;50)"/>
    <x v="1"/>
    <s v="Rarely"/>
    <s v="Research &amp; Development"/>
    <n v="14"/>
    <s v="Middistance(6-14)"/>
    <n v="3"/>
    <s v="Satisfied(&gt;=3)"/>
    <x v="1"/>
    <n v="4"/>
    <s v="High"/>
    <n v="5"/>
    <x v="2"/>
    <x v="7"/>
    <n v="2"/>
    <s v="Not_Satisfied(&lt;=2)"/>
    <x v="0"/>
    <n v="8"/>
    <s v="Y"/>
    <x v="1"/>
    <n v="11"/>
    <x v="0"/>
    <n v="36"/>
    <n v="3"/>
    <s v="Good(&gt;=3)"/>
    <n v="24"/>
    <s v="Ultra_Long(&gt;10)"/>
    <n v="15"/>
    <x v="2"/>
    <n v="2"/>
    <s v="Reasonable(&lt;=3)"/>
  </r>
  <r>
    <x v="13"/>
    <s v="Middle_Age(30-50)"/>
    <x v="1"/>
    <s v="Frequently"/>
    <s v="Research &amp; Development"/>
    <n v="2"/>
    <s v="Nearby(&lt;=5)"/>
    <n v="4"/>
    <s v="Satisfied(&gt;=3)"/>
    <x v="1"/>
    <n v="2"/>
    <s v="Low"/>
    <n v="2"/>
    <x v="0"/>
    <x v="3"/>
    <n v="3"/>
    <s v="Satisfied(&gt;=3)"/>
    <x v="1"/>
    <n v="1"/>
    <s v="Y"/>
    <x v="1"/>
    <n v="17"/>
    <x v="0"/>
    <n v="10"/>
    <n v="2"/>
    <s v="Poor(&lt;=2)"/>
    <n v="10"/>
    <s v="Long(5-10)"/>
    <n v="9"/>
    <x v="1"/>
    <n v="1"/>
    <s v="Reasonable(&lt;=3)"/>
  </r>
  <r>
    <x v="31"/>
    <s v="Old(&gt;50)"/>
    <x v="1"/>
    <s v="Rarely"/>
    <s v="Research &amp; Development"/>
    <n v="3"/>
    <s v="Nearby(&lt;=5)"/>
    <n v="4"/>
    <s v="Satisfied(&gt;=3)"/>
    <x v="0"/>
    <n v="3"/>
    <s v="Medium"/>
    <n v="4"/>
    <x v="2"/>
    <x v="4"/>
    <n v="2"/>
    <s v="Not_Satisfied(&lt;=2)"/>
    <x v="0"/>
    <n v="3"/>
    <s v="Y"/>
    <x v="1"/>
    <n v="18"/>
    <x v="0"/>
    <n v="21"/>
    <n v="3"/>
    <s v="Good(&gt;=3)"/>
    <n v="7"/>
    <s v="Long(5-10)"/>
    <n v="7"/>
    <x v="1"/>
    <n v="1"/>
    <s v="Reasonable(&lt;=3)"/>
  </r>
  <r>
    <x v="39"/>
    <s v="Old(&gt;50)"/>
    <x v="1"/>
    <s v="Rarely"/>
    <s v="Research &amp; Development"/>
    <n v="1"/>
    <s v="Nearby(&lt;=5)"/>
    <n v="3"/>
    <s v="Satisfied(&gt;=3)"/>
    <x v="1"/>
    <n v="2"/>
    <s v="Low"/>
    <n v="5"/>
    <x v="2"/>
    <x v="5"/>
    <n v="3"/>
    <s v="Satisfied(&gt;=3)"/>
    <x v="1"/>
    <n v="0"/>
    <s v="Y"/>
    <x v="1"/>
    <n v="14"/>
    <x v="0"/>
    <n v="34"/>
    <n v="3"/>
    <s v="Good(&gt;=3)"/>
    <n v="33"/>
    <s v="Ultra_Long(&gt;10)"/>
    <n v="18"/>
    <x v="2"/>
    <n v="11"/>
    <s v="Not_Reasonable(&gt;3)"/>
  </r>
  <r>
    <x v="4"/>
    <s v="Young(&lt;=29)"/>
    <x v="1"/>
    <s v="Rarely"/>
    <s v="Research &amp; Development"/>
    <n v="9"/>
    <s v="Middistance(6-14)"/>
    <n v="4"/>
    <s v="Satisfied(&gt;=3)"/>
    <x v="0"/>
    <n v="3"/>
    <s v="Medium"/>
    <n v="1"/>
    <x v="0"/>
    <x v="1"/>
    <n v="2"/>
    <s v="Not_Satisfied(&lt;=2)"/>
    <x v="0"/>
    <n v="1"/>
    <s v="Y"/>
    <x v="1"/>
    <n v="16"/>
    <x v="0"/>
    <n v="7"/>
    <n v="2"/>
    <s v="Poor(&lt;=2)"/>
    <n v="7"/>
    <s v="Long(5-10)"/>
    <n v="7"/>
    <x v="1"/>
    <n v="0"/>
    <s v="Reasonable(&lt;=3)"/>
  </r>
  <r>
    <x v="10"/>
    <s v="Middle_Age(30-50)"/>
    <x v="0"/>
    <s v="Rarely"/>
    <s v="Research &amp; Development"/>
    <n v="23"/>
    <s v="Far(&gt;=15)"/>
    <n v="2"/>
    <s v="Not_Satisfied(&lt;3)"/>
    <x v="1"/>
    <n v="2"/>
    <s v="Low"/>
    <n v="2"/>
    <x v="0"/>
    <x v="3"/>
    <n v="3"/>
    <s v="Satisfied(&gt;=3)"/>
    <x v="1"/>
    <n v="3"/>
    <s v="Y"/>
    <x v="0"/>
    <n v="13"/>
    <x v="0"/>
    <n v="8"/>
    <n v="3"/>
    <s v="Good(&gt;=3)"/>
    <n v="1"/>
    <s v="Short(&lt;=4)"/>
    <n v="0"/>
    <x v="0"/>
    <n v="0"/>
    <s v="Reasonable(&lt;=3)"/>
  </r>
  <r>
    <x v="23"/>
    <s v="Middle_Age(30-50)"/>
    <x v="1"/>
    <s v="Rarely"/>
    <s v="Research &amp; Development"/>
    <n v="7"/>
    <s v="Middistance(6-14)"/>
    <n v="4"/>
    <s v="Satisfied(&gt;=3)"/>
    <x v="1"/>
    <n v="4"/>
    <s v="High"/>
    <n v="1"/>
    <x v="0"/>
    <x v="1"/>
    <n v="4"/>
    <s v="Satisfied(&gt;=3)"/>
    <x v="2"/>
    <n v="4"/>
    <s v="Y"/>
    <x v="1"/>
    <n v="14"/>
    <x v="0"/>
    <n v="7"/>
    <n v="4"/>
    <s v="Good(&gt;=3)"/>
    <n v="5"/>
    <s v="Long(5-10)"/>
    <n v="4"/>
    <x v="0"/>
    <n v="2"/>
    <s v="Reasonable(&lt;=3)"/>
  </r>
  <r>
    <x v="28"/>
    <s v="Middle_Age(30-50)"/>
    <x v="1"/>
    <s v="Rarely"/>
    <s v="Research &amp; Development"/>
    <n v="2"/>
    <s v="Nearby(&lt;=5)"/>
    <n v="1"/>
    <s v="Not_Satisfied(&lt;3)"/>
    <x v="1"/>
    <n v="2"/>
    <s v="Low"/>
    <n v="4"/>
    <x v="2"/>
    <x v="5"/>
    <n v="4"/>
    <s v="Satisfied(&gt;=3)"/>
    <x v="1"/>
    <n v="9"/>
    <s v="Y"/>
    <x v="1"/>
    <n v="23"/>
    <x v="1"/>
    <n v="22"/>
    <n v="3"/>
    <s v="Good(&gt;=3)"/>
    <n v="20"/>
    <s v="Ultra_Long(&gt;10)"/>
    <n v="8"/>
    <x v="1"/>
    <n v="11"/>
    <s v="Not_Reasonable(&gt;3)"/>
  </r>
  <r>
    <x v="2"/>
    <s v="Middle_Age(30-50)"/>
    <x v="1"/>
    <s v="Rarely"/>
    <s v="Research &amp; Development"/>
    <n v="21"/>
    <s v="Far(&gt;=15)"/>
    <n v="2"/>
    <s v="Not_Satisfied(&lt;3)"/>
    <x v="1"/>
    <n v="4"/>
    <s v="High"/>
    <n v="1"/>
    <x v="0"/>
    <x v="1"/>
    <n v="1"/>
    <s v="Not_Satisfied(&lt;=2)"/>
    <x v="1"/>
    <n v="1"/>
    <s v="Y"/>
    <x v="0"/>
    <n v="12"/>
    <x v="0"/>
    <n v="8"/>
    <n v="2"/>
    <s v="Poor(&lt;=2)"/>
    <n v="8"/>
    <s v="Long(5-10)"/>
    <n v="7"/>
    <x v="1"/>
    <n v="1"/>
    <s v="Reasonable(&lt;=3)"/>
  </r>
  <r>
    <x v="10"/>
    <s v="Middle_Age(30-50)"/>
    <x v="1"/>
    <s v="Frequently"/>
    <s v="Research &amp; Development"/>
    <n v="2"/>
    <s v="Nearby(&lt;=5)"/>
    <n v="2"/>
    <s v="Not_Satisfied(&lt;3)"/>
    <x v="0"/>
    <n v="3"/>
    <s v="Medium"/>
    <n v="2"/>
    <x v="0"/>
    <x v="2"/>
    <n v="2"/>
    <s v="Not_Satisfied(&lt;=2)"/>
    <x v="0"/>
    <n v="5"/>
    <s v="Y"/>
    <x v="1"/>
    <n v="11"/>
    <x v="0"/>
    <n v="10"/>
    <n v="3"/>
    <s v="Good(&gt;=3)"/>
    <n v="6"/>
    <s v="Long(5-10)"/>
    <n v="2"/>
    <x v="0"/>
    <n v="1"/>
    <s v="Reasonable(&lt;=3)"/>
  </r>
  <r>
    <x v="19"/>
    <s v="Middle_Age(30-50)"/>
    <x v="1"/>
    <s v="Rarely"/>
    <s v="Research &amp; Development"/>
    <n v="21"/>
    <s v="Far(&gt;=15)"/>
    <n v="3"/>
    <s v="Satisfied(&gt;=3)"/>
    <x v="0"/>
    <n v="3"/>
    <s v="Medium"/>
    <n v="2"/>
    <x v="0"/>
    <x v="3"/>
    <n v="3"/>
    <s v="Satisfied(&gt;=3)"/>
    <x v="2"/>
    <n v="2"/>
    <s v="Y"/>
    <x v="1"/>
    <n v="16"/>
    <x v="0"/>
    <n v="11"/>
    <n v="3"/>
    <s v="Good(&gt;=3)"/>
    <n v="5"/>
    <s v="Long(5-10)"/>
    <n v="3"/>
    <x v="0"/>
    <n v="0"/>
    <s v="Reasonable(&lt;=3)"/>
  </r>
  <r>
    <x v="8"/>
    <s v="Middle_Age(30-50)"/>
    <x v="1"/>
    <s v="Rarely"/>
    <s v="Research &amp; Development"/>
    <n v="2"/>
    <s v="Nearby(&lt;=5)"/>
    <n v="4"/>
    <s v="Satisfied(&gt;=3)"/>
    <x v="1"/>
    <n v="3"/>
    <s v="Medium"/>
    <n v="2"/>
    <x v="0"/>
    <x v="3"/>
    <n v="3"/>
    <s v="Satisfied(&gt;=3)"/>
    <x v="1"/>
    <n v="9"/>
    <s v="Y"/>
    <x v="1"/>
    <n v="14"/>
    <x v="0"/>
    <n v="14"/>
    <n v="3"/>
    <s v="Good(&gt;=3)"/>
    <n v="1"/>
    <s v="Short(&lt;=4)"/>
    <n v="0"/>
    <x v="0"/>
    <n v="0"/>
    <s v="Reasonable(&lt;=3)"/>
  </r>
  <r>
    <x v="8"/>
    <s v="Middle_Age(30-50)"/>
    <x v="1"/>
    <s v="Rarely"/>
    <s v="Research &amp; Development"/>
    <n v="29"/>
    <s v="Far(&gt;=15)"/>
    <n v="4"/>
    <s v="Satisfied(&gt;=3)"/>
    <x v="1"/>
    <n v="3"/>
    <s v="Medium"/>
    <n v="2"/>
    <x v="0"/>
    <x v="3"/>
    <n v="4"/>
    <s v="Satisfied(&gt;=3)"/>
    <x v="1"/>
    <n v="3"/>
    <s v="Y"/>
    <x v="1"/>
    <n v="18"/>
    <x v="0"/>
    <n v="9"/>
    <n v="1"/>
    <s v="Poor(&lt;=2)"/>
    <n v="7"/>
    <s v="Long(5-10)"/>
    <n v="7"/>
    <x v="1"/>
    <n v="1"/>
    <s v="Reasonable(&lt;=3)"/>
  </r>
  <r>
    <x v="4"/>
    <s v="Young(&lt;=29)"/>
    <x v="1"/>
    <s v="Frequently"/>
    <s v="Research &amp; Development"/>
    <n v="1"/>
    <s v="Nearby(&lt;=5)"/>
    <n v="3"/>
    <s v="Satisfied(&gt;=3)"/>
    <x v="1"/>
    <n v="2"/>
    <s v="Low"/>
    <n v="2"/>
    <x v="0"/>
    <x v="3"/>
    <n v="1"/>
    <s v="Not_Satisfied(&lt;=2)"/>
    <x v="1"/>
    <n v="5"/>
    <s v="Y"/>
    <x v="1"/>
    <n v="19"/>
    <x v="0"/>
    <n v="6"/>
    <n v="3"/>
    <s v="Good(&gt;=3)"/>
    <n v="2"/>
    <s v="Short(&lt;=4)"/>
    <n v="2"/>
    <x v="0"/>
    <n v="2"/>
    <s v="Reasonable(&lt;=3)"/>
  </r>
  <r>
    <x v="1"/>
    <s v="Middle_Age(30-50)"/>
    <x v="1"/>
    <s v="Rarely"/>
    <s v="Research &amp; Development"/>
    <n v="18"/>
    <s v="Far(&gt;=15)"/>
    <n v="4"/>
    <s v="Satisfied(&gt;=3)"/>
    <x v="1"/>
    <n v="3"/>
    <s v="Medium"/>
    <n v="2"/>
    <x v="0"/>
    <x v="3"/>
    <n v="4"/>
    <s v="Satisfied(&gt;=3)"/>
    <x v="2"/>
    <n v="1"/>
    <s v="Y"/>
    <x v="0"/>
    <n v="15"/>
    <x v="0"/>
    <n v="7"/>
    <n v="3"/>
    <s v="Good(&gt;=3)"/>
    <n v="7"/>
    <s v="Long(5-10)"/>
    <n v="7"/>
    <x v="1"/>
    <n v="1"/>
    <s v="Reasonable(&lt;=3)"/>
  </r>
  <r>
    <x v="13"/>
    <s v="Middle_Age(30-50)"/>
    <x v="1"/>
    <s v="Frequently"/>
    <s v="Research &amp; Development"/>
    <n v="10"/>
    <s v="Middistance(6-14)"/>
    <n v="4"/>
    <s v="Satisfied(&gt;=3)"/>
    <x v="1"/>
    <n v="3"/>
    <s v="Medium"/>
    <n v="1"/>
    <x v="0"/>
    <x v="1"/>
    <n v="3"/>
    <s v="Satisfied(&gt;=3)"/>
    <x v="2"/>
    <n v="1"/>
    <s v="Y"/>
    <x v="0"/>
    <n v="17"/>
    <x v="0"/>
    <n v="5"/>
    <n v="4"/>
    <s v="Good(&gt;=3)"/>
    <n v="5"/>
    <s v="Long(5-10)"/>
    <n v="3"/>
    <x v="0"/>
    <n v="2"/>
    <s v="Reasonable(&lt;=3)"/>
  </r>
  <r>
    <x v="32"/>
    <s v="Middle_Age(30-50)"/>
    <x v="1"/>
    <s v="Rarely"/>
    <s v="Research &amp; Development"/>
    <n v="19"/>
    <s v="Far(&gt;=15)"/>
    <n v="3"/>
    <s v="Satisfied(&gt;=3)"/>
    <x v="1"/>
    <n v="3"/>
    <s v="Medium"/>
    <n v="2"/>
    <x v="0"/>
    <x v="2"/>
    <n v="4"/>
    <s v="Satisfied(&gt;=3)"/>
    <x v="1"/>
    <n v="8"/>
    <s v="Y"/>
    <x v="0"/>
    <n v="15"/>
    <x v="0"/>
    <n v="15"/>
    <n v="4"/>
    <s v="Good(&gt;=3)"/>
    <n v="7"/>
    <s v="Long(5-10)"/>
    <n v="2"/>
    <x v="0"/>
    <n v="3"/>
    <s v="Reasonable(&lt;=3)"/>
  </r>
  <r>
    <x v="8"/>
    <s v="Middle_Age(30-50)"/>
    <x v="0"/>
    <s v="Rarely"/>
    <s v="Research &amp; Development"/>
    <n v="29"/>
    <s v="Far(&gt;=15)"/>
    <n v="2"/>
    <s v="Not_Satisfied(&lt;3)"/>
    <x v="1"/>
    <n v="3"/>
    <s v="Medium"/>
    <n v="2"/>
    <x v="0"/>
    <x v="4"/>
    <n v="1"/>
    <s v="Not_Satisfied(&lt;=2)"/>
    <x v="1"/>
    <n v="7"/>
    <s v="Y"/>
    <x v="0"/>
    <n v="19"/>
    <x v="0"/>
    <n v="17"/>
    <n v="3"/>
    <s v="Good(&gt;=3)"/>
    <n v="1"/>
    <s v="Short(&lt;=4)"/>
    <n v="0"/>
    <x v="0"/>
    <n v="0"/>
    <s v="Reasonable(&lt;=3)"/>
  </r>
  <r>
    <x v="11"/>
    <s v="Young(&lt;=29)"/>
    <x v="0"/>
    <s v="Rarely"/>
    <s v="Sales"/>
    <n v="27"/>
    <s v="Far(&gt;=15)"/>
    <n v="2"/>
    <s v="Not_Satisfied(&lt;3)"/>
    <x v="0"/>
    <n v="3"/>
    <s v="Medium"/>
    <n v="3"/>
    <x v="1"/>
    <x v="0"/>
    <n v="4"/>
    <s v="Satisfied(&gt;=3)"/>
    <x v="1"/>
    <n v="1"/>
    <s v="Y"/>
    <x v="1"/>
    <n v="22"/>
    <x v="1"/>
    <n v="10"/>
    <n v="2"/>
    <s v="Poor(&lt;=2)"/>
    <n v="10"/>
    <s v="Long(5-10)"/>
    <n v="4"/>
    <x v="0"/>
    <n v="1"/>
    <s v="Reasonable(&lt;=3)"/>
  </r>
  <r>
    <x v="15"/>
    <s v="Young(&lt;=29)"/>
    <x v="1"/>
    <s v="Rarely"/>
    <s v="Research &amp; Development"/>
    <n v="5"/>
    <s v="Nearby(&lt;=5)"/>
    <n v="4"/>
    <s v="Satisfied(&gt;=3)"/>
    <x v="1"/>
    <n v="4"/>
    <s v="High"/>
    <n v="1"/>
    <x v="0"/>
    <x v="1"/>
    <n v="2"/>
    <s v="Not_Satisfied(&lt;=2)"/>
    <x v="2"/>
    <n v="1"/>
    <s v="Y"/>
    <x v="0"/>
    <n v="16"/>
    <x v="0"/>
    <n v="4"/>
    <n v="2"/>
    <s v="Poor(&lt;=2)"/>
    <n v="4"/>
    <s v="Short(&lt;=4)"/>
    <n v="2"/>
    <x v="0"/>
    <n v="2"/>
    <s v="Reasonable(&lt;=3)"/>
  </r>
  <r>
    <x v="9"/>
    <s v="Middle_Age(30-50)"/>
    <x v="1"/>
    <s v="Frequently"/>
    <s v="Research &amp; Development"/>
    <n v="18"/>
    <s v="Far(&gt;=15)"/>
    <n v="2"/>
    <s v="Not_Satisfied(&lt;3)"/>
    <x v="0"/>
    <n v="3"/>
    <s v="Medium"/>
    <n v="1"/>
    <x v="0"/>
    <x v="2"/>
    <n v="4"/>
    <s v="Satisfied(&gt;=3)"/>
    <x v="0"/>
    <n v="1"/>
    <s v="Y"/>
    <x v="1"/>
    <n v="13"/>
    <x v="0"/>
    <n v="8"/>
    <n v="3"/>
    <s v="Good(&gt;=3)"/>
    <n v="8"/>
    <s v="Long(5-10)"/>
    <n v="1"/>
    <x v="0"/>
    <n v="1"/>
    <s v="Reasonable(&lt;=3)"/>
  </r>
  <r>
    <x v="32"/>
    <s v="Middle_Age(30-50)"/>
    <x v="1"/>
    <s v="Rarely"/>
    <s v="Research &amp; Development"/>
    <n v="9"/>
    <s v="Middistance(6-14)"/>
    <n v="4"/>
    <s v="Satisfied(&gt;=3)"/>
    <x v="1"/>
    <n v="2"/>
    <s v="Low"/>
    <n v="2"/>
    <x v="0"/>
    <x v="4"/>
    <n v="4"/>
    <s v="Satisfied(&gt;=3)"/>
    <x v="1"/>
    <n v="9"/>
    <s v="Y"/>
    <x v="1"/>
    <n v="14"/>
    <x v="0"/>
    <n v="5"/>
    <n v="1"/>
    <s v="Poor(&lt;=2)"/>
    <n v="3"/>
    <s v="Short(&lt;=4)"/>
    <n v="2"/>
    <x v="0"/>
    <n v="0"/>
    <s v="Reasonable(&lt;=3)"/>
  </r>
  <r>
    <x v="21"/>
    <s v="Middle_Age(30-50)"/>
    <x v="1"/>
    <s v="Rarely"/>
    <s v="Research &amp; Development"/>
    <n v="1"/>
    <s v="Nearby(&lt;=5)"/>
    <n v="4"/>
    <s v="Satisfied(&gt;=3)"/>
    <x v="1"/>
    <n v="3"/>
    <s v="Medium"/>
    <n v="3"/>
    <x v="1"/>
    <x v="4"/>
    <n v="1"/>
    <s v="Not_Satisfied(&lt;=2)"/>
    <x v="2"/>
    <n v="7"/>
    <s v="Y"/>
    <x v="1"/>
    <n v="16"/>
    <x v="0"/>
    <n v="17"/>
    <n v="3"/>
    <s v="Good(&gt;=3)"/>
    <n v="4"/>
    <s v="Short(&lt;=4)"/>
    <n v="2"/>
    <x v="0"/>
    <n v="0"/>
    <s v="Reasonable(&lt;=3)"/>
  </r>
  <r>
    <x v="5"/>
    <s v="Middle_Age(30-50)"/>
    <x v="0"/>
    <s v="Rarely"/>
    <s v="Sales"/>
    <n v="4"/>
    <s v="Nearby(&lt;=5)"/>
    <n v="4"/>
    <s v="Satisfied(&gt;=3)"/>
    <x v="1"/>
    <n v="1"/>
    <s v="Low"/>
    <n v="3"/>
    <x v="1"/>
    <x v="0"/>
    <n v="4"/>
    <s v="Satisfied(&gt;=3)"/>
    <x v="1"/>
    <n v="1"/>
    <s v="Y"/>
    <x v="1"/>
    <n v="11"/>
    <x v="0"/>
    <n v="14"/>
    <n v="2"/>
    <s v="Poor(&lt;=2)"/>
    <n v="14"/>
    <s v="Ultra_Long(&gt;10)"/>
    <n v="8"/>
    <x v="1"/>
    <n v="9"/>
    <s v="Not_Reasonable(&gt;3)"/>
  </r>
  <r>
    <x v="7"/>
    <s v="Middle_Age(30-50)"/>
    <x v="1"/>
    <s v="Rarely"/>
    <s v="Research &amp; Development"/>
    <n v="1"/>
    <s v="Nearby(&lt;=5)"/>
    <n v="3"/>
    <s v="Satisfied(&gt;=3)"/>
    <x v="1"/>
    <n v="2"/>
    <s v="Low"/>
    <n v="3"/>
    <x v="1"/>
    <x v="3"/>
    <n v="3"/>
    <s v="Satisfied(&gt;=3)"/>
    <x v="0"/>
    <n v="1"/>
    <s v="Y"/>
    <x v="1"/>
    <n v="22"/>
    <x v="1"/>
    <n v="12"/>
    <n v="3"/>
    <s v="Good(&gt;=3)"/>
    <n v="11"/>
    <s v="Ultra_Long(&gt;10)"/>
    <n v="8"/>
    <x v="1"/>
    <n v="5"/>
    <s v="Not_Reasonable(&gt;3)"/>
  </r>
  <r>
    <x v="4"/>
    <s v="Young(&lt;=29)"/>
    <x v="1"/>
    <s v="Frequently"/>
    <s v="Sales"/>
    <n v="20"/>
    <s v="Far(&gt;=15)"/>
    <n v="4"/>
    <s v="Satisfied(&gt;=3)"/>
    <x v="0"/>
    <n v="3"/>
    <s v="Medium"/>
    <n v="2"/>
    <x v="0"/>
    <x v="0"/>
    <n v="3"/>
    <s v="Satisfied(&gt;=3)"/>
    <x v="0"/>
    <n v="1"/>
    <s v="Y"/>
    <x v="1"/>
    <n v="14"/>
    <x v="0"/>
    <n v="7"/>
    <n v="3"/>
    <s v="Good(&gt;=3)"/>
    <n v="7"/>
    <s v="Long(5-10)"/>
    <n v="7"/>
    <x v="1"/>
    <n v="0"/>
    <s v="Reasonable(&lt;=3)"/>
  </r>
  <r>
    <x v="31"/>
    <s v="Old(&gt;50)"/>
    <x v="1"/>
    <s v="Rarely"/>
    <s v="Research &amp; Development"/>
    <n v="8"/>
    <s v="Middistance(6-14)"/>
    <n v="2"/>
    <s v="Not_Satisfied(&lt;3)"/>
    <x v="1"/>
    <n v="2"/>
    <s v="Low"/>
    <n v="3"/>
    <x v="1"/>
    <x v="7"/>
    <n v="2"/>
    <s v="Not_Satisfied(&lt;=2)"/>
    <x v="1"/>
    <n v="5"/>
    <s v="Y"/>
    <x v="1"/>
    <n v="16"/>
    <x v="0"/>
    <n v="16"/>
    <n v="1"/>
    <s v="Poor(&lt;=2)"/>
    <n v="10"/>
    <s v="Long(5-10)"/>
    <n v="9"/>
    <x v="1"/>
    <n v="4"/>
    <s v="Not_Reasonable(&gt;3)"/>
  </r>
  <r>
    <x v="7"/>
    <s v="Middle_Age(30-50)"/>
    <x v="0"/>
    <s v="Rarely"/>
    <s v="Research &amp; Development"/>
    <n v="3"/>
    <s v="Nearby(&lt;=5)"/>
    <n v="4"/>
    <s v="Satisfied(&gt;=3)"/>
    <x v="0"/>
    <n v="3"/>
    <s v="Medium"/>
    <n v="1"/>
    <x v="0"/>
    <x v="1"/>
    <n v="1"/>
    <s v="Not_Satisfied(&lt;=2)"/>
    <x v="0"/>
    <n v="5"/>
    <s v="Y"/>
    <x v="0"/>
    <n v="11"/>
    <x v="0"/>
    <n v="8"/>
    <n v="3"/>
    <s v="Good(&gt;=3)"/>
    <n v="5"/>
    <s v="Long(5-10)"/>
    <n v="2"/>
    <x v="0"/>
    <n v="0"/>
    <s v="Reasonable(&lt;=3)"/>
  </r>
  <r>
    <x v="0"/>
    <s v="Middle_Age(30-50)"/>
    <x v="1"/>
    <s v="Rarely"/>
    <s v="Sales"/>
    <n v="6"/>
    <s v="Middistance(6-14)"/>
    <n v="4"/>
    <s v="Satisfied(&gt;=3)"/>
    <x v="0"/>
    <n v="3"/>
    <s v="Medium"/>
    <n v="3"/>
    <x v="1"/>
    <x v="5"/>
    <n v="4"/>
    <s v="Satisfied(&gt;=3)"/>
    <x v="0"/>
    <n v="3"/>
    <s v="Y"/>
    <x v="0"/>
    <n v="18"/>
    <x v="0"/>
    <n v="16"/>
    <n v="3"/>
    <s v="Good(&gt;=3)"/>
    <n v="1"/>
    <s v="Short(&lt;=4)"/>
    <n v="0"/>
    <x v="0"/>
    <n v="0"/>
    <s v="Reasonable(&lt;=3)"/>
  </r>
  <r>
    <x v="7"/>
    <s v="Middle_Age(30-50)"/>
    <x v="0"/>
    <s v="Frequently"/>
    <s v="Sales"/>
    <n v="26"/>
    <s v="Far(&gt;=15)"/>
    <n v="3"/>
    <s v="Satisfied(&gt;=3)"/>
    <x v="0"/>
    <n v="2"/>
    <s v="Low"/>
    <n v="2"/>
    <x v="0"/>
    <x v="0"/>
    <n v="1"/>
    <s v="Not_Satisfied(&lt;=2)"/>
    <x v="0"/>
    <n v="5"/>
    <s v="Y"/>
    <x v="1"/>
    <n v="15"/>
    <x v="0"/>
    <n v="9"/>
    <n v="2"/>
    <s v="Poor(&lt;=2)"/>
    <n v="6"/>
    <s v="Long(5-10)"/>
    <n v="3"/>
    <x v="0"/>
    <n v="0"/>
    <s v="Reasonable(&lt;=3)"/>
  </r>
  <r>
    <x v="11"/>
    <s v="Young(&lt;=29)"/>
    <x v="0"/>
    <s v="Rarely"/>
    <s v="Research &amp; Development"/>
    <n v="1"/>
    <s v="Nearby(&lt;=5)"/>
    <n v="3"/>
    <s v="Satisfied(&gt;=3)"/>
    <x v="1"/>
    <n v="3"/>
    <s v="Medium"/>
    <n v="1"/>
    <x v="0"/>
    <x v="1"/>
    <n v="3"/>
    <s v="Satisfied(&gt;=3)"/>
    <x v="0"/>
    <n v="0"/>
    <s v="Y"/>
    <x v="1"/>
    <n v="14"/>
    <x v="0"/>
    <n v="7"/>
    <n v="2"/>
    <s v="Poor(&lt;=2)"/>
    <n v="6"/>
    <s v="Long(5-10)"/>
    <n v="2"/>
    <x v="0"/>
    <n v="1"/>
    <s v="Reasonable(&lt;=3)"/>
  </r>
  <r>
    <x v="28"/>
    <s v="Middle_Age(30-50)"/>
    <x v="1"/>
    <s v="Rarely"/>
    <s v="Sales"/>
    <n v="6"/>
    <s v="Middistance(6-14)"/>
    <n v="4"/>
    <s v="Satisfied(&gt;=3)"/>
    <x v="0"/>
    <n v="2"/>
    <s v="Low"/>
    <n v="3"/>
    <x v="1"/>
    <x v="0"/>
    <n v="4"/>
    <s v="Satisfied(&gt;=3)"/>
    <x v="0"/>
    <n v="6"/>
    <s v="Y"/>
    <x v="1"/>
    <n v="12"/>
    <x v="0"/>
    <n v="23"/>
    <n v="3"/>
    <s v="Good(&gt;=3)"/>
    <n v="19"/>
    <s v="Ultra_Long(&gt;10)"/>
    <n v="7"/>
    <x v="1"/>
    <n v="12"/>
    <s v="Not_Reasonable(&gt;3)"/>
  </r>
  <r>
    <x v="33"/>
    <s v="Old(&gt;50)"/>
    <x v="1"/>
    <s v="Rarely"/>
    <s v="Sales"/>
    <n v="3"/>
    <s v="Nearby(&lt;=5)"/>
    <n v="4"/>
    <s v="Satisfied(&gt;=3)"/>
    <x v="0"/>
    <n v="3"/>
    <s v="Medium"/>
    <n v="2"/>
    <x v="0"/>
    <x v="0"/>
    <n v="1"/>
    <s v="Not_Satisfied(&lt;=2)"/>
    <x v="1"/>
    <n v="2"/>
    <s v="Y"/>
    <x v="1"/>
    <n v="14"/>
    <x v="0"/>
    <n v="16"/>
    <n v="3"/>
    <s v="Good(&gt;=3)"/>
    <n v="6"/>
    <s v="Long(5-10)"/>
    <n v="2"/>
    <x v="0"/>
    <n v="0"/>
    <s v="Reasonable(&lt;=3)"/>
  </r>
  <r>
    <x v="9"/>
    <s v="Middle_Age(30-50)"/>
    <x v="1"/>
    <s v="Rarely"/>
    <s v="Research &amp; Development"/>
    <n v="5"/>
    <s v="Nearby(&lt;=5)"/>
    <n v="4"/>
    <s v="Satisfied(&gt;=3)"/>
    <x v="1"/>
    <n v="3"/>
    <s v="Medium"/>
    <n v="2"/>
    <x v="0"/>
    <x v="2"/>
    <n v="2"/>
    <s v="Not_Satisfied(&lt;=2)"/>
    <x v="0"/>
    <n v="8"/>
    <s v="Y"/>
    <x v="1"/>
    <n v="16"/>
    <x v="0"/>
    <n v="16"/>
    <n v="4"/>
    <s v="Good(&gt;=3)"/>
    <n v="13"/>
    <s v="Ultra_Long(&gt;10)"/>
    <n v="11"/>
    <x v="2"/>
    <n v="3"/>
    <s v="Reasonable(&lt;=3)"/>
  </r>
  <r>
    <x v="3"/>
    <s v="Middle_Age(30-50)"/>
    <x v="1"/>
    <s v="Rarely"/>
    <s v="Research &amp; Development"/>
    <n v="4"/>
    <s v="Nearby(&lt;=5)"/>
    <n v="3"/>
    <s v="Satisfied(&gt;=3)"/>
    <x v="0"/>
    <n v="2"/>
    <s v="Low"/>
    <n v="1"/>
    <x v="0"/>
    <x v="1"/>
    <n v="2"/>
    <s v="Not_Satisfied(&lt;=2)"/>
    <x v="1"/>
    <n v="6"/>
    <s v="Y"/>
    <x v="1"/>
    <n v="21"/>
    <x v="1"/>
    <n v="7"/>
    <n v="3"/>
    <s v="Good(&gt;=3)"/>
    <n v="3"/>
    <s v="Short(&lt;=4)"/>
    <n v="2"/>
    <x v="0"/>
    <n v="1"/>
    <s v="Reasonable(&lt;=3)"/>
  </r>
  <r>
    <x v="2"/>
    <s v="Middle_Age(30-50)"/>
    <x v="1"/>
    <s v="Frequently"/>
    <s v="Research &amp; Development"/>
    <n v="11"/>
    <s v="Middistance(6-14)"/>
    <n v="2"/>
    <s v="Not_Satisfied(&lt;3)"/>
    <x v="1"/>
    <n v="3"/>
    <s v="Medium"/>
    <n v="3"/>
    <x v="1"/>
    <x v="7"/>
    <n v="4"/>
    <s v="Satisfied(&gt;=3)"/>
    <x v="2"/>
    <n v="1"/>
    <s v="Y"/>
    <x v="0"/>
    <n v="14"/>
    <x v="0"/>
    <n v="10"/>
    <n v="3"/>
    <s v="Good(&gt;=3)"/>
    <n v="10"/>
    <s v="Long(5-10)"/>
    <n v="8"/>
    <x v="1"/>
    <n v="0"/>
    <s v="Reasonable(&lt;=3)"/>
  </r>
  <r>
    <x v="8"/>
    <s v="Middle_Age(30-50)"/>
    <x v="1"/>
    <s v="Rarely"/>
    <s v="Sales"/>
    <n v="3"/>
    <s v="Nearby(&lt;=5)"/>
    <n v="1"/>
    <s v="Not_Satisfied(&lt;3)"/>
    <x v="1"/>
    <n v="3"/>
    <s v="Medium"/>
    <n v="3"/>
    <x v="1"/>
    <x v="0"/>
    <n v="3"/>
    <s v="Satisfied(&gt;=3)"/>
    <x v="2"/>
    <n v="0"/>
    <s v="Y"/>
    <x v="1"/>
    <n v="12"/>
    <x v="0"/>
    <n v="17"/>
    <n v="2"/>
    <s v="Poor(&lt;=2)"/>
    <n v="16"/>
    <s v="Ultra_Long(&gt;10)"/>
    <n v="10"/>
    <x v="1"/>
    <n v="5"/>
    <s v="Not_Reasonable(&gt;3)"/>
  </r>
  <r>
    <x v="12"/>
    <s v="Middle_Age(30-50)"/>
    <x v="1"/>
    <s v="Rarely"/>
    <s v="Research &amp; Development"/>
    <n v="1"/>
    <s v="Nearby(&lt;=5)"/>
    <n v="3"/>
    <s v="Satisfied(&gt;=3)"/>
    <x v="1"/>
    <n v="1"/>
    <s v="Low"/>
    <n v="2"/>
    <x v="0"/>
    <x v="3"/>
    <n v="3"/>
    <s v="Satisfied(&gt;=3)"/>
    <x v="1"/>
    <n v="0"/>
    <s v="Y"/>
    <x v="1"/>
    <n v="12"/>
    <x v="0"/>
    <n v="6"/>
    <n v="3"/>
    <s v="Good(&gt;=3)"/>
    <n v="5"/>
    <s v="Long(5-10)"/>
    <n v="4"/>
    <x v="0"/>
    <n v="1"/>
    <s v="Reasonable(&lt;=3)"/>
  </r>
  <r>
    <x v="6"/>
    <s v="Old(&gt;50)"/>
    <x v="1"/>
    <s v="Rarely"/>
    <s v="Research &amp; Development"/>
    <n v="3"/>
    <s v="Nearby(&lt;=5)"/>
    <n v="3"/>
    <s v="Satisfied(&gt;=3)"/>
    <x v="1"/>
    <n v="2"/>
    <s v="Low"/>
    <n v="1"/>
    <x v="0"/>
    <x v="1"/>
    <n v="4"/>
    <s v="Satisfied(&gt;=3)"/>
    <x v="1"/>
    <n v="3"/>
    <s v="Y"/>
    <x v="1"/>
    <n v="17"/>
    <x v="0"/>
    <n v="7"/>
    <n v="3"/>
    <s v="Good(&gt;=3)"/>
    <n v="1"/>
    <s v="Short(&lt;=4)"/>
    <n v="0"/>
    <x v="0"/>
    <n v="0"/>
    <s v="Reasonable(&lt;=3)"/>
  </r>
  <r>
    <x v="2"/>
    <s v="Middle_Age(30-50)"/>
    <x v="1"/>
    <s v="Frequently"/>
    <s v="Sales"/>
    <n v="4"/>
    <s v="Nearby(&lt;=5)"/>
    <n v="1"/>
    <s v="Not_Satisfied(&lt;3)"/>
    <x v="1"/>
    <n v="3"/>
    <s v="Medium"/>
    <n v="1"/>
    <x v="0"/>
    <x v="6"/>
    <n v="4"/>
    <s v="Satisfied(&gt;=3)"/>
    <x v="2"/>
    <n v="4"/>
    <s v="Y"/>
    <x v="1"/>
    <n v="17"/>
    <x v="0"/>
    <n v="13"/>
    <n v="3"/>
    <s v="Good(&gt;=3)"/>
    <n v="9"/>
    <s v="Long(5-10)"/>
    <n v="8"/>
    <x v="1"/>
    <n v="5"/>
    <s v="Not_Reasonable(&gt;3)"/>
  </r>
  <r>
    <x v="11"/>
    <s v="Young(&lt;=29)"/>
    <x v="1"/>
    <s v="Frequently"/>
    <s v="Sales"/>
    <n v="1"/>
    <s v="Nearby(&lt;=5)"/>
    <n v="2"/>
    <s v="Not_Satisfied(&lt;3)"/>
    <x v="0"/>
    <n v="3"/>
    <s v="Medium"/>
    <n v="3"/>
    <x v="1"/>
    <x v="0"/>
    <n v="4"/>
    <s v="Satisfied(&gt;=3)"/>
    <x v="1"/>
    <n v="1"/>
    <s v="Y"/>
    <x v="1"/>
    <n v="14"/>
    <x v="0"/>
    <n v="11"/>
    <n v="3"/>
    <s v="Good(&gt;=3)"/>
    <n v="11"/>
    <s v="Ultra_Long(&gt;10)"/>
    <n v="10"/>
    <x v="1"/>
    <n v="4"/>
    <s v="Not_Reasonable(&gt;3)"/>
  </r>
  <r>
    <x v="10"/>
    <s v="Middle_Age(30-50)"/>
    <x v="1"/>
    <s v="Frequently"/>
    <s v="Sales"/>
    <n v="1"/>
    <s v="Nearby(&lt;=5)"/>
    <n v="3"/>
    <s v="Satisfied(&gt;=3)"/>
    <x v="0"/>
    <n v="3"/>
    <s v="Medium"/>
    <n v="3"/>
    <x v="1"/>
    <x v="0"/>
    <n v="3"/>
    <s v="Satisfied(&gt;=3)"/>
    <x v="0"/>
    <n v="1"/>
    <s v="Y"/>
    <x v="1"/>
    <n v="14"/>
    <x v="0"/>
    <n v="10"/>
    <n v="4"/>
    <s v="Good(&gt;=3)"/>
    <n v="10"/>
    <s v="Long(5-10)"/>
    <n v="7"/>
    <x v="1"/>
    <n v="0"/>
    <s v="Reasonable(&lt;=3)"/>
  </r>
  <r>
    <x v="11"/>
    <s v="Young(&lt;=29)"/>
    <x v="0"/>
    <s v="Rarely"/>
    <s v="Research &amp; Development"/>
    <n v="18"/>
    <s v="Far(&gt;=15)"/>
    <n v="3"/>
    <s v="Satisfied(&gt;=3)"/>
    <x v="1"/>
    <n v="2"/>
    <s v="Low"/>
    <n v="1"/>
    <x v="0"/>
    <x v="1"/>
    <n v="4"/>
    <s v="Satisfied(&gt;=3)"/>
    <x v="0"/>
    <n v="1"/>
    <s v="Y"/>
    <x v="0"/>
    <n v="13"/>
    <x v="0"/>
    <n v="4"/>
    <n v="2"/>
    <s v="Poor(&lt;=2)"/>
    <n v="4"/>
    <s v="Short(&lt;=4)"/>
    <n v="3"/>
    <x v="0"/>
    <n v="0"/>
    <s v="Reasonable(&lt;=3)"/>
  </r>
  <r>
    <x v="39"/>
    <s v="Old(&gt;50)"/>
    <x v="1"/>
    <s v="Rarely"/>
    <s v="Research &amp; Development"/>
    <n v="2"/>
    <s v="Nearby(&lt;=5)"/>
    <n v="3"/>
    <s v="Satisfied(&gt;=3)"/>
    <x v="0"/>
    <n v="2"/>
    <s v="Low"/>
    <n v="1"/>
    <x v="0"/>
    <x v="2"/>
    <n v="4"/>
    <s v="Satisfied(&gt;=3)"/>
    <x v="0"/>
    <n v="7"/>
    <s v="Y"/>
    <x v="1"/>
    <n v="15"/>
    <x v="0"/>
    <n v="6"/>
    <n v="2"/>
    <s v="Poor(&lt;=2)"/>
    <n v="2"/>
    <s v="Short(&lt;=4)"/>
    <n v="2"/>
    <x v="0"/>
    <n v="2"/>
    <s v="Reasonable(&lt;=3)"/>
  </r>
  <r>
    <x v="19"/>
    <s v="Middle_Age(30-50)"/>
    <x v="1"/>
    <s v="Rarely"/>
    <s v="Research &amp; Development"/>
    <n v="4"/>
    <s v="Nearby(&lt;=5)"/>
    <n v="3"/>
    <s v="Satisfied(&gt;=3)"/>
    <x v="1"/>
    <n v="3"/>
    <s v="Medium"/>
    <n v="5"/>
    <x v="2"/>
    <x v="5"/>
    <n v="4"/>
    <s v="Satisfied(&gt;=3)"/>
    <x v="1"/>
    <n v="1"/>
    <s v="Y"/>
    <x v="1"/>
    <n v="11"/>
    <x v="0"/>
    <n v="22"/>
    <n v="3"/>
    <s v="Good(&gt;=3)"/>
    <n v="22"/>
    <s v="Ultra_Long(&gt;10)"/>
    <n v="17"/>
    <x v="2"/>
    <n v="11"/>
    <s v="Not_Reasonable(&gt;3)"/>
  </r>
  <r>
    <x v="6"/>
    <s v="Old(&gt;50)"/>
    <x v="1"/>
    <s v="Rarely"/>
    <s v="Human Resources"/>
    <n v="6"/>
    <s v="Middistance(6-14)"/>
    <n v="2"/>
    <s v="Not_Satisfied(&lt;3)"/>
    <x v="1"/>
    <n v="3"/>
    <s v="Medium"/>
    <n v="1"/>
    <x v="0"/>
    <x v="8"/>
    <n v="3"/>
    <s v="Satisfied(&gt;=3)"/>
    <x v="1"/>
    <n v="8"/>
    <s v="Y"/>
    <x v="1"/>
    <n v="17"/>
    <x v="0"/>
    <n v="7"/>
    <n v="2"/>
    <s v="Poor(&lt;=2)"/>
    <n v="2"/>
    <s v="Short(&lt;=4)"/>
    <n v="2"/>
    <x v="0"/>
    <n v="2"/>
    <s v="Reasonable(&lt;=3)"/>
  </r>
  <r>
    <x v="24"/>
    <s v="Middle_Age(30-50)"/>
    <x v="1"/>
    <s v="Rarely"/>
    <s v="Sales"/>
    <n v="1"/>
    <s v="Nearby(&lt;=5)"/>
    <n v="4"/>
    <s v="Satisfied(&gt;=3)"/>
    <x v="0"/>
    <n v="3"/>
    <s v="Medium"/>
    <n v="5"/>
    <x v="2"/>
    <x v="5"/>
    <n v="4"/>
    <s v="Satisfied(&gt;=3)"/>
    <x v="2"/>
    <n v="3"/>
    <s v="Y"/>
    <x v="1"/>
    <n v="11"/>
    <x v="0"/>
    <n v="32"/>
    <n v="2"/>
    <s v="Poor(&lt;=2)"/>
    <n v="7"/>
    <s v="Long(5-10)"/>
    <n v="0"/>
    <x v="0"/>
    <n v="0"/>
    <s v="Reasonable(&lt;=3)"/>
  </r>
  <r>
    <x v="3"/>
    <s v="Middle_Age(30-50)"/>
    <x v="0"/>
    <s v="Rarely"/>
    <s v="Research &amp; Development"/>
    <n v="14"/>
    <s v="Middistance(6-14)"/>
    <n v="3"/>
    <s v="Satisfied(&gt;=3)"/>
    <x v="1"/>
    <n v="3"/>
    <s v="Medium"/>
    <n v="1"/>
    <x v="0"/>
    <x v="2"/>
    <n v="4"/>
    <s v="Satisfied(&gt;=3)"/>
    <x v="1"/>
    <n v="5"/>
    <s v="Y"/>
    <x v="0"/>
    <n v="13"/>
    <x v="0"/>
    <n v="8"/>
    <n v="1"/>
    <s v="Poor(&lt;=2)"/>
    <n v="5"/>
    <s v="Long(5-10)"/>
    <n v="4"/>
    <x v="0"/>
    <n v="0"/>
    <s v="Reasonable(&lt;=3)"/>
  </r>
  <r>
    <x v="23"/>
    <s v="Middle_Age(30-50)"/>
    <x v="1"/>
    <s v="Rarely"/>
    <s v="Sales"/>
    <n v="16"/>
    <s v="Far(&gt;=15)"/>
    <n v="4"/>
    <s v="Satisfied(&gt;=3)"/>
    <x v="0"/>
    <n v="3"/>
    <s v="Medium"/>
    <n v="4"/>
    <x v="2"/>
    <x v="5"/>
    <n v="4"/>
    <s v="Satisfied(&gt;=3)"/>
    <x v="1"/>
    <n v="5"/>
    <s v="Y"/>
    <x v="0"/>
    <n v="22"/>
    <x v="1"/>
    <n v="22"/>
    <n v="3"/>
    <s v="Good(&gt;=3)"/>
    <n v="17"/>
    <s v="Ultra_Long(&gt;10)"/>
    <n v="13"/>
    <x v="2"/>
    <n v="1"/>
    <s v="Reasonable(&lt;=3)"/>
  </r>
  <r>
    <x v="3"/>
    <s v="Middle_Age(30-50)"/>
    <x v="0"/>
    <s v="Rarely"/>
    <s v="Research &amp; Development"/>
    <n v="2"/>
    <s v="Nearby(&lt;=5)"/>
    <n v="1"/>
    <s v="Not_Satisfied(&lt;3)"/>
    <x v="0"/>
    <n v="3"/>
    <s v="Medium"/>
    <n v="1"/>
    <x v="0"/>
    <x v="2"/>
    <n v="1"/>
    <s v="Not_Satisfied(&lt;=2)"/>
    <x v="1"/>
    <n v="7"/>
    <s v="Y"/>
    <x v="1"/>
    <n v="20"/>
    <x v="1"/>
    <n v="13"/>
    <n v="4"/>
    <s v="Good(&gt;=3)"/>
    <n v="9"/>
    <s v="Long(5-10)"/>
    <n v="7"/>
    <x v="1"/>
    <n v="1"/>
    <s v="Reasonable(&lt;=3)"/>
  </r>
  <r>
    <x v="39"/>
    <s v="Old(&gt;50)"/>
    <x v="1"/>
    <s v="Rarely"/>
    <s v="Sales"/>
    <n v="2"/>
    <s v="Nearby(&lt;=5)"/>
    <n v="1"/>
    <s v="Not_Satisfied(&lt;3)"/>
    <x v="1"/>
    <n v="2"/>
    <s v="Low"/>
    <n v="5"/>
    <x v="2"/>
    <x v="5"/>
    <n v="3"/>
    <s v="Satisfied(&gt;=3)"/>
    <x v="0"/>
    <n v="1"/>
    <s v="Y"/>
    <x v="0"/>
    <n v="18"/>
    <x v="0"/>
    <n v="33"/>
    <n v="4"/>
    <s v="Good(&gt;=3)"/>
    <n v="33"/>
    <s v="Ultra_Long(&gt;10)"/>
    <n v="7"/>
    <x v="1"/>
    <n v="15"/>
    <s v="Not_Reasonable(&gt;3)"/>
  </r>
  <r>
    <x v="5"/>
    <s v="Middle_Age(30-50)"/>
    <x v="1"/>
    <s v="Rarely"/>
    <s v="Sales"/>
    <n v="4"/>
    <s v="Nearby(&lt;=5)"/>
    <n v="3"/>
    <s v="Satisfied(&gt;=3)"/>
    <x v="0"/>
    <n v="3"/>
    <s v="Medium"/>
    <n v="1"/>
    <x v="0"/>
    <x v="6"/>
    <n v="2"/>
    <s v="Not_Satisfied(&lt;=2)"/>
    <x v="1"/>
    <n v="2"/>
    <s v="Y"/>
    <x v="1"/>
    <n v="11"/>
    <x v="0"/>
    <n v="6"/>
    <n v="3"/>
    <s v="Good(&gt;=3)"/>
    <n v="4"/>
    <s v="Short(&lt;=4)"/>
    <n v="3"/>
    <x v="0"/>
    <n v="1"/>
    <s v="Reasonable(&lt;=3)"/>
  </r>
  <r>
    <x v="5"/>
    <s v="Middle_Age(30-50)"/>
    <x v="0"/>
    <s v="Rarely"/>
    <s v="Research &amp; Development"/>
    <n v="1"/>
    <s v="Nearby(&lt;=5)"/>
    <n v="4"/>
    <s v="Satisfied(&gt;=3)"/>
    <x v="1"/>
    <n v="2"/>
    <s v="Low"/>
    <n v="1"/>
    <x v="0"/>
    <x v="2"/>
    <n v="3"/>
    <s v="Satisfied(&gt;=3)"/>
    <x v="0"/>
    <n v="0"/>
    <s v="Y"/>
    <x v="0"/>
    <n v="14"/>
    <x v="0"/>
    <n v="4"/>
    <n v="1"/>
    <s v="Poor(&lt;=2)"/>
    <n v="3"/>
    <s v="Short(&lt;=4)"/>
    <n v="2"/>
    <x v="0"/>
    <n v="1"/>
    <s v="Reasonable(&lt;=3)"/>
  </r>
  <r>
    <x v="22"/>
    <s v="Middle_Age(30-50)"/>
    <x v="1"/>
    <s v="Rarely"/>
    <s v="Research &amp; Development"/>
    <n v="1"/>
    <s v="Nearby(&lt;=5)"/>
    <n v="3"/>
    <s v="Satisfied(&gt;=3)"/>
    <x v="0"/>
    <n v="3"/>
    <s v="Medium"/>
    <n v="1"/>
    <x v="0"/>
    <x v="2"/>
    <n v="3"/>
    <s v="Satisfied(&gt;=3)"/>
    <x v="2"/>
    <n v="7"/>
    <s v="Y"/>
    <x v="1"/>
    <n v="14"/>
    <x v="0"/>
    <n v="7"/>
    <n v="3"/>
    <s v="Good(&gt;=3)"/>
    <n v="3"/>
    <s v="Short(&lt;=4)"/>
    <n v="2"/>
    <x v="0"/>
    <n v="1"/>
    <s v="Reasonable(&lt;=3)"/>
  </r>
  <r>
    <x v="5"/>
    <s v="Middle_Age(30-50)"/>
    <x v="1"/>
    <s v="Rarely"/>
    <s v="Sales"/>
    <n v="26"/>
    <s v="Far(&gt;=15)"/>
    <n v="3"/>
    <s v="Satisfied(&gt;=3)"/>
    <x v="1"/>
    <n v="3"/>
    <s v="Medium"/>
    <n v="2"/>
    <x v="0"/>
    <x v="0"/>
    <n v="4"/>
    <s v="Satisfied(&gt;=3)"/>
    <x v="1"/>
    <n v="0"/>
    <s v="Y"/>
    <x v="1"/>
    <n v="18"/>
    <x v="0"/>
    <n v="4"/>
    <n v="3"/>
    <s v="Good(&gt;=3)"/>
    <n v="3"/>
    <s v="Short(&lt;=4)"/>
    <n v="2"/>
    <x v="0"/>
    <n v="2"/>
    <s v="Reasonable(&lt;=3)"/>
  </r>
  <r>
    <x v="0"/>
    <s v="Middle_Age(30-50)"/>
    <x v="1"/>
    <s v="Rarely"/>
    <s v="Research &amp; Development"/>
    <n v="19"/>
    <s v="Far(&gt;=15)"/>
    <n v="3"/>
    <s v="Satisfied(&gt;=3)"/>
    <x v="1"/>
    <n v="3"/>
    <s v="Medium"/>
    <n v="2"/>
    <x v="0"/>
    <x v="1"/>
    <n v="1"/>
    <s v="Not_Satisfied(&lt;=2)"/>
    <x v="2"/>
    <n v="2"/>
    <s v="Y"/>
    <x v="1"/>
    <n v="16"/>
    <x v="0"/>
    <n v="17"/>
    <n v="2"/>
    <s v="Poor(&lt;=2)"/>
    <n v="1"/>
    <s v="Short(&lt;=4)"/>
    <n v="0"/>
    <x v="0"/>
    <n v="0"/>
    <s v="Reasonable(&lt;=3)"/>
  </r>
  <r>
    <x v="32"/>
    <s v="Middle_Age(30-50)"/>
    <x v="1"/>
    <s v="Rarely"/>
    <s v="Research &amp; Development"/>
    <n v="24"/>
    <s v="Far(&gt;=15)"/>
    <n v="1"/>
    <s v="Not_Satisfied(&lt;3)"/>
    <x v="1"/>
    <n v="3"/>
    <s v="Medium"/>
    <n v="2"/>
    <x v="0"/>
    <x v="1"/>
    <n v="4"/>
    <s v="Satisfied(&gt;=3)"/>
    <x v="2"/>
    <n v="1"/>
    <s v="Y"/>
    <x v="1"/>
    <n v="17"/>
    <x v="0"/>
    <n v="9"/>
    <n v="3"/>
    <s v="Good(&gt;=3)"/>
    <n v="9"/>
    <s v="Long(5-10)"/>
    <n v="8"/>
    <x v="1"/>
    <n v="4"/>
    <s v="Not_Reasonable(&gt;3)"/>
  </r>
  <r>
    <x v="28"/>
    <s v="Middle_Age(30-50)"/>
    <x v="1"/>
    <s v="Rarely"/>
    <s v="Research &amp; Development"/>
    <n v="1"/>
    <s v="Nearby(&lt;=5)"/>
    <n v="3"/>
    <s v="Satisfied(&gt;=3)"/>
    <x v="1"/>
    <n v="4"/>
    <s v="High"/>
    <n v="5"/>
    <x v="2"/>
    <x v="5"/>
    <n v="4"/>
    <s v="Satisfied(&gt;=3)"/>
    <x v="1"/>
    <n v="0"/>
    <s v="Y"/>
    <x v="1"/>
    <n v="11"/>
    <x v="0"/>
    <n v="25"/>
    <n v="3"/>
    <s v="Good(&gt;=3)"/>
    <n v="24"/>
    <s v="Ultra_Long(&gt;10)"/>
    <n v="0"/>
    <x v="0"/>
    <n v="1"/>
    <s v="Reasonable(&lt;=3)"/>
  </r>
  <r>
    <x v="12"/>
    <s v="Middle_Age(30-50)"/>
    <x v="1"/>
    <s v="Frequently"/>
    <s v="Research &amp; Development"/>
    <n v="3"/>
    <s v="Nearby(&lt;=5)"/>
    <n v="2"/>
    <s v="Not_Satisfied(&lt;3)"/>
    <x v="1"/>
    <n v="3"/>
    <s v="Medium"/>
    <n v="3"/>
    <x v="1"/>
    <x v="7"/>
    <n v="3"/>
    <s v="Satisfied(&gt;=3)"/>
    <x v="2"/>
    <n v="9"/>
    <s v="Y"/>
    <x v="1"/>
    <n v="12"/>
    <x v="0"/>
    <n v="9"/>
    <n v="3"/>
    <s v="Good(&gt;=3)"/>
    <n v="2"/>
    <s v="Short(&lt;=4)"/>
    <n v="2"/>
    <x v="0"/>
    <n v="2"/>
    <s v="Reasonable(&lt;=3)"/>
  </r>
  <r>
    <x v="3"/>
    <s v="Middle_Age(30-50)"/>
    <x v="1"/>
    <s v="Rarely"/>
    <s v="Research &amp; Development"/>
    <n v="5"/>
    <s v="Nearby(&lt;=5)"/>
    <n v="3"/>
    <s v="Satisfied(&gt;=3)"/>
    <x v="0"/>
    <n v="2"/>
    <s v="Low"/>
    <n v="1"/>
    <x v="0"/>
    <x v="1"/>
    <n v="4"/>
    <s v="Satisfied(&gt;=3)"/>
    <x v="1"/>
    <n v="1"/>
    <s v="Y"/>
    <x v="1"/>
    <n v="13"/>
    <x v="0"/>
    <n v="2"/>
    <n v="2"/>
    <s v="Poor(&lt;=2)"/>
    <n v="2"/>
    <s v="Short(&lt;=4)"/>
    <n v="2"/>
    <x v="0"/>
    <n v="0"/>
    <s v="Reasonable(&lt;=3)"/>
  </r>
  <r>
    <x v="13"/>
    <s v="Middle_Age(30-50)"/>
    <x v="1"/>
    <s v="Rarely"/>
    <s v="Research &amp; Development"/>
    <n v="2"/>
    <s v="Nearby(&lt;=5)"/>
    <n v="4"/>
    <s v="Satisfied(&gt;=3)"/>
    <x v="1"/>
    <n v="2"/>
    <s v="Low"/>
    <n v="2"/>
    <x v="0"/>
    <x v="3"/>
    <n v="1"/>
    <s v="Not_Satisfied(&lt;=2)"/>
    <x v="1"/>
    <n v="6"/>
    <s v="Y"/>
    <x v="1"/>
    <n v="13"/>
    <x v="0"/>
    <n v="13"/>
    <n v="3"/>
    <s v="Good(&gt;=3)"/>
    <n v="11"/>
    <s v="Ultra_Long(&gt;10)"/>
    <n v="9"/>
    <x v="1"/>
    <n v="5"/>
    <s v="Not_Reasonable(&gt;3)"/>
  </r>
  <r>
    <x v="2"/>
    <s v="Middle_Age(30-50)"/>
    <x v="1"/>
    <s v="Rarely"/>
    <s v="Research &amp; Development"/>
    <n v="1"/>
    <s v="Nearby(&lt;=5)"/>
    <n v="3"/>
    <s v="Satisfied(&gt;=3)"/>
    <x v="0"/>
    <n v="2"/>
    <s v="Low"/>
    <n v="1"/>
    <x v="0"/>
    <x v="1"/>
    <n v="1"/>
    <s v="Not_Satisfied(&lt;=2)"/>
    <x v="1"/>
    <n v="2"/>
    <s v="Y"/>
    <x v="1"/>
    <n v="14"/>
    <x v="0"/>
    <n v="17"/>
    <n v="2"/>
    <s v="Poor(&lt;=2)"/>
    <n v="3"/>
    <s v="Short(&lt;=4)"/>
    <n v="1"/>
    <x v="0"/>
    <n v="0"/>
    <s v="Reasonable(&lt;=3)"/>
  </r>
  <r>
    <x v="28"/>
    <s v="Middle_Age(30-50)"/>
    <x v="1"/>
    <s v="Frequently"/>
    <s v="Research &amp; Development"/>
    <n v="7"/>
    <s v="Middistance(6-14)"/>
    <n v="1"/>
    <s v="Not_Satisfied(&lt;3)"/>
    <x v="1"/>
    <n v="4"/>
    <s v="High"/>
    <n v="2"/>
    <x v="0"/>
    <x v="3"/>
    <n v="3"/>
    <s v="Satisfied(&gt;=3)"/>
    <x v="1"/>
    <n v="4"/>
    <s v="Y"/>
    <x v="1"/>
    <n v="17"/>
    <x v="0"/>
    <n v="9"/>
    <n v="3"/>
    <s v="Good(&gt;=3)"/>
    <n v="3"/>
    <s v="Short(&lt;=4)"/>
    <n v="2"/>
    <x v="0"/>
    <n v="0"/>
    <s v="Reasonable(&lt;=3)"/>
  </r>
  <r>
    <x v="2"/>
    <s v="Middle_Age(30-50)"/>
    <x v="0"/>
    <s v="Frequently"/>
    <s v="Research &amp; Development"/>
    <n v="10"/>
    <s v="Middistance(6-14)"/>
    <n v="1"/>
    <s v="Not_Satisfied(&lt;3)"/>
    <x v="1"/>
    <n v="3"/>
    <s v="Medium"/>
    <n v="3"/>
    <x v="1"/>
    <x v="3"/>
    <n v="3"/>
    <s v="Satisfied(&gt;=3)"/>
    <x v="2"/>
    <n v="6"/>
    <s v="Y"/>
    <x v="1"/>
    <n v="11"/>
    <x v="0"/>
    <n v="17"/>
    <n v="3"/>
    <s v="Good(&gt;=3)"/>
    <n v="1"/>
    <s v="Short(&lt;=4)"/>
    <n v="0"/>
    <x v="0"/>
    <n v="0"/>
    <s v="Reasonable(&lt;=3)"/>
  </r>
  <r>
    <x v="22"/>
    <s v="Middle_Age(30-50)"/>
    <x v="1"/>
    <s v="Frequently"/>
    <s v="Research &amp; Development"/>
    <n v="2"/>
    <s v="Nearby(&lt;=5)"/>
    <n v="3"/>
    <s v="Satisfied(&gt;=3)"/>
    <x v="0"/>
    <n v="3"/>
    <s v="Medium"/>
    <n v="3"/>
    <x v="1"/>
    <x v="4"/>
    <n v="3"/>
    <s v="Satisfied(&gt;=3)"/>
    <x v="0"/>
    <n v="0"/>
    <s v="Y"/>
    <x v="1"/>
    <n v="25"/>
    <x v="1"/>
    <n v="20"/>
    <n v="3"/>
    <s v="Good(&gt;=3)"/>
    <n v="19"/>
    <s v="Ultra_Long(&gt;10)"/>
    <n v="6"/>
    <x v="1"/>
    <n v="11"/>
    <s v="Not_Reasonable(&gt;3)"/>
  </r>
  <r>
    <x v="11"/>
    <s v="Young(&lt;=29)"/>
    <x v="1"/>
    <s v="Rarely"/>
    <s v="Research &amp; Development"/>
    <n v="15"/>
    <s v="Far(&gt;=15)"/>
    <n v="3"/>
    <s v="Satisfied(&gt;=3)"/>
    <x v="1"/>
    <n v="3"/>
    <s v="Medium"/>
    <n v="1"/>
    <x v="0"/>
    <x v="1"/>
    <n v="4"/>
    <s v="Satisfied(&gt;=3)"/>
    <x v="0"/>
    <n v="1"/>
    <s v="Y"/>
    <x v="1"/>
    <n v="19"/>
    <x v="0"/>
    <n v="6"/>
    <n v="3"/>
    <s v="Good(&gt;=3)"/>
    <n v="6"/>
    <s v="Long(5-10)"/>
    <n v="5"/>
    <x v="1"/>
    <n v="1"/>
    <s v="Reasonable(&lt;=3)"/>
  </r>
  <r>
    <x v="19"/>
    <s v="Middle_Age(30-50)"/>
    <x v="1"/>
    <s v="Rarely"/>
    <s v="Research &amp; Development"/>
    <n v="17"/>
    <s v="Far(&gt;=15)"/>
    <n v="4"/>
    <s v="Satisfied(&gt;=3)"/>
    <x v="0"/>
    <n v="4"/>
    <s v="High"/>
    <n v="2"/>
    <x v="0"/>
    <x v="1"/>
    <n v="1"/>
    <s v="Not_Satisfied(&lt;=2)"/>
    <x v="0"/>
    <n v="3"/>
    <s v="Y"/>
    <x v="0"/>
    <n v="13"/>
    <x v="0"/>
    <n v="10"/>
    <n v="3"/>
    <s v="Good(&gt;=3)"/>
    <n v="3"/>
    <s v="Short(&lt;=4)"/>
    <n v="2"/>
    <x v="0"/>
    <n v="0"/>
    <s v="Reasonable(&lt;=3)"/>
  </r>
  <r>
    <x v="11"/>
    <s v="Young(&lt;=29)"/>
    <x v="1"/>
    <s v="Rarely"/>
    <s v="Sales"/>
    <n v="20"/>
    <s v="Far(&gt;=15)"/>
    <n v="4"/>
    <s v="Satisfied(&gt;=3)"/>
    <x v="1"/>
    <n v="3"/>
    <s v="Medium"/>
    <n v="2"/>
    <x v="0"/>
    <x v="0"/>
    <n v="4"/>
    <s v="Satisfied(&gt;=3)"/>
    <x v="2"/>
    <n v="2"/>
    <s v="Y"/>
    <x v="1"/>
    <n v="14"/>
    <x v="0"/>
    <n v="10"/>
    <n v="3"/>
    <s v="Good(&gt;=3)"/>
    <n v="3"/>
    <s v="Short(&lt;=4)"/>
    <n v="2"/>
    <x v="0"/>
    <n v="0"/>
    <s v="Reasonable(&lt;=3)"/>
  </r>
  <r>
    <x v="36"/>
    <s v="Young(&lt;=29)"/>
    <x v="1"/>
    <s v="Rarely"/>
    <s v="Research &amp; Development"/>
    <n v="1"/>
    <s v="Nearby(&lt;=5)"/>
    <n v="1"/>
    <s v="Not_Satisfied(&lt;3)"/>
    <x v="0"/>
    <n v="3"/>
    <s v="Medium"/>
    <n v="2"/>
    <x v="0"/>
    <x v="3"/>
    <n v="3"/>
    <s v="Satisfied(&gt;=3)"/>
    <x v="1"/>
    <n v="0"/>
    <s v="Y"/>
    <x v="1"/>
    <n v="12"/>
    <x v="0"/>
    <n v="5"/>
    <n v="3"/>
    <s v="Good(&gt;=3)"/>
    <n v="4"/>
    <s v="Short(&lt;=4)"/>
    <n v="2"/>
    <x v="0"/>
    <n v="1"/>
    <s v="Reasonable(&lt;=3)"/>
  </r>
  <r>
    <x v="19"/>
    <s v="Middle_Age(30-50)"/>
    <x v="1"/>
    <s v="Rarely"/>
    <s v="Research &amp; Development"/>
    <n v="2"/>
    <s v="Nearby(&lt;=5)"/>
    <n v="4"/>
    <s v="Satisfied(&gt;=3)"/>
    <x v="0"/>
    <n v="2"/>
    <s v="Low"/>
    <n v="1"/>
    <x v="0"/>
    <x v="2"/>
    <n v="1"/>
    <s v="Not_Satisfied(&lt;=2)"/>
    <x v="2"/>
    <n v="0"/>
    <s v="Y"/>
    <x v="0"/>
    <n v="11"/>
    <x v="0"/>
    <n v="10"/>
    <n v="3"/>
    <s v="Good(&gt;=3)"/>
    <n v="9"/>
    <s v="Long(5-10)"/>
    <n v="6"/>
    <x v="1"/>
    <n v="7"/>
    <s v="Not_Reasonable(&gt;3)"/>
  </r>
  <r>
    <x v="32"/>
    <s v="Middle_Age(30-50)"/>
    <x v="1"/>
    <s v="Rarely"/>
    <s v="Research &amp; Development"/>
    <n v="2"/>
    <s v="Nearby(&lt;=5)"/>
    <n v="1"/>
    <s v="Not_Satisfied(&lt;3)"/>
    <x v="1"/>
    <n v="3"/>
    <s v="Medium"/>
    <n v="5"/>
    <x v="2"/>
    <x v="7"/>
    <n v="3"/>
    <s v="Satisfied(&gt;=3)"/>
    <x v="2"/>
    <n v="0"/>
    <s v="Y"/>
    <x v="1"/>
    <n v="19"/>
    <x v="0"/>
    <n v="22"/>
    <n v="3"/>
    <s v="Good(&gt;=3)"/>
    <n v="21"/>
    <s v="Ultra_Long(&gt;10)"/>
    <n v="7"/>
    <x v="1"/>
    <n v="3"/>
    <s v="Reasonable(&lt;=3)"/>
  </r>
  <r>
    <x v="31"/>
    <s v="Old(&gt;50)"/>
    <x v="1"/>
    <s v="Rarely"/>
    <s v="Research &amp; Development"/>
    <n v="1"/>
    <s v="Nearby(&lt;=5)"/>
    <n v="3"/>
    <s v="Satisfied(&gt;=3)"/>
    <x v="1"/>
    <n v="3"/>
    <s v="Medium"/>
    <n v="1"/>
    <x v="0"/>
    <x v="1"/>
    <n v="4"/>
    <s v="Satisfied(&gt;=3)"/>
    <x v="1"/>
    <n v="1"/>
    <s v="Y"/>
    <x v="1"/>
    <n v="11"/>
    <x v="0"/>
    <n v="1"/>
    <n v="2"/>
    <s v="Poor(&lt;=2)"/>
    <n v="1"/>
    <s v="Short(&lt;=4)"/>
    <n v="0"/>
    <x v="0"/>
    <n v="0"/>
    <s v="Reasonable(&lt;=3)"/>
  </r>
  <r>
    <x v="12"/>
    <s v="Middle_Age(30-50)"/>
    <x v="0"/>
    <s v="Frequently"/>
    <s v="Research &amp; Development"/>
    <n v="29"/>
    <s v="Far(&gt;=15)"/>
    <n v="3"/>
    <s v="Satisfied(&gt;=3)"/>
    <x v="1"/>
    <n v="2"/>
    <s v="Low"/>
    <n v="1"/>
    <x v="0"/>
    <x v="2"/>
    <n v="2"/>
    <s v="Not_Satisfied(&lt;=2)"/>
    <x v="0"/>
    <n v="0"/>
    <s v="Y"/>
    <x v="1"/>
    <n v="11"/>
    <x v="0"/>
    <n v="6"/>
    <n v="4"/>
    <s v="Good(&gt;=3)"/>
    <n v="5"/>
    <s v="Long(5-10)"/>
    <n v="4"/>
    <x v="0"/>
    <n v="1"/>
    <s v="Reasonable(&lt;=3)"/>
  </r>
  <r>
    <x v="5"/>
    <s v="Middle_Age(30-50)"/>
    <x v="1"/>
    <s v="Frequently"/>
    <s v="Research &amp; Development"/>
    <n v="7"/>
    <s v="Middistance(6-14)"/>
    <n v="2"/>
    <s v="Not_Satisfied(&lt;3)"/>
    <x v="1"/>
    <n v="4"/>
    <s v="High"/>
    <n v="1"/>
    <x v="0"/>
    <x v="2"/>
    <n v="2"/>
    <s v="Not_Satisfied(&lt;=2)"/>
    <x v="1"/>
    <n v="1"/>
    <s v="Y"/>
    <x v="1"/>
    <n v="20"/>
    <x v="1"/>
    <n v="5"/>
    <n v="1"/>
    <s v="Poor(&lt;=2)"/>
    <n v="5"/>
    <s v="Long(5-10)"/>
    <n v="1"/>
    <x v="0"/>
    <n v="0"/>
    <s v="Reasonable(&lt;=3)"/>
  </r>
  <r>
    <x v="8"/>
    <s v="Middle_Age(30-50)"/>
    <x v="1"/>
    <s v="Rarely"/>
    <s v="Sales"/>
    <n v="2"/>
    <s v="Nearby(&lt;=5)"/>
    <n v="4"/>
    <s v="Satisfied(&gt;=3)"/>
    <x v="1"/>
    <n v="2"/>
    <s v="Low"/>
    <n v="2"/>
    <x v="0"/>
    <x v="0"/>
    <n v="4"/>
    <s v="Satisfied(&gt;=3)"/>
    <x v="1"/>
    <n v="3"/>
    <s v="Y"/>
    <x v="1"/>
    <n v="18"/>
    <x v="0"/>
    <n v="13"/>
    <n v="3"/>
    <s v="Good(&gt;=3)"/>
    <n v="8"/>
    <s v="Long(5-10)"/>
    <n v="7"/>
    <x v="1"/>
    <n v="7"/>
    <s v="Not_Reasonable(&gt;3)"/>
  </r>
  <r>
    <x v="5"/>
    <s v="Middle_Age(30-50)"/>
    <x v="1"/>
    <s v="Rarely"/>
    <s v="Research &amp; Development"/>
    <n v="2"/>
    <s v="Nearby(&lt;=5)"/>
    <n v="4"/>
    <s v="Satisfied(&gt;=3)"/>
    <x v="1"/>
    <n v="2"/>
    <s v="Low"/>
    <n v="2"/>
    <x v="0"/>
    <x v="2"/>
    <n v="1"/>
    <s v="Not_Satisfied(&lt;=2)"/>
    <x v="0"/>
    <n v="4"/>
    <s v="Y"/>
    <x v="1"/>
    <n v="13"/>
    <x v="0"/>
    <n v="9"/>
    <n v="3"/>
    <s v="Good(&gt;=3)"/>
    <n v="6"/>
    <s v="Long(5-10)"/>
    <n v="2"/>
    <x v="0"/>
    <n v="0"/>
    <s v="Reasonable(&lt;=3)"/>
  </r>
  <r>
    <x v="21"/>
    <s v="Middle_Age(30-50)"/>
    <x v="1"/>
    <s v="Rarely"/>
    <s v="Sales"/>
    <n v="2"/>
    <s v="Nearby(&lt;=5)"/>
    <n v="3"/>
    <s v="Satisfied(&gt;=3)"/>
    <x v="0"/>
    <n v="1"/>
    <s v="Low"/>
    <n v="4"/>
    <x v="2"/>
    <x v="5"/>
    <n v="2"/>
    <s v="Not_Satisfied(&lt;=2)"/>
    <x v="1"/>
    <n v="3"/>
    <s v="Y"/>
    <x v="0"/>
    <n v="12"/>
    <x v="0"/>
    <n v="28"/>
    <n v="2"/>
    <s v="Poor(&lt;=2)"/>
    <n v="7"/>
    <s v="Long(5-10)"/>
    <n v="7"/>
    <x v="1"/>
    <n v="7"/>
    <s v="Not_Reasonable(&gt;3)"/>
  </r>
  <r>
    <x v="14"/>
    <s v="Young(&lt;=29)"/>
    <x v="0"/>
    <s v="Rarely"/>
    <s v="Research &amp; Development"/>
    <n v="2"/>
    <s v="Nearby(&lt;=5)"/>
    <n v="1"/>
    <s v="Not_Satisfied(&lt;3)"/>
    <x v="1"/>
    <n v="3"/>
    <s v="Medium"/>
    <n v="1"/>
    <x v="0"/>
    <x v="2"/>
    <n v="3"/>
    <s v="Satisfied(&gt;=3)"/>
    <x v="0"/>
    <n v="2"/>
    <s v="Y"/>
    <x v="1"/>
    <n v="11"/>
    <x v="0"/>
    <n v="5"/>
    <n v="1"/>
    <s v="Poor(&lt;=2)"/>
    <n v="0"/>
    <s v="Short(&lt;=4)"/>
    <n v="0"/>
    <x v="0"/>
    <n v="0"/>
    <s v="Reasonable(&lt;=3)"/>
  </r>
  <r>
    <x v="11"/>
    <s v="Young(&lt;=29)"/>
    <x v="1"/>
    <s v="Rarely"/>
    <s v="Sales"/>
    <n v="2"/>
    <s v="Nearby(&lt;=5)"/>
    <n v="1"/>
    <s v="Not_Satisfied(&lt;3)"/>
    <x v="1"/>
    <n v="2"/>
    <s v="Low"/>
    <n v="2"/>
    <x v="0"/>
    <x v="0"/>
    <n v="2"/>
    <s v="Not_Satisfied(&lt;=2)"/>
    <x v="1"/>
    <n v="2"/>
    <s v="Y"/>
    <x v="1"/>
    <n v="19"/>
    <x v="0"/>
    <n v="10"/>
    <n v="3"/>
    <s v="Good(&gt;=3)"/>
    <n v="0"/>
    <s v="Short(&lt;=4)"/>
    <n v="0"/>
    <x v="0"/>
    <n v="0"/>
    <s v="Reasonable(&lt;=3)"/>
  </r>
  <r>
    <x v="12"/>
    <s v="Middle_Age(30-50)"/>
    <x v="1"/>
    <s v="Rarely"/>
    <s v="Research &amp; Development"/>
    <n v="23"/>
    <s v="Far(&gt;=15)"/>
    <n v="2"/>
    <s v="Not_Satisfied(&lt;3)"/>
    <x v="1"/>
    <n v="2"/>
    <s v="Low"/>
    <n v="2"/>
    <x v="0"/>
    <x v="4"/>
    <n v="4"/>
    <s v="Satisfied(&gt;=3)"/>
    <x v="1"/>
    <n v="0"/>
    <s v="Y"/>
    <x v="1"/>
    <n v="21"/>
    <x v="1"/>
    <n v="10"/>
    <n v="3"/>
    <s v="Good(&gt;=3)"/>
    <n v="9"/>
    <s v="Long(5-10)"/>
    <n v="0"/>
    <x v="0"/>
    <n v="7"/>
    <s v="Not_Reasonable(&gt;3)"/>
  </r>
  <r>
    <x v="36"/>
    <s v="Young(&lt;=29)"/>
    <x v="1"/>
    <s v="Rarely"/>
    <s v="Research &amp; Development"/>
    <n v="5"/>
    <s v="Nearby(&lt;=5)"/>
    <n v="2"/>
    <s v="Not_Satisfied(&lt;3)"/>
    <x v="1"/>
    <n v="4"/>
    <s v="High"/>
    <n v="2"/>
    <x v="0"/>
    <x v="4"/>
    <n v="1"/>
    <s v="Not_Satisfied(&lt;=2)"/>
    <x v="2"/>
    <n v="1"/>
    <s v="Y"/>
    <x v="1"/>
    <n v="12"/>
    <x v="0"/>
    <n v="6"/>
    <n v="3"/>
    <s v="Good(&gt;=3)"/>
    <n v="6"/>
    <s v="Long(5-10)"/>
    <n v="3"/>
    <x v="0"/>
    <n v="1"/>
    <s v="Reasonable(&lt;=3)"/>
  </r>
  <r>
    <x v="28"/>
    <s v="Middle_Age(30-50)"/>
    <x v="1"/>
    <s v="Rarely"/>
    <s v="Research &amp; Development"/>
    <n v="20"/>
    <s v="Far(&gt;=15)"/>
    <n v="3"/>
    <s v="Satisfied(&gt;=3)"/>
    <x v="1"/>
    <n v="3"/>
    <s v="Medium"/>
    <n v="4"/>
    <x v="2"/>
    <x v="4"/>
    <n v="4"/>
    <s v="Satisfied(&gt;=3)"/>
    <x v="1"/>
    <n v="0"/>
    <s v="Y"/>
    <x v="0"/>
    <n v="14"/>
    <x v="0"/>
    <n v="21"/>
    <n v="3"/>
    <s v="Good(&gt;=3)"/>
    <n v="20"/>
    <s v="Ultra_Long(&gt;10)"/>
    <n v="7"/>
    <x v="1"/>
    <n v="4"/>
    <s v="Not_Reasonable(&gt;3)"/>
  </r>
  <r>
    <x v="9"/>
    <s v="Middle_Age(30-50)"/>
    <x v="1"/>
    <s v="Rarely"/>
    <s v="Research &amp; Development"/>
    <n v="6"/>
    <s v="Middistance(6-14)"/>
    <n v="4"/>
    <s v="Satisfied(&gt;=3)"/>
    <x v="1"/>
    <n v="3"/>
    <s v="Medium"/>
    <n v="1"/>
    <x v="0"/>
    <x v="2"/>
    <n v="4"/>
    <s v="Satisfied(&gt;=3)"/>
    <x v="1"/>
    <n v="0"/>
    <s v="Y"/>
    <x v="1"/>
    <n v="11"/>
    <x v="0"/>
    <n v="16"/>
    <n v="3"/>
    <s v="Good(&gt;=3)"/>
    <n v="15"/>
    <s v="Ultra_Long(&gt;10)"/>
    <n v="13"/>
    <x v="2"/>
    <n v="10"/>
    <s v="Not_Reasonable(&gt;3)"/>
  </r>
  <r>
    <x v="27"/>
    <s v="Old(&gt;50)"/>
    <x v="1"/>
    <s v="Rarely"/>
    <s v="Research &amp; Development"/>
    <n v="1"/>
    <s v="Nearby(&lt;=5)"/>
    <n v="4"/>
    <s v="Satisfied(&gt;=3)"/>
    <x v="1"/>
    <n v="3"/>
    <s v="Medium"/>
    <n v="5"/>
    <x v="2"/>
    <x v="5"/>
    <n v="1"/>
    <s v="Not_Satisfied(&lt;=2)"/>
    <x v="0"/>
    <n v="0"/>
    <s v="Y"/>
    <x v="0"/>
    <n v="14"/>
    <x v="0"/>
    <n v="37"/>
    <n v="3"/>
    <s v="Good(&gt;=3)"/>
    <n v="36"/>
    <s v="Ultra_Long(&gt;10)"/>
    <n v="10"/>
    <x v="1"/>
    <n v="4"/>
    <s v="Not_Reasonable(&gt;3)"/>
  </r>
  <r>
    <x v="40"/>
    <s v="Middle_Age(30-50)"/>
    <x v="0"/>
    <s v="Rarely"/>
    <s v="Research &amp; Development"/>
    <n v="29"/>
    <s v="Far(&gt;=15)"/>
    <n v="1"/>
    <s v="Not_Satisfied(&lt;3)"/>
    <x v="1"/>
    <n v="3"/>
    <s v="Medium"/>
    <n v="3"/>
    <x v="1"/>
    <x v="5"/>
    <n v="2"/>
    <s v="Not_Satisfied(&lt;=2)"/>
    <x v="1"/>
    <n v="1"/>
    <s v="Y"/>
    <x v="0"/>
    <n v="12"/>
    <x v="0"/>
    <n v="10"/>
    <n v="2"/>
    <s v="Poor(&lt;=2)"/>
    <n v="10"/>
    <s v="Long(5-10)"/>
    <n v="7"/>
    <x v="1"/>
    <n v="9"/>
    <s v="Not_Reasonable(&gt;3)"/>
  </r>
  <r>
    <x v="14"/>
    <s v="Young(&lt;=29)"/>
    <x v="1"/>
    <s v="Rarely"/>
    <s v="Research &amp; Development"/>
    <n v="9"/>
    <s v="Middistance(6-14)"/>
    <n v="4"/>
    <s v="Satisfied(&gt;=3)"/>
    <x v="1"/>
    <n v="3"/>
    <s v="Medium"/>
    <n v="1"/>
    <x v="0"/>
    <x v="1"/>
    <n v="4"/>
    <s v="Satisfied(&gt;=3)"/>
    <x v="1"/>
    <n v="1"/>
    <s v="Y"/>
    <x v="1"/>
    <n v="23"/>
    <x v="1"/>
    <n v="5"/>
    <n v="2"/>
    <s v="Poor(&lt;=2)"/>
    <n v="5"/>
    <s v="Long(5-10)"/>
    <n v="2"/>
    <x v="0"/>
    <n v="0"/>
    <s v="Reasonable(&lt;=3)"/>
  </r>
  <r>
    <x v="2"/>
    <s v="Middle_Age(30-50)"/>
    <x v="1"/>
    <s v="Rarely"/>
    <s v="Sales"/>
    <n v="6"/>
    <s v="Middistance(6-14)"/>
    <n v="3"/>
    <s v="Satisfied(&gt;=3)"/>
    <x v="1"/>
    <n v="3"/>
    <s v="Medium"/>
    <n v="2"/>
    <x v="0"/>
    <x v="0"/>
    <n v="4"/>
    <s v="Satisfied(&gt;=3)"/>
    <x v="1"/>
    <n v="4"/>
    <s v="Y"/>
    <x v="1"/>
    <n v="14"/>
    <x v="0"/>
    <n v="7"/>
    <n v="4"/>
    <s v="Good(&gt;=3)"/>
    <n v="5"/>
    <s v="Long(5-10)"/>
    <n v="4"/>
    <x v="0"/>
    <n v="0"/>
    <s v="Reasonable(&lt;=3)"/>
  </r>
  <r>
    <x v="18"/>
    <s v="Young(&lt;=29)"/>
    <x v="1"/>
    <s v="Rarely"/>
    <s v="Research &amp; Development"/>
    <n v="3"/>
    <s v="Nearby(&lt;=5)"/>
    <n v="4"/>
    <s v="Satisfied(&gt;=3)"/>
    <x v="1"/>
    <n v="2"/>
    <s v="Low"/>
    <n v="1"/>
    <x v="0"/>
    <x v="1"/>
    <n v="3"/>
    <s v="Satisfied(&gt;=3)"/>
    <x v="0"/>
    <n v="1"/>
    <s v="Y"/>
    <x v="1"/>
    <n v="17"/>
    <x v="0"/>
    <n v="3"/>
    <n v="4"/>
    <s v="Good(&gt;=3)"/>
    <n v="3"/>
    <s v="Short(&lt;=4)"/>
    <n v="2"/>
    <x v="0"/>
    <n v="1"/>
    <s v="Reasonable(&lt;=3)"/>
  </r>
  <r>
    <x v="2"/>
    <s v="Middle_Age(30-50)"/>
    <x v="1"/>
    <s v="Rarely"/>
    <s v="Research &amp; Development"/>
    <n v="1"/>
    <s v="Nearby(&lt;=5)"/>
    <n v="1"/>
    <s v="Not_Satisfied(&lt;3)"/>
    <x v="0"/>
    <n v="3"/>
    <s v="Medium"/>
    <n v="3"/>
    <x v="1"/>
    <x v="7"/>
    <n v="4"/>
    <s v="Satisfied(&gt;=3)"/>
    <x v="2"/>
    <n v="2"/>
    <s v="Y"/>
    <x v="0"/>
    <n v="18"/>
    <x v="0"/>
    <n v="15"/>
    <n v="3"/>
    <s v="Good(&gt;=3)"/>
    <n v="5"/>
    <s v="Long(5-10)"/>
    <n v="2"/>
    <x v="0"/>
    <n v="0"/>
    <s v="Reasonable(&lt;=3)"/>
  </r>
  <r>
    <x v="10"/>
    <s v="Middle_Age(30-50)"/>
    <x v="1"/>
    <s v="Rarely"/>
    <s v="Research &amp; Development"/>
    <n v="22"/>
    <s v="Far(&gt;=15)"/>
    <n v="2"/>
    <s v="Not_Satisfied(&lt;3)"/>
    <x v="0"/>
    <n v="4"/>
    <s v="High"/>
    <n v="3"/>
    <x v="1"/>
    <x v="5"/>
    <n v="2"/>
    <s v="Not_Satisfied(&lt;=2)"/>
    <x v="2"/>
    <n v="7"/>
    <s v="Y"/>
    <x v="1"/>
    <n v="18"/>
    <x v="0"/>
    <n v="10"/>
    <n v="2"/>
    <s v="Poor(&lt;=2)"/>
    <n v="7"/>
    <s v="Long(5-10)"/>
    <n v="7"/>
    <x v="1"/>
    <n v="6"/>
    <s v="Not_Reasonable(&gt;3)"/>
  </r>
  <r>
    <x v="8"/>
    <s v="Middle_Age(30-50)"/>
    <x v="1"/>
    <s v="Rarely"/>
    <s v="Sales"/>
    <n v="7"/>
    <s v="Middistance(6-14)"/>
    <n v="1"/>
    <s v="Not_Satisfied(&lt;3)"/>
    <x v="0"/>
    <n v="4"/>
    <s v="High"/>
    <n v="2"/>
    <x v="0"/>
    <x v="0"/>
    <n v="1"/>
    <s v="Not_Satisfied(&lt;=2)"/>
    <x v="2"/>
    <n v="1"/>
    <s v="Y"/>
    <x v="0"/>
    <n v="24"/>
    <x v="1"/>
    <n v="8"/>
    <n v="3"/>
    <s v="Good(&gt;=3)"/>
    <n v="8"/>
    <s v="Long(5-10)"/>
    <n v="0"/>
    <x v="0"/>
    <n v="7"/>
    <s v="Not_Reasonable(&gt;3)"/>
  </r>
  <r>
    <x v="25"/>
    <s v="Young(&lt;=29)"/>
    <x v="1"/>
    <s v="Frequently"/>
    <s v="Research &amp; Development"/>
    <n v="1"/>
    <s v="Nearby(&lt;=5)"/>
    <n v="3"/>
    <s v="Satisfied(&gt;=3)"/>
    <x v="0"/>
    <n v="3"/>
    <s v="Medium"/>
    <n v="2"/>
    <x v="0"/>
    <x v="3"/>
    <n v="2"/>
    <s v="Not_Satisfied(&lt;=2)"/>
    <x v="2"/>
    <n v="1"/>
    <s v="Y"/>
    <x v="1"/>
    <n v="20"/>
    <x v="1"/>
    <n v="6"/>
    <n v="1"/>
    <s v="Poor(&lt;=2)"/>
    <n v="6"/>
    <s v="Long(5-10)"/>
    <n v="5"/>
    <x v="1"/>
    <n v="1"/>
    <s v="Reasonable(&lt;=3)"/>
  </r>
  <r>
    <x v="24"/>
    <s v="Middle_Age(30-50)"/>
    <x v="1"/>
    <s v="Rarely"/>
    <s v="Research &amp; Development"/>
    <n v="4"/>
    <s v="Nearby(&lt;=5)"/>
    <n v="1"/>
    <s v="Not_Satisfied(&lt;3)"/>
    <x v="1"/>
    <n v="3"/>
    <s v="Medium"/>
    <n v="5"/>
    <x v="2"/>
    <x v="7"/>
    <n v="2"/>
    <s v="Not_Satisfied(&lt;=2)"/>
    <x v="2"/>
    <n v="3"/>
    <s v="Y"/>
    <x v="1"/>
    <n v="14"/>
    <x v="0"/>
    <n v="28"/>
    <n v="2"/>
    <s v="Poor(&lt;=2)"/>
    <n v="10"/>
    <s v="Long(5-10)"/>
    <n v="4"/>
    <x v="0"/>
    <n v="1"/>
    <s v="Reasonable(&lt;=3)"/>
  </r>
  <r>
    <x v="16"/>
    <s v="Old(&gt;50)"/>
    <x v="1"/>
    <s v="Rarely"/>
    <s v="Research &amp; Development"/>
    <n v="3"/>
    <s v="Nearby(&lt;=5)"/>
    <n v="3"/>
    <s v="Satisfied(&gt;=3)"/>
    <x v="1"/>
    <n v="3"/>
    <s v="Medium"/>
    <n v="4"/>
    <x v="2"/>
    <x v="7"/>
    <n v="3"/>
    <s v="Satisfied(&gt;=3)"/>
    <x v="1"/>
    <n v="3"/>
    <s v="Y"/>
    <x v="0"/>
    <n v="16"/>
    <x v="0"/>
    <n v="21"/>
    <n v="2"/>
    <s v="Poor(&lt;=2)"/>
    <n v="5"/>
    <s v="Long(5-10)"/>
    <n v="3"/>
    <x v="0"/>
    <n v="1"/>
    <s v="Reasonable(&lt;=3)"/>
  </r>
  <r>
    <x v="19"/>
    <s v="Middle_Age(30-50)"/>
    <x v="1"/>
    <s v="Rarely"/>
    <s v="Sales"/>
    <n v="1"/>
    <s v="Nearby(&lt;=5)"/>
    <n v="2"/>
    <s v="Not_Satisfied(&lt;3)"/>
    <x v="1"/>
    <n v="3"/>
    <s v="Medium"/>
    <n v="2"/>
    <x v="0"/>
    <x v="0"/>
    <n v="3"/>
    <s v="Satisfied(&gt;=3)"/>
    <x v="1"/>
    <n v="1"/>
    <s v="Y"/>
    <x v="1"/>
    <n v="25"/>
    <x v="1"/>
    <n v="20"/>
    <n v="3"/>
    <s v="Good(&gt;=3)"/>
    <n v="20"/>
    <s v="Ultra_Long(&gt;10)"/>
    <n v="16"/>
    <x v="2"/>
    <n v="11"/>
    <s v="Not_Reasonable(&gt;3)"/>
  </r>
  <r>
    <x v="11"/>
    <s v="Young(&lt;=29)"/>
    <x v="1"/>
    <s v="Frequently"/>
    <s v="Sales"/>
    <n v="2"/>
    <s v="Nearby(&lt;=5)"/>
    <n v="2"/>
    <s v="Not_Satisfied(&lt;3)"/>
    <x v="1"/>
    <n v="3"/>
    <s v="Medium"/>
    <n v="2"/>
    <x v="0"/>
    <x v="0"/>
    <n v="4"/>
    <s v="Satisfied(&gt;=3)"/>
    <x v="0"/>
    <n v="1"/>
    <s v="Y"/>
    <x v="1"/>
    <n v="18"/>
    <x v="0"/>
    <n v="10"/>
    <n v="2"/>
    <s v="Poor(&lt;=2)"/>
    <n v="10"/>
    <s v="Long(5-10)"/>
    <n v="7"/>
    <x v="1"/>
    <n v="0"/>
    <s v="Reasonable(&lt;=3)"/>
  </r>
  <r>
    <x v="27"/>
    <s v="Old(&gt;50)"/>
    <x v="1"/>
    <s v="Rarely"/>
    <s v="Research &amp; Development"/>
    <n v="20"/>
    <s v="Far(&gt;=15)"/>
    <n v="2"/>
    <s v="Not_Satisfied(&lt;3)"/>
    <x v="1"/>
    <n v="3"/>
    <s v="Medium"/>
    <n v="2"/>
    <x v="0"/>
    <x v="2"/>
    <n v="4"/>
    <s v="Satisfied(&gt;=3)"/>
    <x v="1"/>
    <n v="3"/>
    <s v="Y"/>
    <x v="0"/>
    <n v="19"/>
    <x v="0"/>
    <n v="12"/>
    <n v="3"/>
    <s v="Good(&gt;=3)"/>
    <n v="10"/>
    <s v="Long(5-10)"/>
    <n v="7"/>
    <x v="1"/>
    <n v="0"/>
    <s v="Reasonable(&lt;=3)"/>
  </r>
  <r>
    <x v="25"/>
    <s v="Young(&lt;=29)"/>
    <x v="1"/>
    <s v="Frequently"/>
    <s v="Research &amp; Development"/>
    <n v="11"/>
    <s v="Middistance(6-14)"/>
    <n v="1"/>
    <s v="Not_Satisfied(&lt;3)"/>
    <x v="1"/>
    <n v="3"/>
    <s v="Medium"/>
    <n v="2"/>
    <x v="0"/>
    <x v="4"/>
    <n v="1"/>
    <s v="Not_Satisfied(&lt;=2)"/>
    <x v="1"/>
    <n v="1"/>
    <s v="Y"/>
    <x v="0"/>
    <n v="13"/>
    <x v="0"/>
    <n v="5"/>
    <n v="3"/>
    <s v="Good(&gt;=3)"/>
    <n v="5"/>
    <s v="Long(5-10)"/>
    <n v="3"/>
    <x v="0"/>
    <n v="3"/>
    <s v="Reasonable(&lt;=3)"/>
  </r>
  <r>
    <x v="2"/>
    <s v="Middle_Age(30-50)"/>
    <x v="1"/>
    <s v="Rarely"/>
    <s v="Research &amp; Development"/>
    <n v="1"/>
    <s v="Nearby(&lt;=5)"/>
    <n v="4"/>
    <s v="Satisfied(&gt;=3)"/>
    <x v="0"/>
    <n v="3"/>
    <s v="Medium"/>
    <n v="1"/>
    <x v="0"/>
    <x v="1"/>
    <n v="4"/>
    <s v="Satisfied(&gt;=3)"/>
    <x v="0"/>
    <n v="1"/>
    <s v="Y"/>
    <x v="1"/>
    <n v="12"/>
    <x v="0"/>
    <n v="17"/>
    <n v="3"/>
    <s v="Good(&gt;=3)"/>
    <n v="17"/>
    <s v="Ultra_Long(&gt;10)"/>
    <n v="12"/>
    <x v="2"/>
    <n v="5"/>
    <s v="Not_Reasonable(&gt;3)"/>
  </r>
  <r>
    <x v="20"/>
    <s v="Middle_Age(30-50)"/>
    <x v="0"/>
    <s v="Frequently"/>
    <s v="Research &amp; Development"/>
    <n v="24"/>
    <s v="Far(&gt;=15)"/>
    <n v="4"/>
    <s v="Satisfied(&gt;=3)"/>
    <x v="1"/>
    <n v="3"/>
    <s v="Medium"/>
    <n v="1"/>
    <x v="0"/>
    <x v="2"/>
    <n v="3"/>
    <s v="Satisfied(&gt;=3)"/>
    <x v="2"/>
    <n v="3"/>
    <s v="Y"/>
    <x v="0"/>
    <n v="22"/>
    <x v="1"/>
    <n v="19"/>
    <n v="1"/>
    <s v="Poor(&lt;=2)"/>
    <n v="1"/>
    <s v="Short(&lt;=4)"/>
    <n v="0"/>
    <x v="0"/>
    <n v="0"/>
    <s v="Reasonable(&lt;=3)"/>
  </r>
  <r>
    <x v="8"/>
    <s v="Middle_Age(30-50)"/>
    <x v="1"/>
    <s v="Rarely"/>
    <s v="Research &amp; Development"/>
    <n v="23"/>
    <s v="Far(&gt;=15)"/>
    <n v="4"/>
    <s v="Satisfied(&gt;=3)"/>
    <x v="1"/>
    <n v="3"/>
    <s v="Medium"/>
    <n v="2"/>
    <x v="0"/>
    <x v="4"/>
    <n v="4"/>
    <s v="Satisfied(&gt;=3)"/>
    <x v="2"/>
    <n v="9"/>
    <s v="Y"/>
    <x v="1"/>
    <n v="14"/>
    <x v="0"/>
    <n v="10"/>
    <n v="3"/>
    <s v="Good(&gt;=3)"/>
    <n v="2"/>
    <s v="Short(&lt;=4)"/>
    <n v="2"/>
    <x v="0"/>
    <n v="1"/>
    <s v="Reasonable(&lt;=3)"/>
  </r>
  <r>
    <x v="25"/>
    <s v="Young(&lt;=29)"/>
    <x v="0"/>
    <s v="Rarely"/>
    <s v="Research &amp; Development"/>
    <n v="16"/>
    <s v="Far(&gt;=15)"/>
    <n v="1"/>
    <s v="Not_Satisfied(&lt;3)"/>
    <x v="1"/>
    <n v="3"/>
    <s v="Medium"/>
    <n v="1"/>
    <x v="0"/>
    <x v="2"/>
    <n v="2"/>
    <s v="Not_Satisfied(&lt;=2)"/>
    <x v="2"/>
    <n v="2"/>
    <s v="Y"/>
    <x v="0"/>
    <n v="13"/>
    <x v="0"/>
    <n v="5"/>
    <n v="3"/>
    <s v="Good(&gt;=3)"/>
    <n v="3"/>
    <s v="Short(&lt;=4)"/>
    <n v="2"/>
    <x v="0"/>
    <n v="0"/>
    <s v="Reasonable(&lt;=3)"/>
  </r>
  <r>
    <x v="14"/>
    <s v="Young(&lt;=29)"/>
    <x v="1"/>
    <s v="Rarely"/>
    <s v="Research &amp; Development"/>
    <n v="8"/>
    <s v="Middistance(6-14)"/>
    <n v="4"/>
    <s v="Satisfied(&gt;=3)"/>
    <x v="0"/>
    <n v="3"/>
    <s v="Medium"/>
    <n v="1"/>
    <x v="0"/>
    <x v="1"/>
    <n v="4"/>
    <s v="Satisfied(&gt;=3)"/>
    <x v="0"/>
    <n v="1"/>
    <s v="Y"/>
    <x v="1"/>
    <n v="21"/>
    <x v="1"/>
    <n v="5"/>
    <n v="3"/>
    <s v="Good(&gt;=3)"/>
    <n v="5"/>
    <s v="Long(5-10)"/>
    <n v="3"/>
    <x v="0"/>
    <n v="0"/>
    <s v="Reasonable(&lt;=3)"/>
  </r>
  <r>
    <x v="1"/>
    <s v="Middle_Age(30-50)"/>
    <x v="1"/>
    <s v="Frequently"/>
    <s v="Research &amp; Development"/>
    <n v="10"/>
    <s v="Middistance(6-14)"/>
    <n v="3"/>
    <s v="Satisfied(&gt;=3)"/>
    <x v="0"/>
    <n v="3"/>
    <s v="Medium"/>
    <n v="5"/>
    <x v="2"/>
    <x v="7"/>
    <n v="1"/>
    <s v="Not_Satisfied(&lt;=2)"/>
    <x v="0"/>
    <n v="9"/>
    <s v="Y"/>
    <x v="0"/>
    <n v="11"/>
    <x v="0"/>
    <n v="22"/>
    <n v="3"/>
    <s v="Good(&gt;=3)"/>
    <n v="3"/>
    <s v="Short(&lt;=4)"/>
    <n v="2"/>
    <x v="0"/>
    <n v="1"/>
    <s v="Reasonable(&lt;=3)"/>
  </r>
  <r>
    <x v="9"/>
    <s v="Middle_Age(30-50)"/>
    <x v="1"/>
    <s v="Rarely"/>
    <s v="Research &amp; Development"/>
    <n v="3"/>
    <s v="Nearby(&lt;=5)"/>
    <n v="3"/>
    <s v="Satisfied(&gt;=3)"/>
    <x v="1"/>
    <n v="3"/>
    <s v="Medium"/>
    <n v="2"/>
    <x v="0"/>
    <x v="1"/>
    <n v="2"/>
    <s v="Not_Satisfied(&lt;=2)"/>
    <x v="0"/>
    <n v="4"/>
    <s v="Y"/>
    <x v="1"/>
    <n v="12"/>
    <x v="0"/>
    <n v="10"/>
    <n v="3"/>
    <s v="Good(&gt;=3)"/>
    <n v="8"/>
    <s v="Long(5-10)"/>
    <n v="0"/>
    <x v="0"/>
    <n v="7"/>
    <s v="Not_Reasonable(&gt;3)"/>
  </r>
  <r>
    <x v="12"/>
    <s v="Middle_Age(30-50)"/>
    <x v="1"/>
    <s v="Frequently"/>
    <s v="Sales"/>
    <n v="5"/>
    <s v="Nearby(&lt;=5)"/>
    <n v="4"/>
    <s v="Satisfied(&gt;=3)"/>
    <x v="0"/>
    <n v="3"/>
    <s v="Medium"/>
    <n v="1"/>
    <x v="0"/>
    <x v="6"/>
    <n v="2"/>
    <s v="Not_Satisfied(&lt;=2)"/>
    <x v="2"/>
    <n v="1"/>
    <s v="Y"/>
    <x v="1"/>
    <n v="11"/>
    <x v="0"/>
    <n v="2"/>
    <n v="2"/>
    <s v="Poor(&lt;=2)"/>
    <n v="2"/>
    <s v="Short(&lt;=4)"/>
    <n v="2"/>
    <x v="0"/>
    <n v="2"/>
    <s v="Reasonable(&lt;=3)"/>
  </r>
  <r>
    <x v="25"/>
    <s v="Young(&lt;=29)"/>
    <x v="0"/>
    <s v="Rarely"/>
    <s v="Sales"/>
    <n v="4"/>
    <s v="Nearby(&lt;=5)"/>
    <n v="4"/>
    <s v="Satisfied(&gt;=3)"/>
    <x v="1"/>
    <n v="2"/>
    <s v="Low"/>
    <n v="2"/>
    <x v="0"/>
    <x v="0"/>
    <n v="4"/>
    <s v="Satisfied(&gt;=3)"/>
    <x v="0"/>
    <n v="1"/>
    <s v="Y"/>
    <x v="0"/>
    <n v="12"/>
    <x v="0"/>
    <n v="8"/>
    <n v="3"/>
    <s v="Good(&gt;=3)"/>
    <n v="8"/>
    <s v="Long(5-10)"/>
    <n v="7"/>
    <x v="1"/>
    <n v="7"/>
    <s v="Not_Reasonable(&gt;3)"/>
  </r>
  <r>
    <x v="2"/>
    <s v="Middle_Age(30-50)"/>
    <x v="1"/>
    <s v="Frequently"/>
    <s v="Research &amp; Development"/>
    <n v="9"/>
    <s v="Middistance(6-14)"/>
    <n v="2"/>
    <s v="Not_Satisfied(&lt;3)"/>
    <x v="1"/>
    <n v="3"/>
    <s v="Medium"/>
    <n v="1"/>
    <x v="0"/>
    <x v="1"/>
    <n v="4"/>
    <s v="Satisfied(&gt;=3)"/>
    <x v="1"/>
    <n v="1"/>
    <s v="Y"/>
    <x v="0"/>
    <n v="12"/>
    <x v="0"/>
    <n v="4"/>
    <n v="2"/>
    <s v="Poor(&lt;=2)"/>
    <n v="4"/>
    <s v="Short(&lt;=4)"/>
    <n v="2"/>
    <x v="0"/>
    <n v="1"/>
    <s v="Reasonable(&lt;=3)"/>
  </r>
  <r>
    <x v="19"/>
    <s v="Middle_Age(30-50)"/>
    <x v="1"/>
    <s v="Frequently"/>
    <s v="Sales"/>
    <n v="26"/>
    <s v="Far(&gt;=15)"/>
    <n v="3"/>
    <s v="Satisfied(&gt;=3)"/>
    <x v="0"/>
    <n v="3"/>
    <s v="Medium"/>
    <n v="4"/>
    <x v="2"/>
    <x v="0"/>
    <n v="2"/>
    <s v="Not_Satisfied(&lt;=2)"/>
    <x v="1"/>
    <n v="5"/>
    <s v="Y"/>
    <x v="1"/>
    <n v="14"/>
    <x v="0"/>
    <n v="23"/>
    <n v="4"/>
    <s v="Good(&gt;=3)"/>
    <n v="20"/>
    <s v="Ultra_Long(&gt;10)"/>
    <n v="4"/>
    <x v="0"/>
    <n v="4"/>
    <s v="Not_Reasonable(&gt;3)"/>
  </r>
  <r>
    <x v="41"/>
    <s v="Young(&lt;=29)"/>
    <x v="0"/>
    <s v="Rarely"/>
    <s v="Research &amp; Development"/>
    <n v="3"/>
    <s v="Nearby(&lt;=5)"/>
    <n v="3"/>
    <s v="Satisfied(&gt;=3)"/>
    <x v="1"/>
    <n v="3"/>
    <s v="Medium"/>
    <n v="1"/>
    <x v="0"/>
    <x v="2"/>
    <n v="3"/>
    <s v="Satisfied(&gt;=3)"/>
    <x v="0"/>
    <n v="1"/>
    <s v="Y"/>
    <x v="1"/>
    <n v="13"/>
    <x v="0"/>
    <n v="0"/>
    <n v="3"/>
    <s v="Good(&gt;=3)"/>
    <n v="0"/>
    <s v="Short(&lt;=4)"/>
    <n v="0"/>
    <x v="0"/>
    <n v="0"/>
    <s v="Reasonable(&lt;=3)"/>
  </r>
  <r>
    <x v="10"/>
    <s v="Middle_Age(30-50)"/>
    <x v="1"/>
    <s v="Rarely"/>
    <s v="Sales"/>
    <n v="16"/>
    <s v="Far(&gt;=15)"/>
    <n v="3"/>
    <s v="Satisfied(&gt;=3)"/>
    <x v="1"/>
    <n v="3"/>
    <s v="Medium"/>
    <n v="3"/>
    <x v="1"/>
    <x v="0"/>
    <n v="2"/>
    <s v="Not_Satisfied(&lt;=2)"/>
    <x v="1"/>
    <n v="0"/>
    <s v="Y"/>
    <x v="1"/>
    <n v="15"/>
    <x v="0"/>
    <n v="12"/>
    <n v="2"/>
    <s v="Poor(&lt;=2)"/>
    <n v="11"/>
    <s v="Ultra_Long(&gt;10)"/>
    <n v="9"/>
    <x v="1"/>
    <n v="6"/>
    <s v="Not_Reasonable(&gt;3)"/>
  </r>
  <r>
    <x v="9"/>
    <s v="Middle_Age(30-50)"/>
    <x v="1"/>
    <s v="Frequently"/>
    <s v="Research &amp; Development"/>
    <n v="18"/>
    <s v="Far(&gt;=15)"/>
    <n v="3"/>
    <s v="Satisfied(&gt;=3)"/>
    <x v="1"/>
    <n v="4"/>
    <s v="High"/>
    <n v="1"/>
    <x v="0"/>
    <x v="2"/>
    <n v="4"/>
    <s v="Satisfied(&gt;=3)"/>
    <x v="1"/>
    <n v="4"/>
    <s v="Y"/>
    <x v="1"/>
    <n v="18"/>
    <x v="0"/>
    <n v="4"/>
    <n v="3"/>
    <s v="Good(&gt;=3)"/>
    <n v="1"/>
    <s v="Short(&lt;=4)"/>
    <n v="0"/>
    <x v="0"/>
    <n v="0"/>
    <s v="Reasonable(&lt;=3)"/>
  </r>
  <r>
    <x v="31"/>
    <s v="Old(&gt;50)"/>
    <x v="1"/>
    <s v="Rarely"/>
    <s v="Research &amp; Development"/>
    <n v="2"/>
    <s v="Nearby(&lt;=5)"/>
    <n v="4"/>
    <s v="Satisfied(&gt;=3)"/>
    <x v="1"/>
    <n v="1"/>
    <s v="Low"/>
    <n v="2"/>
    <x v="0"/>
    <x v="3"/>
    <n v="2"/>
    <s v="Not_Satisfied(&lt;=2)"/>
    <x v="2"/>
    <n v="5"/>
    <s v="Y"/>
    <x v="1"/>
    <n v="18"/>
    <x v="0"/>
    <n v="13"/>
    <n v="3"/>
    <s v="Good(&gt;=3)"/>
    <n v="4"/>
    <s v="Short(&lt;=4)"/>
    <n v="1"/>
    <x v="0"/>
    <n v="1"/>
    <s v="Reasonable(&lt;=3)"/>
  </r>
  <r>
    <x v="0"/>
    <s v="Middle_Age(30-50)"/>
    <x v="1"/>
    <s v="Rarely"/>
    <s v="Sales"/>
    <n v="2"/>
    <s v="Nearby(&lt;=5)"/>
    <n v="4"/>
    <s v="Satisfied(&gt;=3)"/>
    <x v="1"/>
    <n v="3"/>
    <s v="Medium"/>
    <n v="4"/>
    <x v="2"/>
    <x v="5"/>
    <n v="2"/>
    <s v="Not_Satisfied(&lt;=2)"/>
    <x v="0"/>
    <n v="1"/>
    <s v="Y"/>
    <x v="1"/>
    <n v="19"/>
    <x v="0"/>
    <n v="22"/>
    <n v="3"/>
    <s v="Good(&gt;=3)"/>
    <n v="22"/>
    <s v="Ultra_Long(&gt;10)"/>
    <n v="10"/>
    <x v="1"/>
    <n v="0"/>
    <s v="Reasonable(&lt;=3)"/>
  </r>
  <r>
    <x v="41"/>
    <s v="Young(&lt;=29)"/>
    <x v="1"/>
    <s v="Rarely"/>
    <s v="Sales"/>
    <n v="10"/>
    <s v="Middistance(6-14)"/>
    <n v="4"/>
    <s v="Satisfied(&gt;=3)"/>
    <x v="0"/>
    <n v="2"/>
    <s v="Low"/>
    <n v="1"/>
    <x v="0"/>
    <x v="6"/>
    <n v="3"/>
    <s v="Satisfied(&gt;=3)"/>
    <x v="0"/>
    <n v="1"/>
    <s v="Y"/>
    <x v="1"/>
    <n v="12"/>
    <x v="0"/>
    <n v="0"/>
    <n v="3"/>
    <s v="Good(&gt;=3)"/>
    <n v="0"/>
    <s v="Short(&lt;=4)"/>
    <n v="0"/>
    <x v="0"/>
    <n v="0"/>
    <s v="Reasonable(&lt;=3)"/>
  </r>
  <r>
    <x v="14"/>
    <s v="Young(&lt;=29)"/>
    <x v="1"/>
    <s v="Rarely"/>
    <s v="Research &amp; Development"/>
    <n v="16"/>
    <s v="Far(&gt;=15)"/>
    <n v="2"/>
    <s v="Not_Satisfied(&lt;3)"/>
    <x v="1"/>
    <n v="4"/>
    <s v="High"/>
    <n v="2"/>
    <x v="0"/>
    <x v="4"/>
    <n v="1"/>
    <s v="Not_Satisfied(&lt;=2)"/>
    <x v="0"/>
    <n v="0"/>
    <s v="Y"/>
    <x v="1"/>
    <n v="19"/>
    <x v="0"/>
    <n v="9"/>
    <n v="3"/>
    <s v="Good(&gt;=3)"/>
    <n v="8"/>
    <s v="Long(5-10)"/>
    <n v="3"/>
    <x v="0"/>
    <n v="0"/>
    <s v="Reasonable(&lt;=3)"/>
  </r>
  <r>
    <x v="12"/>
    <s v="Middle_Age(30-50)"/>
    <x v="1"/>
    <s v="Rarely"/>
    <s v="Sales"/>
    <n v="7"/>
    <s v="Middistance(6-14)"/>
    <n v="2"/>
    <s v="Not_Satisfied(&lt;3)"/>
    <x v="1"/>
    <n v="4"/>
    <s v="High"/>
    <n v="2"/>
    <x v="0"/>
    <x v="0"/>
    <n v="4"/>
    <s v="Satisfied(&gt;=3)"/>
    <x v="1"/>
    <n v="4"/>
    <s v="Y"/>
    <x v="1"/>
    <n v="11"/>
    <x v="0"/>
    <n v="10"/>
    <n v="2"/>
    <s v="Poor(&lt;=2)"/>
    <n v="8"/>
    <s v="Long(5-10)"/>
    <n v="7"/>
    <x v="1"/>
    <n v="7"/>
    <s v="Not_Reasonable(&gt;3)"/>
  </r>
  <r>
    <x v="22"/>
    <s v="Middle_Age(30-50)"/>
    <x v="1"/>
    <s v="Rarely"/>
    <s v="Research &amp; Development"/>
    <n v="1"/>
    <s v="Nearby(&lt;=5)"/>
    <n v="3"/>
    <s v="Satisfied(&gt;=3)"/>
    <x v="1"/>
    <n v="4"/>
    <s v="High"/>
    <n v="3"/>
    <x v="1"/>
    <x v="4"/>
    <n v="4"/>
    <s v="Satisfied(&gt;=3)"/>
    <x v="2"/>
    <n v="0"/>
    <s v="Y"/>
    <x v="1"/>
    <n v="17"/>
    <x v="0"/>
    <n v="19"/>
    <n v="2"/>
    <s v="Poor(&lt;=2)"/>
    <n v="18"/>
    <s v="Ultra_Long(&gt;10)"/>
    <n v="10"/>
    <x v="1"/>
    <n v="3"/>
    <s v="Reasonable(&lt;=3)"/>
  </r>
  <r>
    <x v="9"/>
    <s v="Middle_Age(30-50)"/>
    <x v="1"/>
    <s v="Rarely"/>
    <s v="Research &amp; Development"/>
    <n v="24"/>
    <s v="Far(&gt;=15)"/>
    <n v="2"/>
    <s v="Not_Satisfied(&lt;3)"/>
    <x v="0"/>
    <n v="3"/>
    <s v="Medium"/>
    <n v="2"/>
    <x v="0"/>
    <x v="2"/>
    <n v="2"/>
    <s v="Not_Satisfied(&lt;=2)"/>
    <x v="1"/>
    <n v="7"/>
    <s v="Y"/>
    <x v="1"/>
    <n v="15"/>
    <x v="0"/>
    <n v="11"/>
    <n v="3"/>
    <s v="Good(&gt;=3)"/>
    <n v="9"/>
    <s v="Long(5-10)"/>
    <n v="8"/>
    <x v="1"/>
    <n v="0"/>
    <s v="Reasonable(&lt;=3)"/>
  </r>
  <r>
    <x v="5"/>
    <s v="Middle_Age(30-50)"/>
    <x v="1"/>
    <s v="Rarely"/>
    <s v="Sales"/>
    <n v="7"/>
    <s v="Middistance(6-14)"/>
    <n v="4"/>
    <s v="Satisfied(&gt;=3)"/>
    <x v="1"/>
    <n v="2"/>
    <s v="Low"/>
    <n v="2"/>
    <x v="0"/>
    <x v="0"/>
    <n v="3"/>
    <s v="Satisfied(&gt;=3)"/>
    <x v="1"/>
    <n v="1"/>
    <s v="Y"/>
    <x v="1"/>
    <n v="14"/>
    <x v="0"/>
    <n v="13"/>
    <n v="2"/>
    <s v="Poor(&lt;=2)"/>
    <n v="13"/>
    <s v="Ultra_Long(&gt;10)"/>
    <n v="8"/>
    <x v="1"/>
    <n v="4"/>
    <s v="Not_Reasonable(&gt;3)"/>
  </r>
  <r>
    <x v="8"/>
    <s v="Middle_Age(30-50)"/>
    <x v="1"/>
    <s v="Rarely"/>
    <s v="Research &amp; Development"/>
    <n v="25"/>
    <s v="Far(&gt;=15)"/>
    <n v="1"/>
    <s v="Not_Satisfied(&lt;3)"/>
    <x v="0"/>
    <n v="2"/>
    <s v="Low"/>
    <n v="3"/>
    <x v="1"/>
    <x v="7"/>
    <n v="2"/>
    <s v="Not_Satisfied(&lt;=2)"/>
    <x v="1"/>
    <n v="3"/>
    <s v="Y"/>
    <x v="1"/>
    <n v="17"/>
    <x v="0"/>
    <n v="19"/>
    <n v="3"/>
    <s v="Good(&gt;=3)"/>
    <n v="10"/>
    <s v="Long(5-10)"/>
    <n v="8"/>
    <x v="1"/>
    <n v="0"/>
    <s v="Reasonable(&lt;=3)"/>
  </r>
  <r>
    <x v="34"/>
    <s v="Old(&gt;50)"/>
    <x v="1"/>
    <s v="Rarely"/>
    <s v="Research &amp; Development"/>
    <n v="1"/>
    <s v="Nearby(&lt;=5)"/>
    <n v="4"/>
    <s v="Satisfied(&gt;=3)"/>
    <x v="1"/>
    <n v="1"/>
    <s v="Low"/>
    <n v="2"/>
    <x v="0"/>
    <x v="4"/>
    <n v="3"/>
    <s v="Satisfied(&gt;=3)"/>
    <x v="2"/>
    <n v="2"/>
    <s v="Y"/>
    <x v="0"/>
    <n v="13"/>
    <x v="0"/>
    <n v="12"/>
    <n v="3"/>
    <s v="Good(&gt;=3)"/>
    <n v="5"/>
    <s v="Long(5-10)"/>
    <n v="3"/>
    <x v="0"/>
    <n v="1"/>
    <s v="Reasonable(&lt;=3)"/>
  </r>
  <r>
    <x v="12"/>
    <s v="Middle_Age(30-50)"/>
    <x v="1"/>
    <s v="Rarely"/>
    <s v="Research &amp; Development"/>
    <n v="5"/>
    <s v="Nearby(&lt;=5)"/>
    <n v="3"/>
    <s v="Satisfied(&gt;=3)"/>
    <x v="1"/>
    <n v="3"/>
    <s v="Medium"/>
    <n v="1"/>
    <x v="0"/>
    <x v="1"/>
    <n v="4"/>
    <s v="Satisfied(&gt;=3)"/>
    <x v="1"/>
    <n v="0"/>
    <s v="Y"/>
    <x v="0"/>
    <n v="12"/>
    <x v="0"/>
    <n v="6"/>
    <n v="3"/>
    <s v="Good(&gt;=3)"/>
    <n v="5"/>
    <s v="Long(5-10)"/>
    <n v="2"/>
    <x v="0"/>
    <n v="0"/>
    <s v="Reasonable(&lt;=3)"/>
  </r>
  <r>
    <x v="12"/>
    <s v="Middle_Age(30-50)"/>
    <x v="1"/>
    <s v="Rarely"/>
    <s v="Human Resources"/>
    <n v="2"/>
    <s v="Nearby(&lt;=5)"/>
    <n v="1"/>
    <s v="Not_Satisfied(&lt;3)"/>
    <x v="1"/>
    <n v="2"/>
    <s v="Low"/>
    <n v="2"/>
    <x v="0"/>
    <x v="8"/>
    <n v="1"/>
    <s v="Not_Satisfied(&lt;=2)"/>
    <x v="1"/>
    <n v="3"/>
    <s v="Y"/>
    <x v="1"/>
    <n v="12"/>
    <x v="0"/>
    <n v="9"/>
    <n v="3"/>
    <s v="Good(&gt;=3)"/>
    <n v="2"/>
    <s v="Short(&lt;=4)"/>
    <n v="2"/>
    <x v="0"/>
    <n v="1"/>
    <s v="Reasonable(&lt;=3)"/>
  </r>
  <r>
    <x v="28"/>
    <s v="Middle_Age(30-50)"/>
    <x v="1"/>
    <s v="Frequently"/>
    <s v="Research &amp; Development"/>
    <n v="7"/>
    <s v="Middistance(6-14)"/>
    <n v="1"/>
    <s v="Not_Satisfied(&lt;3)"/>
    <x v="1"/>
    <n v="3"/>
    <s v="Medium"/>
    <n v="3"/>
    <x v="1"/>
    <x v="2"/>
    <n v="1"/>
    <s v="Not_Satisfied(&lt;=2)"/>
    <x v="2"/>
    <n v="1"/>
    <s v="Y"/>
    <x v="1"/>
    <n v="18"/>
    <x v="0"/>
    <n v="24"/>
    <n v="3"/>
    <s v="Good(&gt;=3)"/>
    <n v="24"/>
    <s v="Ultra_Long(&gt;10)"/>
    <n v="9"/>
    <x v="1"/>
    <n v="9"/>
    <s v="Not_Reasonable(&gt;3)"/>
  </r>
  <r>
    <x v="12"/>
    <s v="Middle_Age(30-50)"/>
    <x v="1"/>
    <s v="Rarely"/>
    <s v="Research &amp; Development"/>
    <n v="2"/>
    <s v="Nearby(&lt;=5)"/>
    <n v="3"/>
    <s v="Satisfied(&gt;=3)"/>
    <x v="1"/>
    <n v="3"/>
    <s v="Medium"/>
    <n v="1"/>
    <x v="0"/>
    <x v="1"/>
    <n v="4"/>
    <s v="Satisfied(&gt;=3)"/>
    <x v="2"/>
    <n v="0"/>
    <s v="Y"/>
    <x v="0"/>
    <n v="18"/>
    <x v="0"/>
    <n v="3"/>
    <n v="1"/>
    <s v="Poor(&lt;=2)"/>
    <n v="2"/>
    <s v="Short(&lt;=4)"/>
    <n v="2"/>
    <x v="0"/>
    <n v="2"/>
    <s v="Reasonable(&lt;=3)"/>
  </r>
  <r>
    <x v="3"/>
    <s v="Middle_Age(30-50)"/>
    <x v="1"/>
    <s v="Frequently"/>
    <s v="Research &amp; Development"/>
    <n v="5"/>
    <s v="Nearby(&lt;=5)"/>
    <n v="4"/>
    <s v="Satisfied(&gt;=3)"/>
    <x v="0"/>
    <n v="3"/>
    <s v="Medium"/>
    <n v="3"/>
    <x v="1"/>
    <x v="5"/>
    <n v="2"/>
    <s v="Not_Satisfied(&lt;=2)"/>
    <x v="1"/>
    <n v="6"/>
    <s v="Y"/>
    <x v="1"/>
    <n v="11"/>
    <x v="0"/>
    <n v="12"/>
    <n v="3"/>
    <s v="Good(&gt;=3)"/>
    <n v="10"/>
    <s v="Long(5-10)"/>
    <n v="6"/>
    <x v="1"/>
    <n v="8"/>
    <s v="Not_Reasonable(&gt;3)"/>
  </r>
  <r>
    <x v="22"/>
    <s v="Middle_Age(30-50)"/>
    <x v="1"/>
    <s v="Rarely"/>
    <s v="Research &amp; Development"/>
    <n v="10"/>
    <s v="Middistance(6-14)"/>
    <n v="3"/>
    <s v="Satisfied(&gt;=3)"/>
    <x v="1"/>
    <n v="3"/>
    <s v="Medium"/>
    <n v="4"/>
    <x v="2"/>
    <x v="5"/>
    <n v="1"/>
    <s v="Not_Satisfied(&lt;=2)"/>
    <x v="1"/>
    <n v="1"/>
    <s v="Y"/>
    <x v="0"/>
    <n v="14"/>
    <x v="0"/>
    <n v="21"/>
    <n v="3"/>
    <s v="Good(&gt;=3)"/>
    <n v="21"/>
    <s v="Ultra_Long(&gt;10)"/>
    <n v="9"/>
    <x v="1"/>
    <n v="11"/>
    <s v="Not_Reasonable(&gt;3)"/>
  </r>
  <r>
    <x v="23"/>
    <s v="Middle_Age(30-50)"/>
    <x v="1"/>
    <s v="Frequently"/>
    <s v="Research &amp; Development"/>
    <n v="10"/>
    <s v="Middistance(6-14)"/>
    <n v="3"/>
    <s v="Satisfied(&gt;=3)"/>
    <x v="0"/>
    <n v="3"/>
    <s v="Medium"/>
    <n v="1"/>
    <x v="0"/>
    <x v="2"/>
    <n v="4"/>
    <s v="Satisfied(&gt;=3)"/>
    <x v="0"/>
    <n v="0"/>
    <s v="Y"/>
    <x v="1"/>
    <n v="19"/>
    <x v="0"/>
    <n v="9"/>
    <n v="3"/>
    <s v="Good(&gt;=3)"/>
    <n v="8"/>
    <s v="Long(5-10)"/>
    <n v="7"/>
    <x v="1"/>
    <n v="1"/>
    <s v="Reasonable(&lt;=3)"/>
  </r>
  <r>
    <x v="1"/>
    <s v="Middle_Age(30-50)"/>
    <x v="1"/>
    <s v="Rarely"/>
    <s v="Research &amp; Development"/>
    <n v="1"/>
    <s v="Nearby(&lt;=5)"/>
    <n v="3"/>
    <s v="Satisfied(&gt;=3)"/>
    <x v="0"/>
    <n v="2"/>
    <s v="Low"/>
    <n v="4"/>
    <x v="2"/>
    <x v="4"/>
    <n v="3"/>
    <s v="Satisfied(&gt;=3)"/>
    <x v="0"/>
    <n v="7"/>
    <s v="Y"/>
    <x v="0"/>
    <n v="12"/>
    <x v="0"/>
    <n v="25"/>
    <n v="3"/>
    <s v="Good(&gt;=3)"/>
    <n v="7"/>
    <s v="Long(5-10)"/>
    <n v="1"/>
    <x v="0"/>
    <n v="0"/>
    <s v="Reasonable(&lt;=3)"/>
  </r>
  <r>
    <x v="39"/>
    <s v="Old(&gt;50)"/>
    <x v="0"/>
    <s v="Rarely"/>
    <s v="Research &amp; Development"/>
    <n v="8"/>
    <s v="Middistance(6-14)"/>
    <n v="3"/>
    <s v="Satisfied(&gt;=3)"/>
    <x v="1"/>
    <n v="2"/>
    <s v="Low"/>
    <n v="2"/>
    <x v="0"/>
    <x v="1"/>
    <n v="2"/>
    <s v="Not_Satisfied(&lt;=2)"/>
    <x v="1"/>
    <n v="2"/>
    <s v="Y"/>
    <x v="1"/>
    <n v="15"/>
    <x v="0"/>
    <n v="11"/>
    <n v="2"/>
    <s v="Poor(&lt;=2)"/>
    <n v="8"/>
    <s v="Long(5-10)"/>
    <n v="2"/>
    <x v="0"/>
    <n v="7"/>
    <s v="Not_Reasonable(&gt;3)"/>
  </r>
  <r>
    <x v="4"/>
    <s v="Young(&lt;=29)"/>
    <x v="1"/>
    <s v="Rarely"/>
    <s v="Research &amp; Development"/>
    <n v="5"/>
    <s v="Nearby(&lt;=5)"/>
    <n v="3"/>
    <s v="Satisfied(&gt;=3)"/>
    <x v="0"/>
    <n v="3"/>
    <s v="Medium"/>
    <n v="1"/>
    <x v="0"/>
    <x v="1"/>
    <n v="2"/>
    <s v="Not_Satisfied(&lt;=2)"/>
    <x v="0"/>
    <n v="1"/>
    <s v="Y"/>
    <x v="0"/>
    <n v="12"/>
    <x v="0"/>
    <n v="4"/>
    <n v="2"/>
    <s v="Poor(&lt;=2)"/>
    <n v="4"/>
    <s v="Short(&lt;=4)"/>
    <n v="3"/>
    <x v="0"/>
    <n v="1"/>
    <s v="Reasonable(&lt;=3)"/>
  </r>
  <r>
    <x v="5"/>
    <s v="Middle_Age(30-50)"/>
    <x v="1"/>
    <s v="Rarely"/>
    <s v="Sales"/>
    <n v="8"/>
    <s v="Middistance(6-14)"/>
    <n v="3"/>
    <s v="Satisfied(&gt;=3)"/>
    <x v="0"/>
    <n v="2"/>
    <s v="Low"/>
    <n v="2"/>
    <x v="0"/>
    <x v="0"/>
    <n v="2"/>
    <s v="Not_Satisfied(&lt;=2)"/>
    <x v="1"/>
    <n v="1"/>
    <s v="Y"/>
    <x v="0"/>
    <n v="11"/>
    <x v="0"/>
    <n v="13"/>
    <n v="3"/>
    <s v="Good(&gt;=3)"/>
    <n v="13"/>
    <s v="Ultra_Long(&gt;10)"/>
    <n v="12"/>
    <x v="2"/>
    <n v="11"/>
    <s v="Not_Reasonable(&gt;3)"/>
  </r>
  <r>
    <x v="4"/>
    <s v="Young(&lt;=29)"/>
    <x v="1"/>
    <s v="Rarely"/>
    <s v="Sales"/>
    <n v="2"/>
    <s v="Nearby(&lt;=5)"/>
    <n v="4"/>
    <s v="Satisfied(&gt;=3)"/>
    <x v="1"/>
    <n v="3"/>
    <s v="Medium"/>
    <n v="2"/>
    <x v="0"/>
    <x v="0"/>
    <n v="3"/>
    <s v="Satisfied(&gt;=3)"/>
    <x v="0"/>
    <n v="1"/>
    <s v="Y"/>
    <x v="0"/>
    <n v="11"/>
    <x v="0"/>
    <n v="5"/>
    <n v="3"/>
    <s v="Good(&gt;=3)"/>
    <n v="5"/>
    <s v="Long(5-10)"/>
    <n v="4"/>
    <x v="0"/>
    <n v="0"/>
    <s v="Reasonable(&lt;=3)"/>
  </r>
  <r>
    <x v="12"/>
    <s v="Middle_Age(30-50)"/>
    <x v="1"/>
    <s v="Rarely"/>
    <s v="Sales"/>
    <n v="7"/>
    <s v="Middistance(6-14)"/>
    <n v="4"/>
    <s v="Satisfied(&gt;=3)"/>
    <x v="1"/>
    <n v="3"/>
    <s v="Medium"/>
    <n v="2"/>
    <x v="0"/>
    <x v="0"/>
    <n v="4"/>
    <s v="Satisfied(&gt;=3)"/>
    <x v="2"/>
    <n v="4"/>
    <s v="Y"/>
    <x v="1"/>
    <n v="12"/>
    <x v="0"/>
    <n v="13"/>
    <n v="3"/>
    <s v="Good(&gt;=3)"/>
    <n v="7"/>
    <s v="Long(5-10)"/>
    <n v="7"/>
    <x v="1"/>
    <n v="1"/>
    <s v="Reasonable(&lt;=3)"/>
  </r>
  <r>
    <x v="5"/>
    <s v="Middle_Age(30-50)"/>
    <x v="1"/>
    <s v="Rarely"/>
    <s v="Research &amp; Development"/>
    <n v="2"/>
    <s v="Nearby(&lt;=5)"/>
    <n v="1"/>
    <s v="Not_Satisfied(&lt;3)"/>
    <x v="0"/>
    <n v="4"/>
    <s v="High"/>
    <n v="2"/>
    <x v="0"/>
    <x v="1"/>
    <n v="4"/>
    <s v="Satisfied(&gt;=3)"/>
    <x v="0"/>
    <n v="7"/>
    <s v="Y"/>
    <x v="1"/>
    <n v="16"/>
    <x v="0"/>
    <n v="10"/>
    <n v="2"/>
    <s v="Poor(&lt;=2)"/>
    <n v="7"/>
    <s v="Long(5-10)"/>
    <n v="7"/>
    <x v="1"/>
    <n v="0"/>
    <s v="Reasonable(&lt;=3)"/>
  </r>
  <r>
    <x v="14"/>
    <s v="Young(&lt;=29)"/>
    <x v="0"/>
    <s v="Rarely"/>
    <s v="Research &amp; Development"/>
    <n v="2"/>
    <s v="Nearby(&lt;=5)"/>
    <n v="1"/>
    <s v="Not_Satisfied(&lt;3)"/>
    <x v="1"/>
    <n v="1"/>
    <s v="Low"/>
    <n v="1"/>
    <x v="0"/>
    <x v="1"/>
    <n v="4"/>
    <s v="Satisfied(&gt;=3)"/>
    <x v="1"/>
    <n v="5"/>
    <s v="Y"/>
    <x v="0"/>
    <n v="13"/>
    <x v="0"/>
    <n v="5"/>
    <n v="2"/>
    <s v="Poor(&lt;=2)"/>
    <n v="3"/>
    <s v="Short(&lt;=4)"/>
    <n v="2"/>
    <x v="0"/>
    <n v="2"/>
    <s v="Reasonable(&lt;=3)"/>
  </r>
  <r>
    <x v="7"/>
    <s v="Middle_Age(30-50)"/>
    <x v="1"/>
    <s v="Rarely"/>
    <s v="Research &amp; Development"/>
    <n v="28"/>
    <s v="Far(&gt;=15)"/>
    <n v="4"/>
    <s v="Satisfied(&gt;=3)"/>
    <x v="0"/>
    <n v="3"/>
    <s v="Medium"/>
    <n v="2"/>
    <x v="0"/>
    <x v="1"/>
    <n v="4"/>
    <s v="Satisfied(&gt;=3)"/>
    <x v="1"/>
    <n v="1"/>
    <s v="Y"/>
    <x v="1"/>
    <n v="13"/>
    <x v="0"/>
    <n v="11"/>
    <n v="3"/>
    <s v="Good(&gt;=3)"/>
    <n v="10"/>
    <s v="Long(5-10)"/>
    <n v="8"/>
    <x v="1"/>
    <n v="1"/>
    <s v="Reasonable(&lt;=3)"/>
  </r>
  <r>
    <x v="12"/>
    <s v="Middle_Age(30-50)"/>
    <x v="1"/>
    <s v="Frequently"/>
    <s v="Research &amp; Development"/>
    <n v="7"/>
    <s v="Middistance(6-14)"/>
    <n v="3"/>
    <s v="Satisfied(&gt;=3)"/>
    <x v="0"/>
    <n v="2"/>
    <s v="Low"/>
    <n v="3"/>
    <x v="1"/>
    <x v="3"/>
    <n v="3"/>
    <s v="Satisfied(&gt;=3)"/>
    <x v="1"/>
    <n v="1"/>
    <s v="Y"/>
    <x v="1"/>
    <n v="24"/>
    <x v="1"/>
    <n v="10"/>
    <n v="3"/>
    <s v="Good(&gt;=3)"/>
    <n v="10"/>
    <s v="Long(5-10)"/>
    <n v="9"/>
    <x v="1"/>
    <n v="8"/>
    <s v="Not_Reasonable(&gt;3)"/>
  </r>
  <r>
    <x v="22"/>
    <s v="Middle_Age(30-50)"/>
    <x v="1"/>
    <s v="Frequently"/>
    <s v="Research &amp; Development"/>
    <n v="7"/>
    <s v="Middistance(6-14)"/>
    <n v="3"/>
    <s v="Satisfied(&gt;=3)"/>
    <x v="1"/>
    <n v="2"/>
    <s v="Low"/>
    <n v="5"/>
    <x v="2"/>
    <x v="5"/>
    <n v="4"/>
    <s v="Satisfied(&gt;=3)"/>
    <x v="1"/>
    <n v="1"/>
    <s v="Y"/>
    <x v="1"/>
    <n v="15"/>
    <x v="0"/>
    <n v="21"/>
    <n v="3"/>
    <s v="Good(&gt;=3)"/>
    <n v="21"/>
    <s v="Ultra_Long(&gt;10)"/>
    <n v="9"/>
    <x v="1"/>
    <n v="13"/>
    <s v="Not_Reasonable(&gt;3)"/>
  </r>
  <r>
    <x v="22"/>
    <s v="Middle_Age(30-50)"/>
    <x v="0"/>
    <s v="Rarely"/>
    <s v="Sales"/>
    <n v="3"/>
    <s v="Nearby(&lt;=5)"/>
    <n v="4"/>
    <s v="Satisfied(&gt;=3)"/>
    <x v="0"/>
    <n v="3"/>
    <s v="Medium"/>
    <n v="2"/>
    <x v="0"/>
    <x v="0"/>
    <n v="3"/>
    <s v="Satisfied(&gt;=3)"/>
    <x v="1"/>
    <n v="4"/>
    <s v="Y"/>
    <x v="0"/>
    <n v="18"/>
    <x v="0"/>
    <n v="12"/>
    <n v="2"/>
    <s v="Poor(&lt;=2)"/>
    <n v="1"/>
    <s v="Short(&lt;=4)"/>
    <n v="0"/>
    <x v="0"/>
    <n v="0"/>
    <s v="Reasonable(&lt;=3)"/>
  </r>
  <r>
    <x v="3"/>
    <s v="Middle_Age(30-50)"/>
    <x v="1"/>
    <s v="Frequently"/>
    <s v="Sales"/>
    <n v="10"/>
    <s v="Middistance(6-14)"/>
    <n v="2"/>
    <s v="Not_Satisfied(&lt;3)"/>
    <x v="1"/>
    <n v="2"/>
    <s v="Low"/>
    <n v="2"/>
    <x v="0"/>
    <x v="0"/>
    <n v="4"/>
    <s v="Satisfied(&gt;=3)"/>
    <x v="0"/>
    <n v="3"/>
    <s v="Y"/>
    <x v="1"/>
    <n v="14"/>
    <x v="0"/>
    <n v="9"/>
    <n v="2"/>
    <s v="Poor(&lt;=2)"/>
    <n v="7"/>
    <s v="Long(5-10)"/>
    <n v="7"/>
    <x v="1"/>
    <n v="0"/>
    <s v="Reasonable(&lt;=3)"/>
  </r>
  <r>
    <x v="40"/>
    <s v="Middle_Age(30-50)"/>
    <x v="1"/>
    <s v="Rarely"/>
    <s v="Research &amp; Development"/>
    <n v="5"/>
    <s v="Nearby(&lt;=5)"/>
    <n v="4"/>
    <s v="Satisfied(&gt;=3)"/>
    <x v="1"/>
    <n v="3"/>
    <s v="Medium"/>
    <n v="5"/>
    <x v="2"/>
    <x v="7"/>
    <n v="3"/>
    <s v="Satisfied(&gt;=3)"/>
    <x v="1"/>
    <n v="4"/>
    <s v="Y"/>
    <x v="1"/>
    <n v="11"/>
    <x v="0"/>
    <n v="21"/>
    <n v="3"/>
    <s v="Good(&gt;=3)"/>
    <n v="3"/>
    <s v="Short(&lt;=4)"/>
    <n v="2"/>
    <x v="0"/>
    <n v="1"/>
    <s v="Reasonable(&lt;=3)"/>
  </r>
  <r>
    <x v="23"/>
    <s v="Middle_Age(30-50)"/>
    <x v="1"/>
    <s v="Frequently"/>
    <s v="Research &amp; Development"/>
    <n v="10"/>
    <s v="Middistance(6-14)"/>
    <n v="3"/>
    <s v="Satisfied(&gt;=3)"/>
    <x v="0"/>
    <n v="2"/>
    <s v="Low"/>
    <n v="2"/>
    <x v="0"/>
    <x v="2"/>
    <n v="3"/>
    <s v="Satisfied(&gt;=3)"/>
    <x v="2"/>
    <n v="1"/>
    <s v="Y"/>
    <x v="1"/>
    <n v="11"/>
    <x v="0"/>
    <n v="9"/>
    <n v="4"/>
    <s v="Good(&gt;=3)"/>
    <n v="9"/>
    <s v="Long(5-10)"/>
    <n v="7"/>
    <x v="1"/>
    <n v="0"/>
    <s v="Reasonable(&lt;=3)"/>
  </r>
  <r>
    <x v="4"/>
    <s v="Young(&lt;=29)"/>
    <x v="1"/>
    <s v="Rarely"/>
    <s v="Sales"/>
    <n v="1"/>
    <s v="Nearby(&lt;=5)"/>
    <n v="3"/>
    <s v="Satisfied(&gt;=3)"/>
    <x v="1"/>
    <n v="3"/>
    <s v="Medium"/>
    <n v="2"/>
    <x v="0"/>
    <x v="0"/>
    <n v="2"/>
    <s v="Not_Satisfied(&lt;=2)"/>
    <x v="1"/>
    <n v="0"/>
    <s v="Y"/>
    <x v="0"/>
    <n v="13"/>
    <x v="0"/>
    <n v="6"/>
    <n v="3"/>
    <s v="Good(&gt;=3)"/>
    <n v="5"/>
    <s v="Long(5-10)"/>
    <n v="4"/>
    <x v="0"/>
    <n v="1"/>
    <s v="Reasonable(&lt;=3)"/>
  </r>
  <r>
    <x v="33"/>
    <s v="Old(&gt;50)"/>
    <x v="1"/>
    <s v="Frequently"/>
    <s v="Research &amp; Development"/>
    <n v="20"/>
    <s v="Far(&gt;=15)"/>
    <n v="4"/>
    <s v="Satisfied(&gt;=3)"/>
    <x v="0"/>
    <n v="3"/>
    <s v="Medium"/>
    <n v="2"/>
    <x v="0"/>
    <x v="1"/>
    <n v="3"/>
    <s v="Satisfied(&gt;=3)"/>
    <x v="0"/>
    <n v="3"/>
    <s v="Y"/>
    <x v="1"/>
    <n v="12"/>
    <x v="0"/>
    <n v="20"/>
    <n v="2"/>
    <s v="Poor(&lt;=2)"/>
    <n v="4"/>
    <s v="Short(&lt;=4)"/>
    <n v="3"/>
    <x v="0"/>
    <n v="0"/>
    <s v="Reasonable(&lt;=3)"/>
  </r>
  <r>
    <x v="23"/>
    <s v="Middle_Age(30-50)"/>
    <x v="1"/>
    <s v="Rarely"/>
    <s v="Research &amp; Development"/>
    <n v="7"/>
    <s v="Middistance(6-14)"/>
    <n v="3"/>
    <s v="Satisfied(&gt;=3)"/>
    <x v="0"/>
    <n v="3"/>
    <s v="Medium"/>
    <n v="3"/>
    <x v="1"/>
    <x v="4"/>
    <n v="1"/>
    <s v="Not_Satisfied(&lt;=2)"/>
    <x v="1"/>
    <n v="8"/>
    <s v="Y"/>
    <x v="1"/>
    <n v="16"/>
    <x v="0"/>
    <n v="10"/>
    <n v="2"/>
    <s v="Poor(&lt;=2)"/>
    <n v="1"/>
    <s v="Short(&lt;=4)"/>
    <n v="0"/>
    <x v="0"/>
    <n v="0"/>
    <s v="Reasonable(&lt;=3)"/>
  </r>
  <r>
    <x v="28"/>
    <s v="Middle_Age(30-50)"/>
    <x v="1"/>
    <s v="Rarely"/>
    <s v="Research &amp; Development"/>
    <n v="8"/>
    <s v="Middistance(6-14)"/>
    <n v="4"/>
    <s v="Satisfied(&gt;=3)"/>
    <x v="1"/>
    <n v="3"/>
    <s v="Medium"/>
    <n v="2"/>
    <x v="0"/>
    <x v="1"/>
    <n v="4"/>
    <s v="Satisfied(&gt;=3)"/>
    <x v="1"/>
    <n v="9"/>
    <s v="Y"/>
    <x v="1"/>
    <n v="14"/>
    <x v="0"/>
    <n v="12"/>
    <n v="3"/>
    <s v="Good(&gt;=3)"/>
    <n v="10"/>
    <s v="Long(5-10)"/>
    <n v="9"/>
    <x v="1"/>
    <n v="9"/>
    <s v="Not_Reasonable(&gt;3)"/>
  </r>
  <r>
    <x v="32"/>
    <s v="Middle_Age(30-50)"/>
    <x v="1"/>
    <s v="Rarely"/>
    <s v="Sales"/>
    <n v="1"/>
    <s v="Nearby(&lt;=5)"/>
    <n v="2"/>
    <s v="Not_Satisfied(&lt;3)"/>
    <x v="1"/>
    <n v="1"/>
    <s v="Low"/>
    <n v="2"/>
    <x v="0"/>
    <x v="0"/>
    <n v="4"/>
    <s v="Satisfied(&gt;=3)"/>
    <x v="1"/>
    <n v="2"/>
    <s v="Y"/>
    <x v="0"/>
    <n v="22"/>
    <x v="1"/>
    <n v="6"/>
    <n v="2"/>
    <s v="Poor(&lt;=2)"/>
    <n v="4"/>
    <s v="Short(&lt;=4)"/>
    <n v="3"/>
    <x v="0"/>
    <n v="0"/>
    <s v="Reasonable(&lt;=3)"/>
  </r>
  <r>
    <x v="11"/>
    <s v="Young(&lt;=29)"/>
    <x v="0"/>
    <s v="Rarely"/>
    <s v="Research &amp; Development"/>
    <n v="8"/>
    <s v="Middistance(6-14)"/>
    <n v="2"/>
    <s v="Not_Satisfied(&lt;3)"/>
    <x v="1"/>
    <n v="1"/>
    <s v="Low"/>
    <n v="1"/>
    <x v="0"/>
    <x v="2"/>
    <n v="1"/>
    <s v="Not_Satisfied(&lt;=2)"/>
    <x v="1"/>
    <n v="1"/>
    <s v="Y"/>
    <x v="0"/>
    <n v="11"/>
    <x v="0"/>
    <n v="7"/>
    <n v="2"/>
    <s v="Poor(&lt;=2)"/>
    <n v="7"/>
    <s v="Long(5-10)"/>
    <n v="7"/>
    <x v="1"/>
    <n v="0"/>
    <s v="Reasonable(&lt;=3)"/>
  </r>
  <r>
    <x v="11"/>
    <s v="Young(&lt;=29)"/>
    <x v="1"/>
    <s v="Rarely"/>
    <s v="Research &amp; Development"/>
    <n v="9"/>
    <s v="Middistance(6-14)"/>
    <n v="2"/>
    <s v="Not_Satisfied(&lt;3)"/>
    <x v="1"/>
    <n v="2"/>
    <s v="Low"/>
    <n v="1"/>
    <x v="0"/>
    <x v="2"/>
    <n v="4"/>
    <s v="Satisfied(&gt;=3)"/>
    <x v="0"/>
    <n v="0"/>
    <s v="Y"/>
    <x v="1"/>
    <n v="17"/>
    <x v="0"/>
    <n v="4"/>
    <n v="3"/>
    <s v="Good(&gt;=3)"/>
    <n v="3"/>
    <s v="Short(&lt;=4)"/>
    <n v="2"/>
    <x v="0"/>
    <n v="2"/>
    <s v="Reasonable(&lt;=3)"/>
  </r>
  <r>
    <x v="7"/>
    <s v="Middle_Age(30-50)"/>
    <x v="1"/>
    <s v="Rarely"/>
    <s v="Sales"/>
    <n v="5"/>
    <s v="Nearby(&lt;=5)"/>
    <n v="4"/>
    <s v="Satisfied(&gt;=3)"/>
    <x v="0"/>
    <n v="2"/>
    <s v="Low"/>
    <n v="2"/>
    <x v="0"/>
    <x v="0"/>
    <n v="3"/>
    <s v="Satisfied(&gt;=3)"/>
    <x v="2"/>
    <n v="1"/>
    <s v="Y"/>
    <x v="1"/>
    <n v="13"/>
    <x v="0"/>
    <n v="10"/>
    <n v="3"/>
    <s v="Good(&gt;=3)"/>
    <n v="10"/>
    <s v="Long(5-10)"/>
    <n v="9"/>
    <x v="1"/>
    <n v="1"/>
    <s v="Reasonable(&lt;=3)"/>
  </r>
  <r>
    <x v="4"/>
    <s v="Young(&lt;=29)"/>
    <x v="1"/>
    <s v="Rarely"/>
    <s v="Sales"/>
    <n v="8"/>
    <s v="Middistance(6-14)"/>
    <n v="2"/>
    <s v="Not_Satisfied(&lt;3)"/>
    <x v="0"/>
    <n v="3"/>
    <s v="Medium"/>
    <n v="2"/>
    <x v="0"/>
    <x v="0"/>
    <n v="2"/>
    <s v="Not_Satisfied(&lt;=2)"/>
    <x v="1"/>
    <n v="1"/>
    <s v="Y"/>
    <x v="1"/>
    <n v="18"/>
    <x v="0"/>
    <n v="8"/>
    <n v="3"/>
    <s v="Good(&gt;=3)"/>
    <n v="8"/>
    <s v="Long(5-10)"/>
    <n v="7"/>
    <x v="1"/>
    <n v="0"/>
    <s v="Reasonable(&lt;=3)"/>
  </r>
  <r>
    <x v="2"/>
    <s v="Middle_Age(30-50)"/>
    <x v="1"/>
    <s v="Rarely"/>
    <s v="Research &amp; Development"/>
    <n v="5"/>
    <s v="Nearby(&lt;=5)"/>
    <n v="4"/>
    <s v="Satisfied(&gt;=3)"/>
    <x v="1"/>
    <n v="3"/>
    <s v="Medium"/>
    <n v="2"/>
    <x v="0"/>
    <x v="3"/>
    <n v="4"/>
    <s v="Satisfied(&gt;=3)"/>
    <x v="2"/>
    <n v="7"/>
    <s v="Y"/>
    <x v="1"/>
    <n v="16"/>
    <x v="0"/>
    <n v="8"/>
    <n v="2"/>
    <s v="Poor(&lt;=2)"/>
    <n v="6"/>
    <s v="Long(5-10)"/>
    <n v="2"/>
    <x v="0"/>
    <n v="0"/>
    <s v="Reasonable(&lt;=3)"/>
  </r>
  <r>
    <x v="8"/>
    <s v="Middle_Age(30-50)"/>
    <x v="1"/>
    <s v="Rarely"/>
    <s v="Research &amp; Development"/>
    <n v="15"/>
    <s v="Far(&gt;=15)"/>
    <n v="3"/>
    <s v="Satisfied(&gt;=3)"/>
    <x v="1"/>
    <n v="2"/>
    <s v="Low"/>
    <n v="3"/>
    <x v="1"/>
    <x v="7"/>
    <n v="4"/>
    <s v="Satisfied(&gt;=3)"/>
    <x v="2"/>
    <n v="0"/>
    <s v="Y"/>
    <x v="0"/>
    <n v="14"/>
    <x v="0"/>
    <n v="12"/>
    <n v="3"/>
    <s v="Good(&gt;=3)"/>
    <n v="11"/>
    <s v="Ultra_Long(&gt;10)"/>
    <n v="10"/>
    <x v="1"/>
    <n v="2"/>
    <s v="Reasonable(&lt;=3)"/>
  </r>
  <r>
    <x v="12"/>
    <s v="Middle_Age(30-50)"/>
    <x v="1"/>
    <s v="Rarely"/>
    <s v="Research &amp; Development"/>
    <n v="7"/>
    <s v="Middistance(6-14)"/>
    <n v="3"/>
    <s v="Satisfied(&gt;=3)"/>
    <x v="0"/>
    <n v="3"/>
    <s v="Medium"/>
    <n v="3"/>
    <x v="1"/>
    <x v="3"/>
    <n v="4"/>
    <s v="Satisfied(&gt;=3)"/>
    <x v="0"/>
    <n v="1"/>
    <s v="Y"/>
    <x v="0"/>
    <n v="14"/>
    <x v="0"/>
    <n v="11"/>
    <n v="2"/>
    <s v="Poor(&lt;=2)"/>
    <n v="11"/>
    <s v="Ultra_Long(&gt;10)"/>
    <n v="9"/>
    <x v="1"/>
    <n v="4"/>
    <s v="Not_Reasonable(&gt;3)"/>
  </r>
  <r>
    <x v="11"/>
    <s v="Young(&lt;=29)"/>
    <x v="1"/>
    <s v="Rarely"/>
    <s v="Sales"/>
    <n v="10"/>
    <s v="Middistance(6-14)"/>
    <n v="4"/>
    <s v="Satisfied(&gt;=3)"/>
    <x v="0"/>
    <n v="2"/>
    <s v="Low"/>
    <n v="2"/>
    <x v="0"/>
    <x v="0"/>
    <n v="2"/>
    <s v="Not_Satisfied(&lt;=2)"/>
    <x v="2"/>
    <n v="1"/>
    <s v="Y"/>
    <x v="0"/>
    <n v="14"/>
    <x v="0"/>
    <n v="7"/>
    <n v="3"/>
    <s v="Good(&gt;=3)"/>
    <n v="7"/>
    <s v="Long(5-10)"/>
    <n v="7"/>
    <x v="1"/>
    <n v="1"/>
    <s v="Reasonable(&lt;=3)"/>
  </r>
  <r>
    <x v="10"/>
    <s v="Middle_Age(30-50)"/>
    <x v="1"/>
    <s v="Rarely"/>
    <s v="Research &amp; Development"/>
    <n v="5"/>
    <s v="Nearby(&lt;=5)"/>
    <n v="3"/>
    <s v="Satisfied(&gt;=3)"/>
    <x v="1"/>
    <n v="3"/>
    <s v="Medium"/>
    <n v="3"/>
    <x v="1"/>
    <x v="3"/>
    <n v="2"/>
    <s v="Not_Satisfied(&lt;=2)"/>
    <x v="0"/>
    <n v="0"/>
    <s v="Y"/>
    <x v="1"/>
    <n v="13"/>
    <x v="0"/>
    <n v="17"/>
    <n v="3"/>
    <s v="Good(&gt;=3)"/>
    <n v="16"/>
    <s v="Ultra_Long(&gt;10)"/>
    <n v="6"/>
    <x v="1"/>
    <n v="0"/>
    <s v="Reasonable(&lt;=3)"/>
  </r>
  <r>
    <x v="30"/>
    <s v="Young(&lt;=29)"/>
    <x v="1"/>
    <s v="Rarely"/>
    <s v="Research &amp; Development"/>
    <n v="26"/>
    <s v="Far(&gt;=15)"/>
    <n v="3"/>
    <s v="Satisfied(&gt;=3)"/>
    <x v="1"/>
    <n v="3"/>
    <s v="Medium"/>
    <n v="1"/>
    <x v="0"/>
    <x v="1"/>
    <n v="4"/>
    <s v="Satisfied(&gt;=3)"/>
    <x v="2"/>
    <n v="1"/>
    <s v="Y"/>
    <x v="1"/>
    <n v="12"/>
    <x v="0"/>
    <n v="4"/>
    <n v="2"/>
    <s v="Poor(&lt;=2)"/>
    <n v="4"/>
    <s v="Short(&lt;=4)"/>
    <n v="2"/>
    <x v="0"/>
    <n v="0"/>
    <s v="Reasonable(&lt;=3)"/>
  </r>
  <r>
    <x v="0"/>
    <s v="Middle_Age(30-50)"/>
    <x v="1"/>
    <s v="Rarely"/>
    <s v="Research &amp; Development"/>
    <n v="6"/>
    <s v="Middistance(6-14)"/>
    <n v="4"/>
    <s v="Satisfied(&gt;=3)"/>
    <x v="1"/>
    <n v="2"/>
    <s v="Low"/>
    <n v="2"/>
    <x v="0"/>
    <x v="3"/>
    <n v="2"/>
    <s v="Not_Satisfied(&lt;=2)"/>
    <x v="0"/>
    <n v="6"/>
    <s v="Y"/>
    <x v="0"/>
    <n v="15"/>
    <x v="0"/>
    <n v="8"/>
    <n v="3"/>
    <s v="Good(&gt;=3)"/>
    <n v="5"/>
    <s v="Long(5-10)"/>
    <n v="4"/>
    <x v="0"/>
    <n v="1"/>
    <s v="Reasonable(&lt;=3)"/>
  </r>
  <r>
    <x v="40"/>
    <s v="Middle_Age(30-50)"/>
    <x v="1"/>
    <s v="Frequently"/>
    <s v="Sales"/>
    <n v="4"/>
    <s v="Nearby(&lt;=5)"/>
    <n v="2"/>
    <s v="Not_Satisfied(&lt;3)"/>
    <x v="1"/>
    <n v="3"/>
    <s v="Medium"/>
    <n v="2"/>
    <x v="0"/>
    <x v="6"/>
    <n v="3"/>
    <s v="Satisfied(&gt;=3)"/>
    <x v="0"/>
    <n v="3"/>
    <s v="Y"/>
    <x v="1"/>
    <n v="19"/>
    <x v="0"/>
    <n v="5"/>
    <n v="3"/>
    <s v="Good(&gt;=3)"/>
    <n v="0"/>
    <s v="Short(&lt;=4)"/>
    <n v="0"/>
    <x v="0"/>
    <n v="0"/>
    <s v="Reasonable(&lt;=3)"/>
  </r>
  <r>
    <x v="19"/>
    <s v="Middle_Age(30-50)"/>
    <x v="1"/>
    <s v="Rarely"/>
    <s v="Research &amp; Development"/>
    <n v="23"/>
    <s v="Far(&gt;=15)"/>
    <n v="1"/>
    <s v="Not_Satisfied(&lt;3)"/>
    <x v="0"/>
    <n v="3"/>
    <s v="Medium"/>
    <n v="4"/>
    <x v="2"/>
    <x v="7"/>
    <n v="4"/>
    <s v="Satisfied(&gt;=3)"/>
    <x v="0"/>
    <n v="2"/>
    <s v="Y"/>
    <x v="1"/>
    <n v="14"/>
    <x v="0"/>
    <n v="16"/>
    <n v="3"/>
    <s v="Good(&gt;=3)"/>
    <n v="1"/>
    <s v="Short(&lt;=4)"/>
    <n v="0"/>
    <x v="0"/>
    <n v="0"/>
    <s v="Reasonable(&lt;=3)"/>
  </r>
  <r>
    <x v="11"/>
    <s v="Young(&lt;=29)"/>
    <x v="1"/>
    <s v="Rarely"/>
    <s v="Sales"/>
    <n v="2"/>
    <s v="Nearby(&lt;=5)"/>
    <n v="4"/>
    <s v="Satisfied(&gt;=3)"/>
    <x v="1"/>
    <n v="3"/>
    <s v="Medium"/>
    <n v="2"/>
    <x v="0"/>
    <x v="0"/>
    <n v="3"/>
    <s v="Satisfied(&gt;=3)"/>
    <x v="1"/>
    <n v="1"/>
    <s v="Y"/>
    <x v="1"/>
    <n v="14"/>
    <x v="0"/>
    <n v="4"/>
    <n v="2"/>
    <s v="Poor(&lt;=2)"/>
    <n v="4"/>
    <s v="Short(&lt;=4)"/>
    <n v="3"/>
    <x v="0"/>
    <n v="0"/>
    <s v="Reasonable(&lt;=3)"/>
  </r>
  <r>
    <x v="19"/>
    <s v="Middle_Age(30-50)"/>
    <x v="1"/>
    <s v="Rarely"/>
    <s v="Human Resources"/>
    <n v="2"/>
    <s v="Nearby(&lt;=5)"/>
    <n v="3"/>
    <s v="Satisfied(&gt;=3)"/>
    <x v="1"/>
    <n v="3"/>
    <s v="Medium"/>
    <n v="1"/>
    <x v="0"/>
    <x v="8"/>
    <n v="3"/>
    <s v="Satisfied(&gt;=3)"/>
    <x v="2"/>
    <n v="0"/>
    <s v="Y"/>
    <x v="0"/>
    <n v="11"/>
    <x v="0"/>
    <n v="4"/>
    <n v="3"/>
    <s v="Good(&gt;=3)"/>
    <n v="3"/>
    <s v="Short(&lt;=4)"/>
    <n v="2"/>
    <x v="0"/>
    <n v="1"/>
    <s v="Reasonable(&lt;=3)"/>
  </r>
  <r>
    <x v="5"/>
    <s v="Middle_Age(30-50)"/>
    <x v="1"/>
    <s v="Rarely"/>
    <s v="Research &amp; Development"/>
    <n v="2"/>
    <s v="Nearby(&lt;=5)"/>
    <n v="3"/>
    <s v="Satisfied(&gt;=3)"/>
    <x v="0"/>
    <n v="3"/>
    <s v="Medium"/>
    <n v="1"/>
    <x v="0"/>
    <x v="2"/>
    <n v="2"/>
    <s v="Not_Satisfied(&lt;=2)"/>
    <x v="1"/>
    <n v="1"/>
    <s v="Y"/>
    <x v="1"/>
    <n v="13"/>
    <x v="0"/>
    <n v="8"/>
    <n v="3"/>
    <s v="Good(&gt;=3)"/>
    <n v="8"/>
    <s v="Long(5-10)"/>
    <n v="0"/>
    <x v="0"/>
    <n v="0"/>
    <s v="Reasonable(&lt;=3)"/>
  </r>
  <r>
    <x v="26"/>
    <s v="Middle_Age(30-50)"/>
    <x v="1"/>
    <s v="Rarely"/>
    <s v="Sales"/>
    <n v="29"/>
    <s v="Far(&gt;=15)"/>
    <n v="1"/>
    <s v="Not_Satisfied(&lt;3)"/>
    <x v="0"/>
    <n v="3"/>
    <s v="Medium"/>
    <n v="3"/>
    <x v="1"/>
    <x v="5"/>
    <n v="3"/>
    <s v="Satisfied(&gt;=3)"/>
    <x v="1"/>
    <n v="3"/>
    <s v="Y"/>
    <x v="1"/>
    <n v="21"/>
    <x v="1"/>
    <n v="15"/>
    <n v="1"/>
    <s v="Poor(&lt;=2)"/>
    <n v="0"/>
    <s v="Short(&lt;=4)"/>
    <n v="0"/>
    <x v="0"/>
    <n v="0"/>
    <s v="Reasonable(&lt;=3)"/>
  </r>
  <r>
    <x v="2"/>
    <s v="Middle_Age(30-50)"/>
    <x v="1"/>
    <s v="Rarely"/>
    <s v="Research &amp; Development"/>
    <n v="6"/>
    <s v="Middistance(6-14)"/>
    <n v="3"/>
    <s v="Satisfied(&gt;=3)"/>
    <x v="1"/>
    <n v="4"/>
    <s v="High"/>
    <n v="2"/>
    <x v="0"/>
    <x v="1"/>
    <n v="1"/>
    <s v="Not_Satisfied(&lt;=2)"/>
    <x v="2"/>
    <n v="4"/>
    <s v="Y"/>
    <x v="0"/>
    <n v="13"/>
    <x v="0"/>
    <n v="13"/>
    <n v="3"/>
    <s v="Good(&gt;=3)"/>
    <n v="7"/>
    <s v="Long(5-10)"/>
    <n v="7"/>
    <x v="1"/>
    <n v="6"/>
    <s v="Not_Reasonable(&gt;3)"/>
  </r>
  <r>
    <x v="7"/>
    <s v="Middle_Age(30-50)"/>
    <x v="1"/>
    <s v="Rarely"/>
    <s v="Sales"/>
    <n v="25"/>
    <s v="Far(&gt;=15)"/>
    <n v="4"/>
    <s v="Satisfied(&gt;=3)"/>
    <x v="0"/>
    <n v="3"/>
    <s v="Medium"/>
    <n v="2"/>
    <x v="0"/>
    <x v="0"/>
    <n v="3"/>
    <s v="Satisfied(&gt;=3)"/>
    <x v="1"/>
    <n v="7"/>
    <s v="Y"/>
    <x v="0"/>
    <n v="12"/>
    <x v="0"/>
    <n v="4"/>
    <n v="4"/>
    <s v="Good(&gt;=3)"/>
    <n v="2"/>
    <s v="Short(&lt;=4)"/>
    <n v="2"/>
    <x v="0"/>
    <n v="2"/>
    <s v="Reasonable(&lt;=3)"/>
  </r>
  <r>
    <x v="25"/>
    <s v="Young(&lt;=29)"/>
    <x v="1"/>
    <s v="Rarely"/>
    <s v="Sales"/>
    <n v="1"/>
    <s v="Nearby(&lt;=5)"/>
    <n v="3"/>
    <s v="Satisfied(&gt;=3)"/>
    <x v="1"/>
    <n v="3"/>
    <s v="Medium"/>
    <n v="2"/>
    <x v="0"/>
    <x v="0"/>
    <n v="3"/>
    <s v="Satisfied(&gt;=3)"/>
    <x v="1"/>
    <n v="1"/>
    <s v="Y"/>
    <x v="1"/>
    <n v="17"/>
    <x v="0"/>
    <n v="8"/>
    <n v="3"/>
    <s v="Good(&gt;=3)"/>
    <n v="8"/>
    <s v="Long(5-10)"/>
    <n v="7"/>
    <x v="1"/>
    <n v="7"/>
    <s v="Not_Reasonable(&gt;3)"/>
  </r>
  <r>
    <x v="19"/>
    <s v="Middle_Age(30-50)"/>
    <x v="1"/>
    <s v="Rarely"/>
    <s v="Research &amp; Development"/>
    <n v="2"/>
    <s v="Nearby(&lt;=5)"/>
    <n v="1"/>
    <s v="Not_Satisfied(&lt;3)"/>
    <x v="1"/>
    <n v="2"/>
    <s v="Low"/>
    <n v="2"/>
    <x v="0"/>
    <x v="4"/>
    <n v="4"/>
    <s v="Satisfied(&gt;=3)"/>
    <x v="0"/>
    <n v="3"/>
    <s v="Y"/>
    <x v="1"/>
    <n v="23"/>
    <x v="1"/>
    <n v="14"/>
    <n v="3"/>
    <s v="Good(&gt;=3)"/>
    <n v="1"/>
    <s v="Short(&lt;=4)"/>
    <n v="0"/>
    <x v="0"/>
    <n v="0"/>
    <s v="Reasonable(&lt;=3)"/>
  </r>
  <r>
    <x v="18"/>
    <s v="Young(&lt;=29)"/>
    <x v="0"/>
    <s v="Frequently"/>
    <s v="Sales"/>
    <n v="1"/>
    <s v="Nearby(&lt;=5)"/>
    <n v="1"/>
    <s v="Not_Satisfied(&lt;3)"/>
    <x v="0"/>
    <n v="2"/>
    <s v="Low"/>
    <n v="1"/>
    <x v="0"/>
    <x v="6"/>
    <n v="2"/>
    <s v="Not_Satisfied(&lt;=2)"/>
    <x v="0"/>
    <n v="1"/>
    <s v="Y"/>
    <x v="0"/>
    <n v="11"/>
    <x v="0"/>
    <n v="3"/>
    <n v="3"/>
    <s v="Good(&gt;=3)"/>
    <n v="3"/>
    <s v="Short(&lt;=4)"/>
    <n v="2"/>
    <x v="0"/>
    <n v="1"/>
    <s v="Reasonable(&lt;=3)"/>
  </r>
  <r>
    <x v="9"/>
    <s v="Middle_Age(30-50)"/>
    <x v="1"/>
    <s v="Rarely"/>
    <s v="Sales"/>
    <n v="1"/>
    <s v="Nearby(&lt;=5)"/>
    <n v="4"/>
    <s v="Satisfied(&gt;=3)"/>
    <x v="0"/>
    <n v="3"/>
    <s v="Medium"/>
    <n v="2"/>
    <x v="0"/>
    <x v="0"/>
    <n v="4"/>
    <s v="Satisfied(&gt;=3)"/>
    <x v="0"/>
    <n v="4"/>
    <s v="Y"/>
    <x v="1"/>
    <n v="15"/>
    <x v="0"/>
    <n v="7"/>
    <n v="3"/>
    <s v="Good(&gt;=3)"/>
    <n v="1"/>
    <s v="Short(&lt;=4)"/>
    <n v="0"/>
    <x v="0"/>
    <n v="0"/>
    <s v="Reasonable(&lt;=3)"/>
  </r>
  <r>
    <x v="9"/>
    <s v="Middle_Age(30-50)"/>
    <x v="1"/>
    <s v="Frequently"/>
    <s v="Sales"/>
    <n v="3"/>
    <s v="Nearby(&lt;=5)"/>
    <n v="1"/>
    <s v="Not_Satisfied(&lt;3)"/>
    <x v="1"/>
    <n v="2"/>
    <s v="Low"/>
    <n v="3"/>
    <x v="1"/>
    <x v="0"/>
    <n v="4"/>
    <s v="Satisfied(&gt;=3)"/>
    <x v="1"/>
    <n v="4"/>
    <s v="Y"/>
    <x v="1"/>
    <n v="11"/>
    <x v="0"/>
    <n v="16"/>
    <n v="3"/>
    <s v="Good(&gt;=3)"/>
    <n v="13"/>
    <s v="Ultra_Long(&gt;10)"/>
    <n v="9"/>
    <x v="1"/>
    <n v="1"/>
    <s v="Reasonable(&lt;=3)"/>
  </r>
  <r>
    <x v="38"/>
    <s v="Old(&gt;50)"/>
    <x v="1"/>
    <s v="Rarely"/>
    <s v="Research &amp; Development"/>
    <n v="1"/>
    <s v="Nearby(&lt;=5)"/>
    <n v="4"/>
    <s v="Satisfied(&gt;=3)"/>
    <x v="1"/>
    <n v="3"/>
    <s v="Medium"/>
    <n v="2"/>
    <x v="0"/>
    <x v="4"/>
    <n v="3"/>
    <s v="Satisfied(&gt;=3)"/>
    <x v="1"/>
    <n v="2"/>
    <s v="Y"/>
    <x v="1"/>
    <n v="11"/>
    <x v="0"/>
    <n v="15"/>
    <n v="3"/>
    <s v="Good(&gt;=3)"/>
    <n v="3"/>
    <s v="Short(&lt;=4)"/>
    <n v="2"/>
    <x v="0"/>
    <n v="1"/>
    <s v="Reasonable(&lt;=3)"/>
  </r>
  <r>
    <x v="32"/>
    <s v="Middle_Age(30-50)"/>
    <x v="1"/>
    <s v="Rarely"/>
    <s v="Research &amp; Development"/>
    <n v="10"/>
    <s v="Middistance(6-14)"/>
    <n v="4"/>
    <s v="Satisfied(&gt;=3)"/>
    <x v="0"/>
    <n v="4"/>
    <s v="High"/>
    <n v="1"/>
    <x v="0"/>
    <x v="2"/>
    <n v="3"/>
    <s v="Satisfied(&gt;=3)"/>
    <x v="1"/>
    <n v="3"/>
    <s v="Y"/>
    <x v="0"/>
    <n v="13"/>
    <x v="0"/>
    <n v="10"/>
    <n v="3"/>
    <s v="Good(&gt;=3)"/>
    <n v="7"/>
    <s v="Long(5-10)"/>
    <n v="7"/>
    <x v="1"/>
    <n v="1"/>
    <s v="Reasonable(&lt;=3)"/>
  </r>
  <r>
    <x v="18"/>
    <s v="Young(&lt;=29)"/>
    <x v="1"/>
    <s v="Rarely"/>
    <s v="Sales"/>
    <n v="9"/>
    <s v="Middistance(6-14)"/>
    <n v="1"/>
    <s v="Not_Satisfied(&lt;3)"/>
    <x v="1"/>
    <n v="3"/>
    <s v="Medium"/>
    <n v="1"/>
    <x v="0"/>
    <x v="6"/>
    <n v="4"/>
    <s v="Satisfied(&gt;=3)"/>
    <x v="0"/>
    <n v="1"/>
    <s v="Y"/>
    <x v="1"/>
    <n v="24"/>
    <x v="1"/>
    <n v="3"/>
    <n v="2"/>
    <s v="Poor(&lt;=2)"/>
    <n v="3"/>
    <s v="Short(&lt;=4)"/>
    <n v="2"/>
    <x v="0"/>
    <n v="2"/>
    <s v="Reasonable(&lt;=3)"/>
  </r>
  <r>
    <x v="3"/>
    <s v="Middle_Age(30-50)"/>
    <x v="0"/>
    <s v="Rarely"/>
    <s v="Sales"/>
    <n v="5"/>
    <s v="Nearby(&lt;=5)"/>
    <n v="4"/>
    <s v="Satisfied(&gt;=3)"/>
    <x v="0"/>
    <n v="3"/>
    <s v="Medium"/>
    <n v="1"/>
    <x v="0"/>
    <x v="6"/>
    <n v="3"/>
    <s v="Satisfied(&gt;=3)"/>
    <x v="0"/>
    <n v="1"/>
    <s v="Y"/>
    <x v="0"/>
    <n v="13"/>
    <x v="0"/>
    <n v="1"/>
    <n v="3"/>
    <s v="Good(&gt;=3)"/>
    <n v="1"/>
    <s v="Short(&lt;=4)"/>
    <n v="0"/>
    <x v="0"/>
    <n v="0"/>
    <s v="Reasonable(&lt;=3)"/>
  </r>
  <r>
    <x v="2"/>
    <s v="Middle_Age(30-50)"/>
    <x v="1"/>
    <s v="Rarely"/>
    <s v="Research &amp; Development"/>
    <n v="10"/>
    <s v="Middistance(6-14)"/>
    <n v="3"/>
    <s v="Satisfied(&gt;=3)"/>
    <x v="0"/>
    <n v="3"/>
    <s v="Medium"/>
    <n v="1"/>
    <x v="0"/>
    <x v="2"/>
    <n v="1"/>
    <s v="Not_Satisfied(&lt;=2)"/>
    <x v="1"/>
    <n v="6"/>
    <s v="Y"/>
    <x v="1"/>
    <n v="20"/>
    <x v="1"/>
    <n v="17"/>
    <n v="3"/>
    <s v="Good(&gt;=3)"/>
    <n v="5"/>
    <s v="Long(5-10)"/>
    <n v="4"/>
    <x v="0"/>
    <n v="0"/>
    <s v="Reasonable(&lt;=3)"/>
  </r>
  <r>
    <x v="21"/>
    <s v="Middle_Age(30-50)"/>
    <x v="1"/>
    <s v="Rarely"/>
    <s v="Research &amp; Development"/>
    <n v="7"/>
    <s v="Middistance(6-14)"/>
    <n v="3"/>
    <s v="Satisfied(&gt;=3)"/>
    <x v="0"/>
    <n v="3"/>
    <s v="Medium"/>
    <n v="2"/>
    <x v="0"/>
    <x v="3"/>
    <n v="3"/>
    <s v="Satisfied(&gt;=3)"/>
    <x v="1"/>
    <n v="2"/>
    <s v="Y"/>
    <x v="1"/>
    <n v="14"/>
    <x v="0"/>
    <n v="7"/>
    <n v="4"/>
    <s v="Good(&gt;=3)"/>
    <n v="1"/>
    <s v="Short(&lt;=4)"/>
    <n v="0"/>
    <x v="0"/>
    <n v="0"/>
    <s v="Reasonable(&lt;=3)"/>
  </r>
  <r>
    <x v="0"/>
    <s v="Middle_Age(30-50)"/>
    <x v="0"/>
    <s v="Frequently"/>
    <s v="Sales"/>
    <n v="4"/>
    <s v="Nearby(&lt;=5)"/>
    <n v="1"/>
    <s v="Not_Satisfied(&lt;3)"/>
    <x v="1"/>
    <n v="3"/>
    <s v="Medium"/>
    <n v="2"/>
    <x v="0"/>
    <x v="0"/>
    <n v="2"/>
    <s v="Not_Satisfied(&lt;=2)"/>
    <x v="0"/>
    <n v="1"/>
    <s v="Y"/>
    <x v="1"/>
    <n v="18"/>
    <x v="0"/>
    <n v="8"/>
    <n v="3"/>
    <s v="Good(&gt;=3)"/>
    <n v="8"/>
    <s v="Long(5-10)"/>
    <n v="7"/>
    <x v="1"/>
    <n v="7"/>
    <s v="Not_Reasonable(&gt;3)"/>
  </r>
  <r>
    <x v="24"/>
    <s v="Middle_Age(30-50)"/>
    <x v="1"/>
    <s v="Rarely"/>
    <s v="Research &amp; Development"/>
    <n v="10"/>
    <s v="Middistance(6-14)"/>
    <n v="4"/>
    <s v="Satisfied(&gt;=3)"/>
    <x v="1"/>
    <n v="2"/>
    <s v="Low"/>
    <n v="3"/>
    <x v="1"/>
    <x v="4"/>
    <n v="4"/>
    <s v="Satisfied(&gt;=3)"/>
    <x v="0"/>
    <n v="6"/>
    <s v="Y"/>
    <x v="1"/>
    <n v="15"/>
    <x v="0"/>
    <n v="20"/>
    <n v="3"/>
    <s v="Good(&gt;=3)"/>
    <n v="4"/>
    <s v="Short(&lt;=4)"/>
    <n v="3"/>
    <x v="0"/>
    <n v="1"/>
    <s v="Reasonable(&lt;=3)"/>
  </r>
  <r>
    <x v="32"/>
    <s v="Middle_Age(30-50)"/>
    <x v="0"/>
    <s v="Rarely"/>
    <s v="Sales"/>
    <n v="22"/>
    <s v="Far(&gt;=15)"/>
    <n v="3"/>
    <s v="Satisfied(&gt;=3)"/>
    <x v="1"/>
    <n v="2"/>
    <s v="Low"/>
    <n v="2"/>
    <x v="0"/>
    <x v="0"/>
    <n v="3"/>
    <s v="Satisfied(&gt;=3)"/>
    <x v="1"/>
    <n v="2"/>
    <s v="Y"/>
    <x v="0"/>
    <n v="12"/>
    <x v="0"/>
    <n v="8"/>
    <n v="3"/>
    <s v="Good(&gt;=3)"/>
    <n v="6"/>
    <s v="Long(5-10)"/>
    <n v="4"/>
    <x v="0"/>
    <n v="1"/>
    <s v="Reasonable(&lt;=3)"/>
  </r>
  <r>
    <x v="12"/>
    <s v="Middle_Age(30-50)"/>
    <x v="1"/>
    <s v="Rarely"/>
    <s v="Research &amp; Development"/>
    <n v="9"/>
    <s v="Middistance(6-14)"/>
    <n v="3"/>
    <s v="Satisfied(&gt;=3)"/>
    <x v="1"/>
    <n v="2"/>
    <s v="Low"/>
    <n v="1"/>
    <x v="0"/>
    <x v="1"/>
    <n v="2"/>
    <s v="Not_Satisfied(&lt;=2)"/>
    <x v="0"/>
    <n v="0"/>
    <s v="Y"/>
    <x v="0"/>
    <n v="16"/>
    <x v="0"/>
    <n v="3"/>
    <n v="3"/>
    <s v="Good(&gt;=3)"/>
    <n v="2"/>
    <s v="Short(&lt;=4)"/>
    <n v="2"/>
    <x v="0"/>
    <n v="2"/>
    <s v="Reasonable(&lt;=3)"/>
  </r>
  <r>
    <x v="18"/>
    <s v="Young(&lt;=29)"/>
    <x v="0"/>
    <s v="Rarely"/>
    <s v="Sales"/>
    <n v="12"/>
    <s v="Middistance(6-14)"/>
    <n v="3"/>
    <s v="Satisfied(&gt;=3)"/>
    <x v="0"/>
    <n v="4"/>
    <s v="High"/>
    <n v="1"/>
    <x v="0"/>
    <x v="6"/>
    <n v="2"/>
    <s v="Not_Satisfied(&lt;=2)"/>
    <x v="0"/>
    <n v="1"/>
    <s v="Y"/>
    <x v="1"/>
    <n v="15"/>
    <x v="0"/>
    <n v="1"/>
    <n v="3"/>
    <s v="Good(&gt;=3)"/>
    <n v="1"/>
    <s v="Short(&lt;=4)"/>
    <n v="0"/>
    <x v="0"/>
    <n v="0"/>
    <s v="Reasonable(&lt;=3)"/>
  </r>
  <r>
    <x v="11"/>
    <s v="Young(&lt;=29)"/>
    <x v="1"/>
    <s v="Rarely"/>
    <s v="Research &amp; Development"/>
    <n v="23"/>
    <s v="Far(&gt;=15)"/>
    <n v="4"/>
    <s v="Satisfied(&gt;=3)"/>
    <x v="1"/>
    <n v="3"/>
    <s v="Medium"/>
    <n v="1"/>
    <x v="0"/>
    <x v="1"/>
    <n v="4"/>
    <s v="Satisfied(&gt;=3)"/>
    <x v="0"/>
    <n v="9"/>
    <s v="Y"/>
    <x v="1"/>
    <n v="16"/>
    <x v="0"/>
    <n v="6"/>
    <n v="3"/>
    <s v="Good(&gt;=3)"/>
    <n v="3"/>
    <s v="Short(&lt;=4)"/>
    <n v="2"/>
    <x v="0"/>
    <n v="1"/>
    <s v="Reasonable(&lt;=3)"/>
  </r>
  <r>
    <x v="10"/>
    <s v="Middle_Age(30-50)"/>
    <x v="1"/>
    <s v="Rarely"/>
    <s v="Research &amp; Development"/>
    <n v="9"/>
    <s v="Middistance(6-14)"/>
    <n v="3"/>
    <s v="Satisfied(&gt;=3)"/>
    <x v="1"/>
    <n v="2"/>
    <s v="Low"/>
    <n v="2"/>
    <x v="0"/>
    <x v="4"/>
    <n v="2"/>
    <s v="Not_Satisfied(&lt;=2)"/>
    <x v="0"/>
    <n v="9"/>
    <s v="Y"/>
    <x v="1"/>
    <n v="19"/>
    <x v="0"/>
    <n v="10"/>
    <n v="3"/>
    <s v="Good(&gt;=3)"/>
    <n v="1"/>
    <s v="Short(&lt;=4)"/>
    <n v="1"/>
    <x v="0"/>
    <n v="0"/>
    <s v="Reasonable(&lt;=3)"/>
  </r>
  <r>
    <x v="4"/>
    <s v="Young(&lt;=29)"/>
    <x v="1"/>
    <s v="Rarely"/>
    <s v="Research &amp; Development"/>
    <n v="1"/>
    <s v="Nearby(&lt;=5)"/>
    <n v="4"/>
    <s v="Satisfied(&gt;=3)"/>
    <x v="1"/>
    <n v="3"/>
    <s v="Medium"/>
    <n v="1"/>
    <x v="0"/>
    <x v="2"/>
    <n v="2"/>
    <s v="Not_Satisfied(&lt;=2)"/>
    <x v="2"/>
    <n v="1"/>
    <s v="Y"/>
    <x v="1"/>
    <n v="11"/>
    <x v="0"/>
    <n v="5"/>
    <n v="3"/>
    <s v="Good(&gt;=3)"/>
    <n v="5"/>
    <s v="Long(5-10)"/>
    <n v="2"/>
    <x v="0"/>
    <n v="0"/>
    <s v="Reasonable(&lt;=3)"/>
  </r>
  <r>
    <x v="14"/>
    <s v="Young(&lt;=29)"/>
    <x v="1"/>
    <s v="Rarely"/>
    <s v="Sales"/>
    <n v="9"/>
    <s v="Middistance(6-14)"/>
    <n v="2"/>
    <s v="Not_Satisfied(&lt;3)"/>
    <x v="1"/>
    <n v="3"/>
    <s v="Medium"/>
    <n v="2"/>
    <x v="0"/>
    <x v="0"/>
    <n v="4"/>
    <s v="Satisfied(&gt;=3)"/>
    <x v="0"/>
    <n v="1"/>
    <s v="Y"/>
    <x v="1"/>
    <n v="16"/>
    <x v="0"/>
    <n v="7"/>
    <n v="3"/>
    <s v="Good(&gt;=3)"/>
    <n v="7"/>
    <s v="Long(5-10)"/>
    <n v="5"/>
    <x v="1"/>
    <n v="0"/>
    <s v="Reasonable(&lt;=3)"/>
  </r>
  <r>
    <x v="1"/>
    <s v="Middle_Age(30-50)"/>
    <x v="1"/>
    <s v="Rarely"/>
    <s v="Research &amp; Development"/>
    <n v="7"/>
    <s v="Middistance(6-14)"/>
    <n v="2"/>
    <s v="Not_Satisfied(&lt;3)"/>
    <x v="1"/>
    <n v="2"/>
    <s v="Low"/>
    <n v="3"/>
    <x v="1"/>
    <x v="4"/>
    <n v="3"/>
    <s v="Satisfied(&gt;=3)"/>
    <x v="0"/>
    <n v="8"/>
    <s v="Y"/>
    <x v="1"/>
    <n v="24"/>
    <x v="1"/>
    <n v="26"/>
    <n v="3"/>
    <s v="Good(&gt;=3)"/>
    <n v="5"/>
    <s v="Long(5-10)"/>
    <n v="2"/>
    <x v="0"/>
    <n v="0"/>
    <s v="Reasonable(&lt;=3)"/>
  </r>
  <r>
    <x v="31"/>
    <s v="Old(&gt;50)"/>
    <x v="1"/>
    <s v="Rarely"/>
    <s v="Sales"/>
    <n v="14"/>
    <s v="Middistance(6-14)"/>
    <n v="3"/>
    <s v="Satisfied(&gt;=3)"/>
    <x v="0"/>
    <n v="3"/>
    <s v="Medium"/>
    <n v="2"/>
    <x v="0"/>
    <x v="0"/>
    <n v="4"/>
    <s v="Satisfied(&gt;=3)"/>
    <x v="1"/>
    <n v="4"/>
    <s v="Y"/>
    <x v="1"/>
    <n v="11"/>
    <x v="0"/>
    <n v="18"/>
    <n v="2"/>
    <s v="Poor(&lt;=2)"/>
    <n v="7"/>
    <s v="Long(5-10)"/>
    <n v="7"/>
    <x v="1"/>
    <n v="0"/>
    <s v="Reasonable(&lt;=3)"/>
  </r>
  <r>
    <x v="9"/>
    <s v="Middle_Age(30-50)"/>
    <x v="1"/>
    <s v="Rarely"/>
    <s v="Research &amp; Development"/>
    <n v="2"/>
    <s v="Nearby(&lt;=5)"/>
    <n v="4"/>
    <s v="Satisfied(&gt;=3)"/>
    <x v="0"/>
    <n v="3"/>
    <s v="Medium"/>
    <n v="1"/>
    <x v="0"/>
    <x v="1"/>
    <n v="3"/>
    <s v="Satisfied(&gt;=3)"/>
    <x v="1"/>
    <n v="4"/>
    <s v="Y"/>
    <x v="1"/>
    <n v="13"/>
    <x v="0"/>
    <n v="6"/>
    <n v="3"/>
    <s v="Good(&gt;=3)"/>
    <n v="2"/>
    <s v="Short(&lt;=4)"/>
    <n v="2"/>
    <x v="0"/>
    <n v="2"/>
    <s v="Reasonable(&lt;=3)"/>
  </r>
  <r>
    <x v="13"/>
    <s v="Middle_Age(30-50)"/>
    <x v="0"/>
    <s v="Rarely"/>
    <s v="Sales"/>
    <n v="19"/>
    <s v="Far(&gt;=15)"/>
    <n v="1"/>
    <s v="Not_Satisfied(&lt;3)"/>
    <x v="1"/>
    <n v="4"/>
    <s v="High"/>
    <n v="2"/>
    <x v="0"/>
    <x v="0"/>
    <n v="4"/>
    <s v="Satisfied(&gt;=3)"/>
    <x v="0"/>
    <n v="8"/>
    <s v="Y"/>
    <x v="0"/>
    <n v="13"/>
    <x v="0"/>
    <n v="9"/>
    <n v="2"/>
    <s v="Poor(&lt;=2)"/>
    <n v="5"/>
    <s v="Long(5-10)"/>
    <n v="2"/>
    <x v="0"/>
    <n v="0"/>
    <s v="Reasonable(&lt;=3)"/>
  </r>
  <r>
    <x v="27"/>
    <s v="Old(&gt;50)"/>
    <x v="1"/>
    <s v="Rarely"/>
    <s v="Research &amp; Development"/>
    <n v="2"/>
    <s v="Nearby(&lt;=5)"/>
    <n v="3"/>
    <s v="Satisfied(&gt;=3)"/>
    <x v="0"/>
    <n v="3"/>
    <s v="Medium"/>
    <n v="4"/>
    <x v="2"/>
    <x v="5"/>
    <n v="4"/>
    <s v="Satisfied(&gt;=3)"/>
    <x v="0"/>
    <n v="2"/>
    <s v="Y"/>
    <x v="0"/>
    <n v="13"/>
    <x v="0"/>
    <n v="30"/>
    <n v="3"/>
    <s v="Good(&gt;=3)"/>
    <n v="5"/>
    <s v="Long(5-10)"/>
    <n v="4"/>
    <x v="0"/>
    <n v="1"/>
    <s v="Reasonable(&lt;=3)"/>
  </r>
  <r>
    <x v="17"/>
    <s v="Young(&lt;=29)"/>
    <x v="1"/>
    <s v="Rarely"/>
    <s v="Sales"/>
    <n v="10"/>
    <s v="Middistance(6-14)"/>
    <n v="4"/>
    <s v="Satisfied(&gt;=3)"/>
    <x v="0"/>
    <n v="3"/>
    <s v="Medium"/>
    <n v="2"/>
    <x v="0"/>
    <x v="0"/>
    <n v="3"/>
    <s v="Satisfied(&gt;=3)"/>
    <x v="2"/>
    <n v="1"/>
    <s v="Y"/>
    <x v="0"/>
    <n v="12"/>
    <x v="0"/>
    <n v="5"/>
    <n v="4"/>
    <s v="Good(&gt;=3)"/>
    <n v="5"/>
    <s v="Long(5-10)"/>
    <n v="2"/>
    <x v="0"/>
    <n v="0"/>
    <s v="Reasonable(&lt;=3)"/>
  </r>
  <r>
    <x v="7"/>
    <s v="Middle_Age(30-50)"/>
    <x v="1"/>
    <s v="Rarely"/>
    <s v="Sales"/>
    <n v="2"/>
    <s v="Nearby(&lt;=5)"/>
    <n v="3"/>
    <s v="Satisfied(&gt;=3)"/>
    <x v="1"/>
    <n v="3"/>
    <s v="Medium"/>
    <n v="1"/>
    <x v="0"/>
    <x v="6"/>
    <n v="2"/>
    <s v="Not_Satisfied(&lt;=2)"/>
    <x v="1"/>
    <n v="1"/>
    <s v="Y"/>
    <x v="1"/>
    <n v="18"/>
    <x v="0"/>
    <n v="1"/>
    <n v="3"/>
    <s v="Good(&gt;=3)"/>
    <n v="1"/>
    <s v="Short(&lt;=4)"/>
    <n v="0"/>
    <x v="0"/>
    <n v="0"/>
    <s v="Reasonable(&lt;=3)"/>
  </r>
  <r>
    <x v="25"/>
    <s v="Young(&lt;=29)"/>
    <x v="0"/>
    <s v="Frequently"/>
    <s v="Research &amp; Development"/>
    <n v="3"/>
    <s v="Nearby(&lt;=5)"/>
    <n v="3"/>
    <s v="Satisfied(&gt;=3)"/>
    <x v="1"/>
    <n v="3"/>
    <s v="Medium"/>
    <n v="1"/>
    <x v="0"/>
    <x v="1"/>
    <n v="1"/>
    <s v="Not_Satisfied(&lt;=2)"/>
    <x v="0"/>
    <n v="0"/>
    <s v="Y"/>
    <x v="1"/>
    <n v="22"/>
    <x v="1"/>
    <n v="7"/>
    <n v="3"/>
    <s v="Good(&gt;=3)"/>
    <n v="6"/>
    <s v="Long(5-10)"/>
    <n v="4"/>
    <x v="0"/>
    <n v="0"/>
    <s v="Reasonable(&lt;=3)"/>
  </r>
  <r>
    <x v="15"/>
    <s v="Young(&lt;=29)"/>
    <x v="1"/>
    <s v="Rarely"/>
    <s v="Research &amp; Development"/>
    <n v="11"/>
    <s v="Middistance(6-14)"/>
    <n v="1"/>
    <s v="Not_Satisfied(&lt;3)"/>
    <x v="0"/>
    <n v="3"/>
    <s v="Medium"/>
    <n v="1"/>
    <x v="0"/>
    <x v="1"/>
    <n v="2"/>
    <s v="Not_Satisfied(&lt;=2)"/>
    <x v="1"/>
    <n v="1"/>
    <s v="Y"/>
    <x v="1"/>
    <n v="13"/>
    <x v="0"/>
    <n v="2"/>
    <n v="3"/>
    <s v="Good(&gt;=3)"/>
    <n v="2"/>
    <s v="Short(&lt;=4)"/>
    <n v="1"/>
    <x v="0"/>
    <n v="1"/>
    <s v="Reasonable(&lt;=3)"/>
  </r>
  <r>
    <x v="9"/>
    <s v="Middle_Age(30-50)"/>
    <x v="1"/>
    <s v="Rarely"/>
    <s v="Sales"/>
    <n v="2"/>
    <s v="Nearby(&lt;=5)"/>
    <n v="2"/>
    <s v="Not_Satisfied(&lt;3)"/>
    <x v="1"/>
    <n v="2"/>
    <s v="Low"/>
    <n v="3"/>
    <x v="1"/>
    <x v="0"/>
    <n v="3"/>
    <s v="Satisfied(&gt;=3)"/>
    <x v="1"/>
    <n v="1"/>
    <s v="Y"/>
    <x v="1"/>
    <n v="13"/>
    <x v="0"/>
    <n v="10"/>
    <n v="3"/>
    <s v="Good(&gt;=3)"/>
    <n v="10"/>
    <s v="Long(5-10)"/>
    <n v="9"/>
    <x v="1"/>
    <n v="9"/>
    <s v="Not_Reasonable(&gt;3)"/>
  </r>
  <r>
    <x v="7"/>
    <s v="Middle_Age(30-50)"/>
    <x v="0"/>
    <s v="Frequently"/>
    <s v="Research &amp; Development"/>
    <n v="4"/>
    <s v="Nearby(&lt;=5)"/>
    <n v="3"/>
    <s v="Satisfied(&gt;=3)"/>
    <x v="1"/>
    <n v="3"/>
    <s v="Medium"/>
    <n v="1"/>
    <x v="0"/>
    <x v="1"/>
    <n v="4"/>
    <s v="Satisfied(&gt;=3)"/>
    <x v="0"/>
    <n v="9"/>
    <s v="Y"/>
    <x v="0"/>
    <n v="23"/>
    <x v="1"/>
    <n v="3"/>
    <n v="3"/>
    <s v="Good(&gt;=3)"/>
    <n v="1"/>
    <s v="Short(&lt;=4)"/>
    <n v="0"/>
    <x v="0"/>
    <n v="0"/>
    <s v="Reasonable(&lt;=3)"/>
  </r>
  <r>
    <x v="2"/>
    <s v="Middle_Age(30-50)"/>
    <x v="1"/>
    <s v="Rarely"/>
    <s v="Research &amp; Development"/>
    <n v="14"/>
    <s v="Middistance(6-14)"/>
    <n v="4"/>
    <s v="Satisfied(&gt;=3)"/>
    <x v="0"/>
    <n v="3"/>
    <s v="Medium"/>
    <n v="1"/>
    <x v="0"/>
    <x v="2"/>
    <n v="1"/>
    <s v="Not_Satisfied(&lt;=2)"/>
    <x v="2"/>
    <n v="1"/>
    <s v="Y"/>
    <x v="1"/>
    <n v="12"/>
    <x v="0"/>
    <n v="18"/>
    <n v="2"/>
    <s v="Poor(&lt;=2)"/>
    <n v="18"/>
    <s v="Ultra_Long(&gt;10)"/>
    <n v="7"/>
    <x v="1"/>
    <n v="12"/>
    <s v="Not_Reasonable(&gt;3)"/>
  </r>
  <r>
    <x v="32"/>
    <s v="Middle_Age(30-50)"/>
    <x v="1"/>
    <s v="Rarely"/>
    <s v="Sales"/>
    <n v="2"/>
    <s v="Nearby(&lt;=5)"/>
    <n v="4"/>
    <s v="Satisfied(&gt;=3)"/>
    <x v="0"/>
    <n v="3"/>
    <s v="Medium"/>
    <n v="2"/>
    <x v="0"/>
    <x v="0"/>
    <n v="2"/>
    <s v="Not_Satisfied(&lt;=2)"/>
    <x v="2"/>
    <n v="7"/>
    <s v="Y"/>
    <x v="1"/>
    <n v="12"/>
    <x v="0"/>
    <n v="8"/>
    <n v="3"/>
    <s v="Good(&gt;=3)"/>
    <n v="5"/>
    <s v="Long(5-10)"/>
    <n v="4"/>
    <x v="0"/>
    <n v="1"/>
    <s v="Reasonable(&lt;=3)"/>
  </r>
  <r>
    <x v="19"/>
    <s v="Middle_Age(30-50)"/>
    <x v="1"/>
    <s v="Rarely"/>
    <s v="Research &amp; Development"/>
    <n v="1"/>
    <s v="Nearby(&lt;=5)"/>
    <n v="2"/>
    <s v="Not_Satisfied(&lt;3)"/>
    <x v="0"/>
    <n v="3"/>
    <s v="Medium"/>
    <n v="1"/>
    <x v="0"/>
    <x v="2"/>
    <n v="1"/>
    <s v="Not_Satisfied(&lt;=2)"/>
    <x v="2"/>
    <n v="3"/>
    <s v="Y"/>
    <x v="1"/>
    <n v="16"/>
    <x v="0"/>
    <n v="8"/>
    <n v="3"/>
    <s v="Good(&gt;=3)"/>
    <n v="5"/>
    <s v="Long(5-10)"/>
    <n v="2"/>
    <x v="0"/>
    <n v="1"/>
    <s v="Reasonable(&lt;=3)"/>
  </r>
  <r>
    <x v="2"/>
    <s v="Middle_Age(30-50)"/>
    <x v="1"/>
    <s v="Rarely"/>
    <s v="Research &amp; Development"/>
    <n v="10"/>
    <s v="Middistance(6-14)"/>
    <n v="3"/>
    <s v="Satisfied(&gt;=3)"/>
    <x v="1"/>
    <n v="3"/>
    <s v="Medium"/>
    <n v="2"/>
    <x v="0"/>
    <x v="3"/>
    <n v="2"/>
    <s v="Not_Satisfied(&lt;=2)"/>
    <x v="0"/>
    <n v="2"/>
    <s v="Y"/>
    <x v="0"/>
    <n v="12"/>
    <x v="0"/>
    <n v="18"/>
    <n v="2"/>
    <s v="Poor(&lt;=2)"/>
    <n v="1"/>
    <s v="Short(&lt;=4)"/>
    <n v="0"/>
    <x v="0"/>
    <n v="0"/>
    <s v="Reasonable(&lt;=3)"/>
  </r>
  <r>
    <x v="23"/>
    <s v="Middle_Age(30-50)"/>
    <x v="1"/>
    <s v="Rarely"/>
    <s v="Research &amp; Development"/>
    <n v="12"/>
    <s v="Middistance(6-14)"/>
    <n v="1"/>
    <s v="Not_Satisfied(&lt;3)"/>
    <x v="1"/>
    <n v="2"/>
    <s v="Low"/>
    <n v="4"/>
    <x v="2"/>
    <x v="7"/>
    <n v="2"/>
    <s v="Not_Satisfied(&lt;=2)"/>
    <x v="2"/>
    <n v="1"/>
    <s v="Y"/>
    <x v="1"/>
    <n v="11"/>
    <x v="0"/>
    <n v="25"/>
    <n v="3"/>
    <s v="Good(&gt;=3)"/>
    <n v="25"/>
    <s v="Ultra_Long(&gt;10)"/>
    <n v="10"/>
    <x v="1"/>
    <n v="3"/>
    <s v="Reasonable(&lt;=3)"/>
  </r>
  <r>
    <x v="32"/>
    <s v="Middle_Age(30-50)"/>
    <x v="1"/>
    <s v="Rarely"/>
    <s v="Research &amp; Development"/>
    <n v="2"/>
    <s v="Nearby(&lt;=5)"/>
    <n v="2"/>
    <s v="Not_Satisfied(&lt;3)"/>
    <x v="0"/>
    <n v="2"/>
    <s v="Low"/>
    <n v="2"/>
    <x v="0"/>
    <x v="2"/>
    <n v="3"/>
    <s v="Satisfied(&gt;=3)"/>
    <x v="1"/>
    <n v="6"/>
    <s v="Y"/>
    <x v="1"/>
    <n v="22"/>
    <x v="1"/>
    <n v="20"/>
    <n v="3"/>
    <s v="Good(&gt;=3)"/>
    <n v="1"/>
    <s v="Short(&lt;=4)"/>
    <n v="0"/>
    <x v="0"/>
    <n v="0"/>
    <s v="Reasonable(&lt;=3)"/>
  </r>
  <r>
    <x v="33"/>
    <s v="Old(&gt;50)"/>
    <x v="1"/>
    <s v="Rarely"/>
    <s v="Research &amp; Development"/>
    <n v="5"/>
    <s v="Nearby(&lt;=5)"/>
    <n v="1"/>
    <s v="Not_Satisfied(&lt;3)"/>
    <x v="1"/>
    <n v="3"/>
    <s v="Medium"/>
    <n v="5"/>
    <x v="2"/>
    <x v="7"/>
    <n v="1"/>
    <s v="Not_Satisfied(&lt;=2)"/>
    <x v="1"/>
    <n v="4"/>
    <s v="Y"/>
    <x v="1"/>
    <n v="11"/>
    <x v="0"/>
    <n v="24"/>
    <n v="2"/>
    <s v="Poor(&lt;=2)"/>
    <n v="4"/>
    <s v="Short(&lt;=4)"/>
    <n v="2"/>
    <x v="0"/>
    <n v="1"/>
    <s v="Reasonable(&lt;=3)"/>
  </r>
  <r>
    <x v="13"/>
    <s v="Middle_Age(30-50)"/>
    <x v="1"/>
    <s v="Rarely"/>
    <s v="Sales"/>
    <n v="4"/>
    <s v="Nearby(&lt;=5)"/>
    <n v="3"/>
    <s v="Satisfied(&gt;=3)"/>
    <x v="0"/>
    <n v="3"/>
    <s v="Medium"/>
    <n v="2"/>
    <x v="0"/>
    <x v="0"/>
    <n v="3"/>
    <s v="Satisfied(&gt;=3)"/>
    <x v="1"/>
    <n v="9"/>
    <s v="Y"/>
    <x v="1"/>
    <n v="15"/>
    <x v="0"/>
    <n v="6"/>
    <n v="3"/>
    <s v="Good(&gt;=3)"/>
    <n v="3"/>
    <s v="Short(&lt;=4)"/>
    <n v="2"/>
    <x v="0"/>
    <n v="1"/>
    <s v="Reasonable(&lt;=3)"/>
  </r>
  <r>
    <x v="12"/>
    <s v="Middle_Age(30-50)"/>
    <x v="1"/>
    <s v="Rarely"/>
    <s v="Research &amp; Development"/>
    <n v="7"/>
    <s v="Middistance(6-14)"/>
    <n v="2"/>
    <s v="Not_Satisfied(&lt;3)"/>
    <x v="0"/>
    <n v="3"/>
    <s v="Medium"/>
    <n v="2"/>
    <x v="0"/>
    <x v="3"/>
    <n v="1"/>
    <s v="Not_Satisfied(&lt;=2)"/>
    <x v="1"/>
    <n v="1"/>
    <s v="Y"/>
    <x v="1"/>
    <n v="12"/>
    <x v="0"/>
    <n v="13"/>
    <n v="1"/>
    <s v="Poor(&lt;=2)"/>
    <n v="13"/>
    <s v="Ultra_Long(&gt;10)"/>
    <n v="10"/>
    <x v="1"/>
    <n v="3"/>
    <s v="Reasonable(&lt;=3)"/>
  </r>
  <r>
    <x v="23"/>
    <s v="Middle_Age(30-50)"/>
    <x v="1"/>
    <s v="Frequently"/>
    <s v="Research &amp; Development"/>
    <n v="21"/>
    <s v="Far(&gt;=15)"/>
    <n v="4"/>
    <s v="Satisfied(&gt;=3)"/>
    <x v="1"/>
    <n v="3"/>
    <s v="Medium"/>
    <n v="1"/>
    <x v="0"/>
    <x v="2"/>
    <n v="4"/>
    <s v="Satisfied(&gt;=3)"/>
    <x v="1"/>
    <n v="7"/>
    <s v="Y"/>
    <x v="1"/>
    <n v="20"/>
    <x v="1"/>
    <n v="8"/>
    <n v="3"/>
    <s v="Good(&gt;=3)"/>
    <n v="3"/>
    <s v="Short(&lt;=4)"/>
    <n v="2"/>
    <x v="0"/>
    <n v="1"/>
    <s v="Reasonable(&lt;=3)"/>
  </r>
  <r>
    <x v="23"/>
    <s v="Middle_Age(30-50)"/>
    <x v="1"/>
    <s v="Rarely"/>
    <s v="Research &amp; Development"/>
    <n v="8"/>
    <s v="Middistance(6-14)"/>
    <n v="3"/>
    <s v="Satisfied(&gt;=3)"/>
    <x v="0"/>
    <n v="3"/>
    <s v="Medium"/>
    <n v="2"/>
    <x v="0"/>
    <x v="4"/>
    <n v="3"/>
    <s v="Satisfied(&gt;=3)"/>
    <x v="2"/>
    <n v="4"/>
    <s v="Y"/>
    <x v="0"/>
    <n v="14"/>
    <x v="0"/>
    <n v="8"/>
    <n v="3"/>
    <s v="Good(&gt;=3)"/>
    <n v="5"/>
    <s v="Long(5-10)"/>
    <n v="2"/>
    <x v="0"/>
    <n v="0"/>
    <s v="Reasonable(&lt;=3)"/>
  </r>
  <r>
    <x v="36"/>
    <s v="Young(&lt;=29)"/>
    <x v="1"/>
    <s v="Rarely"/>
    <s v="Sales"/>
    <n v="4"/>
    <s v="Nearby(&lt;=5)"/>
    <n v="2"/>
    <s v="Not_Satisfied(&lt;3)"/>
    <x v="0"/>
    <n v="2"/>
    <s v="Low"/>
    <n v="2"/>
    <x v="0"/>
    <x v="0"/>
    <n v="4"/>
    <s v="Satisfied(&gt;=3)"/>
    <x v="0"/>
    <n v="1"/>
    <s v="Y"/>
    <x v="0"/>
    <n v="11"/>
    <x v="0"/>
    <n v="5"/>
    <n v="3"/>
    <s v="Good(&gt;=3)"/>
    <n v="5"/>
    <s v="Long(5-10)"/>
    <n v="4"/>
    <x v="0"/>
    <n v="1"/>
    <s v="Reasonable(&lt;=3)"/>
  </r>
  <r>
    <x v="2"/>
    <s v="Middle_Age(30-50)"/>
    <x v="1"/>
    <s v="Rarely"/>
    <s v="Research &amp; Development"/>
    <n v="25"/>
    <s v="Far(&gt;=15)"/>
    <n v="2"/>
    <s v="Not_Satisfied(&lt;3)"/>
    <x v="0"/>
    <n v="3"/>
    <s v="Medium"/>
    <n v="2"/>
    <x v="0"/>
    <x v="1"/>
    <n v="3"/>
    <s v="Satisfied(&gt;=3)"/>
    <x v="1"/>
    <n v="3"/>
    <s v="Y"/>
    <x v="0"/>
    <n v="15"/>
    <x v="0"/>
    <n v="15"/>
    <n v="3"/>
    <s v="Good(&gt;=3)"/>
    <n v="13"/>
    <s v="Ultra_Long(&gt;10)"/>
    <n v="11"/>
    <x v="2"/>
    <n v="10"/>
    <s v="Not_Reasonable(&gt;3)"/>
  </r>
  <r>
    <x v="12"/>
    <s v="Middle_Age(30-50)"/>
    <x v="1"/>
    <s v="Rarely"/>
    <s v="Research &amp; Development"/>
    <n v="1"/>
    <s v="Nearby(&lt;=5)"/>
    <n v="4"/>
    <s v="Satisfied(&gt;=3)"/>
    <x v="1"/>
    <n v="2"/>
    <s v="Low"/>
    <n v="1"/>
    <x v="0"/>
    <x v="2"/>
    <n v="1"/>
    <s v="Not_Satisfied(&lt;=2)"/>
    <x v="1"/>
    <n v="1"/>
    <s v="Y"/>
    <x v="1"/>
    <n v="12"/>
    <x v="0"/>
    <n v="4"/>
    <n v="3"/>
    <s v="Good(&gt;=3)"/>
    <n v="4"/>
    <s v="Short(&lt;=4)"/>
    <n v="2"/>
    <x v="0"/>
    <n v="3"/>
    <s v="Reasonable(&lt;=3)"/>
  </r>
  <r>
    <x v="22"/>
    <s v="Middle_Age(30-50)"/>
    <x v="1"/>
    <s v="Frequently"/>
    <s v="Research &amp; Development"/>
    <n v="1"/>
    <s v="Nearby(&lt;=5)"/>
    <n v="2"/>
    <s v="Not_Satisfied(&lt;3)"/>
    <x v="1"/>
    <n v="3"/>
    <s v="Medium"/>
    <n v="5"/>
    <x v="2"/>
    <x v="5"/>
    <n v="3"/>
    <s v="Satisfied(&gt;=3)"/>
    <x v="2"/>
    <n v="1"/>
    <s v="Y"/>
    <x v="0"/>
    <n v="14"/>
    <x v="0"/>
    <n v="21"/>
    <n v="3"/>
    <s v="Good(&gt;=3)"/>
    <n v="21"/>
    <s v="Ultra_Long(&gt;10)"/>
    <n v="8"/>
    <x v="1"/>
    <n v="1"/>
    <s v="Reasonable(&lt;=3)"/>
  </r>
  <r>
    <x v="29"/>
    <s v="Old(&gt;50)"/>
    <x v="1"/>
    <s v="Frequently"/>
    <s v="Sales"/>
    <n v="6"/>
    <s v="Middistance(6-14)"/>
    <n v="3"/>
    <s v="Satisfied(&gt;=3)"/>
    <x v="0"/>
    <n v="4"/>
    <s v="High"/>
    <n v="4"/>
    <x v="2"/>
    <x v="0"/>
    <n v="1"/>
    <s v="Not_Satisfied(&lt;=2)"/>
    <x v="1"/>
    <n v="9"/>
    <s v="Y"/>
    <x v="1"/>
    <n v="11"/>
    <x v="0"/>
    <n v="36"/>
    <n v="2"/>
    <s v="Poor(&lt;=2)"/>
    <n v="7"/>
    <s v="Long(5-10)"/>
    <n v="7"/>
    <x v="1"/>
    <n v="7"/>
    <s v="Not_Reasonable(&gt;3)"/>
  </r>
  <r>
    <x v="7"/>
    <s v="Middle_Age(30-50)"/>
    <x v="1"/>
    <s v="Rarely"/>
    <s v="Sales"/>
    <n v="12"/>
    <s v="Middistance(6-14)"/>
    <n v="2"/>
    <s v="Not_Satisfied(&lt;3)"/>
    <x v="0"/>
    <n v="3"/>
    <s v="Medium"/>
    <n v="2"/>
    <x v="0"/>
    <x v="0"/>
    <n v="3"/>
    <s v="Satisfied(&gt;=3)"/>
    <x v="0"/>
    <n v="0"/>
    <s v="Y"/>
    <x v="1"/>
    <n v="11"/>
    <x v="0"/>
    <n v="6"/>
    <n v="3"/>
    <s v="Good(&gt;=3)"/>
    <n v="5"/>
    <s v="Long(5-10)"/>
    <n v="4"/>
    <x v="0"/>
    <n v="4"/>
    <s v="Not_Reasonable(&gt;3)"/>
  </r>
  <r>
    <x v="0"/>
    <s v="Middle_Age(30-50)"/>
    <x v="1"/>
    <s v="Rarely"/>
    <s v="Sales"/>
    <n v="1"/>
    <s v="Nearby(&lt;=5)"/>
    <n v="2"/>
    <s v="Not_Satisfied(&lt;3)"/>
    <x v="1"/>
    <n v="4"/>
    <s v="High"/>
    <n v="3"/>
    <x v="1"/>
    <x v="0"/>
    <n v="1"/>
    <s v="Not_Satisfied(&lt;=2)"/>
    <x v="1"/>
    <n v="1"/>
    <s v="Y"/>
    <x v="1"/>
    <n v="16"/>
    <x v="0"/>
    <n v="10"/>
    <n v="3"/>
    <s v="Good(&gt;=3)"/>
    <n v="10"/>
    <s v="Long(5-10)"/>
    <n v="7"/>
    <x v="1"/>
    <n v="0"/>
    <s v="Reasonable(&lt;=3)"/>
  </r>
  <r>
    <x v="14"/>
    <s v="Young(&lt;=29)"/>
    <x v="1"/>
    <s v="Rarely"/>
    <s v="Research &amp; Development"/>
    <n v="17"/>
    <s v="Far(&gt;=15)"/>
    <n v="3"/>
    <s v="Satisfied(&gt;=3)"/>
    <x v="1"/>
    <n v="3"/>
    <s v="Medium"/>
    <n v="2"/>
    <x v="0"/>
    <x v="2"/>
    <n v="1"/>
    <s v="Not_Satisfied(&lt;=2)"/>
    <x v="2"/>
    <n v="1"/>
    <s v="Y"/>
    <x v="1"/>
    <n v="12"/>
    <x v="0"/>
    <n v="10"/>
    <n v="3"/>
    <s v="Good(&gt;=3)"/>
    <n v="10"/>
    <s v="Long(5-10)"/>
    <n v="0"/>
    <x v="0"/>
    <n v="1"/>
    <s v="Reasonable(&lt;=3)"/>
  </r>
  <r>
    <x v="36"/>
    <s v="Young(&lt;=29)"/>
    <x v="0"/>
    <s v="Rarely"/>
    <s v="Research &amp; Development"/>
    <n v="3"/>
    <s v="Nearby(&lt;=5)"/>
    <n v="1"/>
    <s v="Not_Satisfied(&lt;3)"/>
    <x v="1"/>
    <n v="3"/>
    <s v="Medium"/>
    <n v="1"/>
    <x v="0"/>
    <x v="2"/>
    <n v="1"/>
    <s v="Not_Satisfied(&lt;=2)"/>
    <x v="1"/>
    <n v="5"/>
    <s v="Y"/>
    <x v="1"/>
    <n v="13"/>
    <x v="0"/>
    <n v="6"/>
    <n v="3"/>
    <s v="Good(&gt;=3)"/>
    <n v="2"/>
    <s v="Short(&lt;=4)"/>
    <n v="2"/>
    <x v="0"/>
    <n v="0"/>
    <s v="Reasonable(&lt;=3)"/>
  </r>
  <r>
    <x v="39"/>
    <s v="Old(&gt;50)"/>
    <x v="1"/>
    <s v="Rarely"/>
    <s v="Research &amp; Development"/>
    <n v="3"/>
    <s v="Nearby(&lt;=5)"/>
    <n v="4"/>
    <s v="Satisfied(&gt;=3)"/>
    <x v="1"/>
    <n v="2"/>
    <s v="Low"/>
    <n v="3"/>
    <x v="1"/>
    <x v="3"/>
    <n v="3"/>
    <s v="Satisfied(&gt;=3)"/>
    <x v="1"/>
    <n v="2"/>
    <s v="Y"/>
    <x v="0"/>
    <n v="14"/>
    <x v="0"/>
    <n v="28"/>
    <n v="3"/>
    <s v="Good(&gt;=3)"/>
    <n v="5"/>
    <s v="Long(5-10)"/>
    <n v="4"/>
    <x v="0"/>
    <n v="0"/>
    <s v="Reasonable(&lt;=3)"/>
  </r>
  <r>
    <x v="28"/>
    <s v="Middle_Age(30-50)"/>
    <x v="1"/>
    <s v="Rarely"/>
    <s v="Research &amp; Development"/>
    <n v="10"/>
    <s v="Middistance(6-14)"/>
    <n v="1"/>
    <s v="Not_Satisfied(&lt;3)"/>
    <x v="1"/>
    <n v="3"/>
    <s v="Medium"/>
    <n v="1"/>
    <x v="0"/>
    <x v="1"/>
    <n v="4"/>
    <s v="Satisfied(&gt;=3)"/>
    <x v="1"/>
    <n v="3"/>
    <s v="Y"/>
    <x v="1"/>
    <n v="21"/>
    <x v="1"/>
    <n v="8"/>
    <n v="2"/>
    <s v="Poor(&lt;=2)"/>
    <n v="2"/>
    <s v="Short(&lt;=4)"/>
    <n v="2"/>
    <x v="0"/>
    <n v="0"/>
    <s v="Reasonable(&lt;=3)"/>
  </r>
  <r>
    <x v="39"/>
    <s v="Old(&gt;50)"/>
    <x v="1"/>
    <s v="Rarely"/>
    <s v="Research &amp; Development"/>
    <n v="4"/>
    <s v="Nearby(&lt;=5)"/>
    <n v="4"/>
    <s v="Satisfied(&gt;=3)"/>
    <x v="0"/>
    <n v="3"/>
    <s v="Medium"/>
    <n v="4"/>
    <x v="2"/>
    <x v="5"/>
    <n v="4"/>
    <s v="Satisfied(&gt;=3)"/>
    <x v="1"/>
    <n v="2"/>
    <s v="Y"/>
    <x v="1"/>
    <n v="13"/>
    <x v="0"/>
    <n v="31"/>
    <n v="1"/>
    <s v="Poor(&lt;=2)"/>
    <n v="5"/>
    <s v="Long(5-10)"/>
    <n v="2"/>
    <x v="0"/>
    <n v="1"/>
    <s v="Reasonable(&lt;=3)"/>
  </r>
  <r>
    <x v="19"/>
    <s v="Middle_Age(30-50)"/>
    <x v="1"/>
    <s v="Frequently"/>
    <s v="Research &amp; Development"/>
    <n v="29"/>
    <s v="Far(&gt;=15)"/>
    <n v="1"/>
    <s v="Not_Satisfied(&lt;3)"/>
    <x v="0"/>
    <n v="3"/>
    <s v="Medium"/>
    <n v="2"/>
    <x v="0"/>
    <x v="1"/>
    <n v="3"/>
    <s v="Satisfied(&gt;=3)"/>
    <x v="2"/>
    <n v="2"/>
    <s v="Y"/>
    <x v="1"/>
    <n v="11"/>
    <x v="0"/>
    <n v="19"/>
    <n v="3"/>
    <s v="Good(&gt;=3)"/>
    <n v="5"/>
    <s v="Long(5-10)"/>
    <n v="4"/>
    <x v="0"/>
    <n v="0"/>
    <s v="Reasonable(&lt;=3)"/>
  </r>
  <r>
    <x v="7"/>
    <s v="Middle_Age(30-50)"/>
    <x v="1"/>
    <s v="Rarely"/>
    <s v="Research &amp; Development"/>
    <n v="2"/>
    <s v="Nearby(&lt;=5)"/>
    <n v="3"/>
    <s v="Satisfied(&gt;=3)"/>
    <x v="0"/>
    <n v="1"/>
    <s v="Low"/>
    <n v="2"/>
    <x v="0"/>
    <x v="3"/>
    <n v="4"/>
    <s v="Satisfied(&gt;=3)"/>
    <x v="0"/>
    <n v="2"/>
    <s v="Y"/>
    <x v="1"/>
    <n v="20"/>
    <x v="1"/>
    <n v="11"/>
    <n v="3"/>
    <s v="Good(&gt;=3)"/>
    <n v="5"/>
    <s v="Long(5-10)"/>
    <n v="4"/>
    <x v="0"/>
    <n v="0"/>
    <s v="Reasonable(&lt;=3)"/>
  </r>
  <r>
    <x v="42"/>
    <s v="Old(&gt;50)"/>
    <x v="1"/>
    <s v="Rarely"/>
    <s v="Research &amp; Development"/>
    <n v="7"/>
    <s v="Middistance(6-14)"/>
    <n v="1"/>
    <s v="Not_Satisfied(&lt;3)"/>
    <x v="0"/>
    <n v="3"/>
    <s v="Medium"/>
    <n v="5"/>
    <x v="2"/>
    <x v="5"/>
    <n v="1"/>
    <s v="Not_Satisfied(&lt;=2)"/>
    <x v="1"/>
    <n v="5"/>
    <s v="Y"/>
    <x v="1"/>
    <n v="11"/>
    <x v="0"/>
    <n v="33"/>
    <n v="1"/>
    <s v="Poor(&lt;=2)"/>
    <n v="29"/>
    <s v="Ultra_Long(&gt;10)"/>
    <n v="8"/>
    <x v="1"/>
    <n v="11"/>
    <s v="Not_Reasonable(&gt;3)"/>
  </r>
  <r>
    <x v="21"/>
    <s v="Middle_Age(30-50)"/>
    <x v="1"/>
    <s v="Rarely"/>
    <s v="Research &amp; Development"/>
    <n v="18"/>
    <s v="Far(&gt;=15)"/>
    <n v="3"/>
    <s v="Satisfied(&gt;=3)"/>
    <x v="0"/>
    <n v="3"/>
    <s v="Medium"/>
    <n v="2"/>
    <x v="0"/>
    <x v="3"/>
    <n v="3"/>
    <s v="Satisfied(&gt;=3)"/>
    <x v="2"/>
    <n v="2"/>
    <s v="Y"/>
    <x v="1"/>
    <n v="14"/>
    <x v="0"/>
    <n v="19"/>
    <n v="2"/>
    <s v="Poor(&lt;=2)"/>
    <n v="10"/>
    <s v="Long(5-10)"/>
    <n v="7"/>
    <x v="1"/>
    <n v="0"/>
    <s v="Reasonable(&lt;=3)"/>
  </r>
  <r>
    <x v="19"/>
    <s v="Middle_Age(30-50)"/>
    <x v="1"/>
    <s v="Frequently"/>
    <s v="Research &amp; Development"/>
    <n v="28"/>
    <s v="Far(&gt;=15)"/>
    <n v="4"/>
    <s v="Satisfied(&gt;=3)"/>
    <x v="0"/>
    <n v="2"/>
    <s v="Low"/>
    <n v="2"/>
    <x v="0"/>
    <x v="4"/>
    <n v="4"/>
    <s v="Satisfied(&gt;=3)"/>
    <x v="1"/>
    <n v="0"/>
    <s v="Y"/>
    <x v="1"/>
    <n v="11"/>
    <x v="0"/>
    <n v="7"/>
    <n v="4"/>
    <s v="Good(&gt;=3)"/>
    <n v="6"/>
    <s v="Long(5-10)"/>
    <n v="5"/>
    <x v="1"/>
    <n v="0"/>
    <s v="Reasonable(&lt;=3)"/>
  </r>
  <r>
    <x v="17"/>
    <s v="Young(&lt;=29)"/>
    <x v="0"/>
    <s v="Rarely"/>
    <s v="Sales"/>
    <n v="1"/>
    <s v="Nearby(&lt;=5)"/>
    <n v="1"/>
    <s v="Not_Satisfied(&lt;3)"/>
    <x v="0"/>
    <n v="3"/>
    <s v="Medium"/>
    <n v="1"/>
    <x v="0"/>
    <x v="6"/>
    <n v="2"/>
    <s v="Not_Satisfied(&lt;=2)"/>
    <x v="0"/>
    <n v="1"/>
    <s v="Y"/>
    <x v="0"/>
    <n v="16"/>
    <x v="0"/>
    <n v="6"/>
    <n v="3"/>
    <s v="Good(&gt;=3)"/>
    <n v="5"/>
    <s v="Long(5-10)"/>
    <n v="3"/>
    <x v="0"/>
    <n v="1"/>
    <s v="Reasonable(&lt;=3)"/>
  </r>
  <r>
    <x v="13"/>
    <s v="Middle_Age(30-50)"/>
    <x v="0"/>
    <s v="Frequently"/>
    <s v="Sales"/>
    <n v="6"/>
    <s v="Middistance(6-14)"/>
    <n v="4"/>
    <s v="Satisfied(&gt;=3)"/>
    <x v="0"/>
    <n v="1"/>
    <s v="Low"/>
    <n v="1"/>
    <x v="0"/>
    <x v="6"/>
    <n v="3"/>
    <s v="Satisfied(&gt;=3)"/>
    <x v="2"/>
    <n v="0"/>
    <s v="Y"/>
    <x v="1"/>
    <n v="16"/>
    <x v="0"/>
    <n v="3"/>
    <n v="2"/>
    <s v="Poor(&lt;=2)"/>
    <n v="2"/>
    <s v="Short(&lt;=4)"/>
    <n v="2"/>
    <x v="0"/>
    <n v="1"/>
    <s v="Reasonable(&lt;=3)"/>
  </r>
  <r>
    <x v="8"/>
    <s v="Middle_Age(30-50)"/>
    <x v="1"/>
    <s v="Frequently"/>
    <s v="Research &amp; Development"/>
    <n v="2"/>
    <s v="Nearby(&lt;=5)"/>
    <n v="4"/>
    <s v="Satisfied(&gt;=3)"/>
    <x v="1"/>
    <n v="3"/>
    <s v="Medium"/>
    <n v="1"/>
    <x v="0"/>
    <x v="2"/>
    <n v="4"/>
    <s v="Satisfied(&gt;=3)"/>
    <x v="1"/>
    <n v="1"/>
    <s v="Y"/>
    <x v="0"/>
    <n v="23"/>
    <x v="1"/>
    <n v="1"/>
    <n v="3"/>
    <s v="Good(&gt;=3)"/>
    <n v="1"/>
    <s v="Short(&lt;=4)"/>
    <n v="0"/>
    <x v="0"/>
    <n v="0"/>
    <s v="Reasonable(&lt;=3)"/>
  </r>
  <r>
    <x v="32"/>
    <s v="Middle_Age(30-50)"/>
    <x v="1"/>
    <s v="Rarely"/>
    <s v="Sales"/>
    <n v="2"/>
    <s v="Nearby(&lt;=5)"/>
    <n v="3"/>
    <s v="Satisfied(&gt;=3)"/>
    <x v="0"/>
    <n v="3"/>
    <s v="Medium"/>
    <n v="5"/>
    <x v="2"/>
    <x v="5"/>
    <n v="3"/>
    <s v="Satisfied(&gt;=3)"/>
    <x v="1"/>
    <n v="0"/>
    <s v="Y"/>
    <x v="1"/>
    <n v="14"/>
    <x v="0"/>
    <n v="21"/>
    <n v="3"/>
    <s v="Good(&gt;=3)"/>
    <n v="20"/>
    <s v="Ultra_Long(&gt;10)"/>
    <n v="15"/>
    <x v="2"/>
    <n v="1"/>
    <s v="Reasonable(&lt;=3)"/>
  </r>
  <r>
    <x v="25"/>
    <s v="Young(&lt;=29)"/>
    <x v="1"/>
    <s v="Rarely"/>
    <s v="Research &amp; Development"/>
    <n v="23"/>
    <s v="Far(&gt;=15)"/>
    <n v="1"/>
    <s v="Not_Satisfied(&lt;3)"/>
    <x v="0"/>
    <n v="3"/>
    <s v="Medium"/>
    <n v="1"/>
    <x v="0"/>
    <x v="1"/>
    <n v="4"/>
    <s v="Satisfied(&gt;=3)"/>
    <x v="2"/>
    <n v="1"/>
    <s v="Y"/>
    <x v="1"/>
    <n v="22"/>
    <x v="1"/>
    <n v="3"/>
    <n v="1"/>
    <s v="Poor(&lt;=2)"/>
    <n v="3"/>
    <s v="Short(&lt;=4)"/>
    <n v="2"/>
    <x v="0"/>
    <n v="0"/>
    <s v="Reasonable(&lt;=3)"/>
  </r>
  <r>
    <x v="7"/>
    <s v="Middle_Age(30-50)"/>
    <x v="1"/>
    <s v="Rarely"/>
    <s v="Research &amp; Development"/>
    <n v="3"/>
    <s v="Nearby(&lt;=5)"/>
    <n v="3"/>
    <s v="Satisfied(&gt;=3)"/>
    <x v="1"/>
    <n v="3"/>
    <s v="Medium"/>
    <n v="1"/>
    <x v="0"/>
    <x v="2"/>
    <n v="4"/>
    <s v="Satisfied(&gt;=3)"/>
    <x v="1"/>
    <n v="4"/>
    <s v="Y"/>
    <x v="1"/>
    <n v="15"/>
    <x v="0"/>
    <n v="9"/>
    <n v="1"/>
    <s v="Poor(&lt;=2)"/>
    <n v="5"/>
    <s v="Long(5-10)"/>
    <n v="3"/>
    <x v="0"/>
    <n v="1"/>
    <s v="Reasonable(&lt;=3)"/>
  </r>
  <r>
    <x v="11"/>
    <s v="Young(&lt;=29)"/>
    <x v="1"/>
    <s v="Rarely"/>
    <s v="Research &amp; Development"/>
    <n v="3"/>
    <s v="Nearby(&lt;=5)"/>
    <n v="2"/>
    <s v="Not_Satisfied(&lt;3)"/>
    <x v="1"/>
    <n v="2"/>
    <s v="Low"/>
    <n v="3"/>
    <x v="1"/>
    <x v="7"/>
    <n v="3"/>
    <s v="Satisfied(&gt;=3)"/>
    <x v="1"/>
    <n v="1"/>
    <s v="Y"/>
    <x v="1"/>
    <n v="18"/>
    <x v="0"/>
    <n v="10"/>
    <n v="3"/>
    <s v="Good(&gt;=3)"/>
    <n v="10"/>
    <s v="Long(5-10)"/>
    <n v="2"/>
    <x v="0"/>
    <n v="0"/>
    <s v="Reasonable(&lt;=3)"/>
  </r>
  <r>
    <x v="11"/>
    <s v="Young(&lt;=29)"/>
    <x v="0"/>
    <s v="Rarely"/>
    <s v="Research &amp; Development"/>
    <n v="25"/>
    <s v="Far(&gt;=15)"/>
    <n v="3"/>
    <s v="Satisfied(&gt;=3)"/>
    <x v="0"/>
    <n v="2"/>
    <s v="Low"/>
    <n v="1"/>
    <x v="0"/>
    <x v="1"/>
    <n v="2"/>
    <s v="Not_Satisfied(&lt;=2)"/>
    <x v="1"/>
    <n v="5"/>
    <s v="Y"/>
    <x v="1"/>
    <n v="16"/>
    <x v="0"/>
    <n v="6"/>
    <n v="4"/>
    <s v="Good(&gt;=3)"/>
    <n v="2"/>
    <s v="Short(&lt;=4)"/>
    <n v="2"/>
    <x v="0"/>
    <n v="1"/>
    <s v="Reasonable(&lt;=3)"/>
  </r>
  <r>
    <x v="37"/>
    <s v="Young(&lt;=29)"/>
    <x v="0"/>
    <s v="Rarely"/>
    <s v="Human Resources"/>
    <n v="2"/>
    <s v="Nearby(&lt;=5)"/>
    <n v="1"/>
    <s v="Not_Satisfied(&lt;3)"/>
    <x v="1"/>
    <n v="2"/>
    <s v="Low"/>
    <n v="1"/>
    <x v="0"/>
    <x v="8"/>
    <n v="4"/>
    <s v="Satisfied(&gt;=3)"/>
    <x v="0"/>
    <n v="1"/>
    <s v="Y"/>
    <x v="1"/>
    <n v="12"/>
    <x v="0"/>
    <n v="1"/>
    <n v="4"/>
    <s v="Good(&gt;=3)"/>
    <n v="1"/>
    <s v="Short(&lt;=4)"/>
    <n v="0"/>
    <x v="0"/>
    <n v="0"/>
    <s v="Reasonable(&lt;=3)"/>
  </r>
  <r>
    <x v="7"/>
    <s v="Middle_Age(30-50)"/>
    <x v="1"/>
    <s v="Rarely"/>
    <s v="Sales"/>
    <n v="22"/>
    <s v="Far(&gt;=15)"/>
    <n v="3"/>
    <s v="Satisfied(&gt;=3)"/>
    <x v="0"/>
    <n v="3"/>
    <s v="Medium"/>
    <n v="3"/>
    <x v="1"/>
    <x v="0"/>
    <n v="1"/>
    <s v="Not_Satisfied(&lt;=2)"/>
    <x v="1"/>
    <n v="0"/>
    <s v="Y"/>
    <x v="1"/>
    <n v="11"/>
    <x v="0"/>
    <n v="10"/>
    <n v="3"/>
    <s v="Good(&gt;=3)"/>
    <n v="9"/>
    <s v="Long(5-10)"/>
    <n v="8"/>
    <x v="1"/>
    <n v="7"/>
    <s v="Not_Reasonable(&gt;3)"/>
  </r>
  <r>
    <x v="38"/>
    <s v="Old(&gt;50)"/>
    <x v="1"/>
    <s v="Rarely"/>
    <s v="Sales"/>
    <n v="29"/>
    <s v="Far(&gt;=15)"/>
    <n v="1"/>
    <s v="Not_Satisfied(&lt;3)"/>
    <x v="1"/>
    <n v="2"/>
    <s v="Low"/>
    <n v="4"/>
    <x v="2"/>
    <x v="5"/>
    <n v="4"/>
    <s v="Satisfied(&gt;=3)"/>
    <x v="2"/>
    <n v="3"/>
    <s v="Y"/>
    <x v="1"/>
    <n v="12"/>
    <x v="0"/>
    <n v="32"/>
    <n v="2"/>
    <s v="Poor(&lt;=2)"/>
    <n v="1"/>
    <s v="Short(&lt;=4)"/>
    <n v="0"/>
    <x v="0"/>
    <n v="0"/>
    <s v="Reasonable(&lt;=3)"/>
  </r>
  <r>
    <x v="24"/>
    <s v="Middle_Age(30-50)"/>
    <x v="1"/>
    <s v="Rarely"/>
    <s v="Research &amp; Development"/>
    <n v="29"/>
    <s v="Far(&gt;=15)"/>
    <n v="2"/>
    <s v="Not_Satisfied(&lt;3)"/>
    <x v="1"/>
    <n v="2"/>
    <s v="Low"/>
    <n v="4"/>
    <x v="2"/>
    <x v="5"/>
    <n v="3"/>
    <s v="Satisfied(&gt;=3)"/>
    <x v="1"/>
    <n v="0"/>
    <s v="Y"/>
    <x v="1"/>
    <n v="15"/>
    <x v="0"/>
    <n v="28"/>
    <n v="3"/>
    <s v="Good(&gt;=3)"/>
    <n v="27"/>
    <s v="Ultra_Long(&gt;10)"/>
    <n v="10"/>
    <x v="1"/>
    <n v="15"/>
    <s v="Not_Reasonable(&gt;3)"/>
  </r>
  <r>
    <x v="7"/>
    <s v="Middle_Age(30-50)"/>
    <x v="1"/>
    <s v="Rarely"/>
    <s v="Research &amp; Development"/>
    <n v="2"/>
    <s v="Nearby(&lt;=5)"/>
    <n v="3"/>
    <s v="Satisfied(&gt;=3)"/>
    <x v="0"/>
    <n v="3"/>
    <s v="Medium"/>
    <n v="1"/>
    <x v="0"/>
    <x v="2"/>
    <n v="4"/>
    <s v="Satisfied(&gt;=3)"/>
    <x v="0"/>
    <n v="0"/>
    <s v="Y"/>
    <x v="1"/>
    <n v="14"/>
    <x v="0"/>
    <n v="12"/>
    <n v="2"/>
    <s v="Poor(&lt;=2)"/>
    <n v="11"/>
    <s v="Ultra_Long(&gt;10)"/>
    <n v="7"/>
    <x v="1"/>
    <n v="6"/>
    <s v="Not_Reasonable(&gt;3)"/>
  </r>
  <r>
    <x v="42"/>
    <s v="Old(&gt;50)"/>
    <x v="1"/>
    <s v="Frequently"/>
    <s v="Sales"/>
    <n v="28"/>
    <s v="Far(&gt;=15)"/>
    <n v="3"/>
    <s v="Satisfied(&gt;=3)"/>
    <x v="0"/>
    <n v="2"/>
    <s v="Low"/>
    <n v="3"/>
    <x v="1"/>
    <x v="0"/>
    <n v="1"/>
    <s v="Not_Satisfied(&lt;=2)"/>
    <x v="1"/>
    <n v="4"/>
    <s v="Y"/>
    <x v="1"/>
    <n v="19"/>
    <x v="0"/>
    <n v="22"/>
    <n v="4"/>
    <s v="Good(&gt;=3)"/>
    <n v="18"/>
    <s v="Ultra_Long(&gt;10)"/>
    <n v="13"/>
    <x v="2"/>
    <n v="13"/>
    <s v="Not_Reasonable(&gt;3)"/>
  </r>
  <r>
    <x v="40"/>
    <s v="Middle_Age(30-50)"/>
    <x v="1"/>
    <s v="Rarely"/>
    <s v="Research &amp; Development"/>
    <n v="2"/>
    <s v="Nearby(&lt;=5)"/>
    <n v="1"/>
    <s v="Not_Satisfied(&lt;3)"/>
    <x v="0"/>
    <n v="3"/>
    <s v="Medium"/>
    <n v="2"/>
    <x v="0"/>
    <x v="3"/>
    <n v="4"/>
    <s v="Satisfied(&gt;=3)"/>
    <x v="2"/>
    <n v="5"/>
    <s v="Y"/>
    <x v="1"/>
    <n v="13"/>
    <x v="0"/>
    <n v="20"/>
    <n v="3"/>
    <s v="Good(&gt;=3)"/>
    <n v="5"/>
    <s v="Long(5-10)"/>
    <n v="0"/>
    <x v="0"/>
    <n v="0"/>
    <s v="Reasonable(&lt;=3)"/>
  </r>
  <r>
    <x v="21"/>
    <s v="Middle_Age(30-50)"/>
    <x v="1"/>
    <s v="Rarely"/>
    <s v="Research &amp; Development"/>
    <n v="2"/>
    <s v="Nearby(&lt;=5)"/>
    <n v="1"/>
    <s v="Not_Satisfied(&lt;3)"/>
    <x v="1"/>
    <n v="3"/>
    <s v="Medium"/>
    <n v="4"/>
    <x v="2"/>
    <x v="7"/>
    <n v="3"/>
    <s v="Satisfied(&gt;=3)"/>
    <x v="1"/>
    <n v="6"/>
    <s v="Y"/>
    <x v="1"/>
    <n v="13"/>
    <x v="0"/>
    <n v="26"/>
    <n v="1"/>
    <s v="Poor(&lt;=2)"/>
    <n v="3"/>
    <s v="Short(&lt;=4)"/>
    <n v="2"/>
    <x v="0"/>
    <n v="0"/>
    <s v="Reasonable(&lt;=3)"/>
  </r>
  <r>
    <x v="10"/>
    <s v="Middle_Age(30-50)"/>
    <x v="1"/>
    <s v="Rarely"/>
    <s v="Research &amp; Development"/>
    <n v="22"/>
    <s v="Far(&gt;=15)"/>
    <n v="4"/>
    <s v="Satisfied(&gt;=3)"/>
    <x v="1"/>
    <n v="1"/>
    <s v="Low"/>
    <n v="1"/>
    <x v="0"/>
    <x v="2"/>
    <n v="3"/>
    <s v="Satisfied(&gt;=3)"/>
    <x v="0"/>
    <n v="0"/>
    <s v="Y"/>
    <x v="1"/>
    <n v="15"/>
    <x v="0"/>
    <n v="6"/>
    <n v="3"/>
    <s v="Good(&gt;=3)"/>
    <n v="5"/>
    <s v="Long(5-10)"/>
    <n v="4"/>
    <x v="0"/>
    <n v="4"/>
    <s v="Not_Reasonable(&gt;3)"/>
  </r>
  <r>
    <x v="33"/>
    <s v="Old(&gt;50)"/>
    <x v="1"/>
    <s v="Rarely"/>
    <s v="Research &amp; Development"/>
    <n v="8"/>
    <s v="Middistance(6-14)"/>
    <n v="3"/>
    <s v="Satisfied(&gt;=3)"/>
    <x v="0"/>
    <n v="3"/>
    <s v="Medium"/>
    <n v="2"/>
    <x v="0"/>
    <x v="2"/>
    <n v="3"/>
    <s v="Satisfied(&gt;=3)"/>
    <x v="0"/>
    <n v="7"/>
    <s v="Y"/>
    <x v="1"/>
    <n v="11"/>
    <x v="0"/>
    <n v="19"/>
    <n v="3"/>
    <s v="Good(&gt;=3)"/>
    <n v="1"/>
    <s v="Short(&lt;=4)"/>
    <n v="0"/>
    <x v="0"/>
    <n v="0"/>
    <s v="Reasonable(&lt;=3)"/>
  </r>
  <r>
    <x v="13"/>
    <s v="Middle_Age(30-50)"/>
    <x v="1"/>
    <s v="Rarely"/>
    <s v="Research &amp; Development"/>
    <n v="2"/>
    <s v="Nearby(&lt;=5)"/>
    <n v="4"/>
    <s v="Satisfied(&gt;=3)"/>
    <x v="1"/>
    <n v="2"/>
    <s v="Low"/>
    <n v="1"/>
    <x v="0"/>
    <x v="1"/>
    <n v="3"/>
    <s v="Satisfied(&gt;=3)"/>
    <x v="2"/>
    <n v="3"/>
    <s v="Y"/>
    <x v="1"/>
    <n v="12"/>
    <x v="0"/>
    <n v="14"/>
    <n v="3"/>
    <s v="Good(&gt;=3)"/>
    <n v="7"/>
    <s v="Long(5-10)"/>
    <n v="3"/>
    <x v="0"/>
    <n v="5"/>
    <s v="Not_Reasonable(&gt;3)"/>
  </r>
  <r>
    <x v="21"/>
    <s v="Middle_Age(30-50)"/>
    <x v="1"/>
    <s v="Rarely"/>
    <s v="Sales"/>
    <n v="10"/>
    <s v="Middistance(6-14)"/>
    <n v="3"/>
    <s v="Satisfied(&gt;=3)"/>
    <x v="0"/>
    <n v="2"/>
    <s v="Low"/>
    <n v="3"/>
    <x v="1"/>
    <x v="0"/>
    <n v="4"/>
    <s v="Satisfied(&gt;=3)"/>
    <x v="1"/>
    <n v="2"/>
    <s v="Y"/>
    <x v="0"/>
    <n v="19"/>
    <x v="0"/>
    <n v="15"/>
    <n v="3"/>
    <s v="Good(&gt;=3)"/>
    <n v="3"/>
    <s v="Short(&lt;=4)"/>
    <n v="2"/>
    <x v="0"/>
    <n v="1"/>
    <s v="Reasonable(&lt;=3)"/>
  </r>
  <r>
    <x v="12"/>
    <s v="Middle_Age(30-50)"/>
    <x v="1"/>
    <s v="Rarely"/>
    <s v="Research &amp; Development"/>
    <n v="9"/>
    <s v="Middistance(6-14)"/>
    <n v="3"/>
    <s v="Satisfied(&gt;=3)"/>
    <x v="1"/>
    <n v="3"/>
    <s v="Medium"/>
    <n v="3"/>
    <x v="1"/>
    <x v="3"/>
    <n v="2"/>
    <s v="Not_Satisfied(&lt;=2)"/>
    <x v="2"/>
    <n v="1"/>
    <s v="Y"/>
    <x v="1"/>
    <n v="25"/>
    <x v="1"/>
    <n v="13"/>
    <n v="4"/>
    <s v="Good(&gt;=3)"/>
    <n v="13"/>
    <s v="Ultra_Long(&gt;10)"/>
    <n v="8"/>
    <x v="1"/>
    <n v="0"/>
    <s v="Reasonable(&lt;=3)"/>
  </r>
  <r>
    <x v="3"/>
    <s v="Middle_Age(30-50)"/>
    <x v="0"/>
    <s v="Rarely"/>
    <s v="Research &amp; Development"/>
    <n v="15"/>
    <s v="Far(&gt;=15)"/>
    <n v="2"/>
    <s v="Not_Satisfied(&lt;3)"/>
    <x v="1"/>
    <n v="3"/>
    <s v="Medium"/>
    <n v="3"/>
    <x v="1"/>
    <x v="5"/>
    <n v="3"/>
    <s v="Satisfied(&gt;=3)"/>
    <x v="1"/>
    <n v="7"/>
    <s v="Y"/>
    <x v="0"/>
    <n v="12"/>
    <x v="0"/>
    <n v="15"/>
    <n v="4"/>
    <s v="Good(&gt;=3)"/>
    <n v="7"/>
    <s v="Long(5-10)"/>
    <n v="6"/>
    <x v="1"/>
    <n v="7"/>
    <s v="Not_Reasonable(&gt;3)"/>
  </r>
  <r>
    <x v="3"/>
    <s v="Middle_Age(30-50)"/>
    <x v="0"/>
    <s v="Rarely"/>
    <s v="Research &amp; Development"/>
    <n v="10"/>
    <s v="Middistance(6-14)"/>
    <n v="1"/>
    <s v="Not_Satisfied(&lt;3)"/>
    <x v="1"/>
    <n v="1"/>
    <s v="Low"/>
    <n v="1"/>
    <x v="0"/>
    <x v="2"/>
    <n v="4"/>
    <s v="Satisfied(&gt;=3)"/>
    <x v="2"/>
    <n v="7"/>
    <s v="Y"/>
    <x v="1"/>
    <n v="13"/>
    <x v="0"/>
    <n v="8"/>
    <n v="3"/>
    <s v="Good(&gt;=3)"/>
    <n v="4"/>
    <s v="Short(&lt;=4)"/>
    <n v="3"/>
    <x v="0"/>
    <n v="1"/>
    <s v="Reasonable(&lt;=3)"/>
  </r>
  <r>
    <x v="7"/>
    <s v="Middle_Age(30-50)"/>
    <x v="1"/>
    <s v="Rarely"/>
    <s v="Sales"/>
    <n v="7"/>
    <s v="Middistance(6-14)"/>
    <n v="4"/>
    <s v="Satisfied(&gt;=3)"/>
    <x v="1"/>
    <n v="3"/>
    <s v="Medium"/>
    <n v="1"/>
    <x v="0"/>
    <x v="6"/>
    <n v="2"/>
    <s v="Not_Satisfied(&lt;=2)"/>
    <x v="0"/>
    <n v="0"/>
    <s v="Y"/>
    <x v="1"/>
    <n v="14"/>
    <x v="0"/>
    <n v="4"/>
    <n v="3"/>
    <s v="Good(&gt;=3)"/>
    <n v="3"/>
    <s v="Short(&lt;=4)"/>
    <n v="2"/>
    <x v="0"/>
    <n v="1"/>
    <s v="Reasonable(&lt;=3)"/>
  </r>
  <r>
    <x v="10"/>
    <s v="Middle_Age(30-50)"/>
    <x v="1"/>
    <s v="Rarely"/>
    <s v="Research &amp; Development"/>
    <n v="16"/>
    <s v="Far(&gt;=15)"/>
    <n v="4"/>
    <s v="Satisfied(&gt;=3)"/>
    <x v="1"/>
    <n v="3"/>
    <s v="Medium"/>
    <n v="3"/>
    <x v="1"/>
    <x v="4"/>
    <n v="3"/>
    <s v="Satisfied(&gt;=3)"/>
    <x v="1"/>
    <n v="4"/>
    <s v="Y"/>
    <x v="0"/>
    <n v="12"/>
    <x v="0"/>
    <n v="10"/>
    <n v="3"/>
    <s v="Good(&gt;=3)"/>
    <n v="8"/>
    <s v="Long(5-10)"/>
    <n v="7"/>
    <x v="1"/>
    <n v="0"/>
    <s v="Reasonable(&lt;=3)"/>
  </r>
  <r>
    <x v="12"/>
    <s v="Middle_Age(30-50)"/>
    <x v="0"/>
    <s v="Frequently"/>
    <s v="Research &amp; Development"/>
    <n v="20"/>
    <s v="Far(&gt;=15)"/>
    <n v="1"/>
    <s v="Not_Satisfied(&lt;3)"/>
    <x v="1"/>
    <n v="3"/>
    <s v="Medium"/>
    <n v="3"/>
    <x v="1"/>
    <x v="4"/>
    <n v="3"/>
    <s v="Satisfied(&gt;=3)"/>
    <x v="1"/>
    <n v="3"/>
    <s v="Y"/>
    <x v="1"/>
    <n v="12"/>
    <x v="0"/>
    <n v="12"/>
    <n v="3"/>
    <s v="Good(&gt;=3)"/>
    <n v="1"/>
    <s v="Short(&lt;=4)"/>
    <n v="0"/>
    <x v="0"/>
    <n v="0"/>
    <s v="Reasonable(&lt;=3)"/>
  </r>
  <r>
    <x v="13"/>
    <s v="Middle_Age(30-50)"/>
    <x v="0"/>
    <s v="Frequently"/>
    <s v="Human Resources"/>
    <n v="23"/>
    <s v="Far(&gt;=15)"/>
    <n v="2"/>
    <s v="Not_Satisfied(&lt;3)"/>
    <x v="0"/>
    <n v="3"/>
    <s v="Medium"/>
    <n v="3"/>
    <x v="1"/>
    <x v="8"/>
    <n v="1"/>
    <s v="Not_Satisfied(&lt;=2)"/>
    <x v="2"/>
    <n v="9"/>
    <s v="Y"/>
    <x v="0"/>
    <n v="15"/>
    <x v="0"/>
    <n v="11"/>
    <n v="3"/>
    <s v="Good(&gt;=3)"/>
    <n v="3"/>
    <s v="Short(&lt;=4)"/>
    <n v="2"/>
    <x v="0"/>
    <n v="0"/>
    <s v="Reasonable(&lt;=3)"/>
  </r>
  <r>
    <x v="19"/>
    <s v="Middle_Age(30-50)"/>
    <x v="1"/>
    <s v="Frequently"/>
    <s v="Research &amp; Development"/>
    <n v="5"/>
    <s v="Nearby(&lt;=5)"/>
    <n v="2"/>
    <s v="Not_Satisfied(&lt;3)"/>
    <x v="1"/>
    <n v="3"/>
    <s v="Medium"/>
    <n v="1"/>
    <x v="0"/>
    <x v="2"/>
    <n v="3"/>
    <s v="Satisfied(&gt;=3)"/>
    <x v="1"/>
    <n v="4"/>
    <s v="Y"/>
    <x v="1"/>
    <n v="17"/>
    <x v="0"/>
    <n v="8"/>
    <n v="3"/>
    <s v="Good(&gt;=3)"/>
    <n v="2"/>
    <s v="Short(&lt;=4)"/>
    <n v="2"/>
    <x v="0"/>
    <n v="2"/>
    <s v="Reasonable(&lt;=3)"/>
  </r>
  <r>
    <x v="9"/>
    <s v="Middle_Age(30-50)"/>
    <x v="1"/>
    <s v="Rarely"/>
    <s v="Sales"/>
    <n v="10"/>
    <s v="Middistance(6-14)"/>
    <n v="2"/>
    <s v="Not_Satisfied(&lt;3)"/>
    <x v="1"/>
    <n v="3"/>
    <s v="Medium"/>
    <n v="3"/>
    <x v="1"/>
    <x v="0"/>
    <n v="4"/>
    <s v="Satisfied(&gt;=3)"/>
    <x v="0"/>
    <n v="1"/>
    <s v="Y"/>
    <x v="1"/>
    <n v="14"/>
    <x v="0"/>
    <n v="10"/>
    <n v="2"/>
    <s v="Poor(&lt;=2)"/>
    <n v="10"/>
    <s v="Long(5-10)"/>
    <n v="3"/>
    <x v="0"/>
    <n v="9"/>
    <s v="Not_Reasonable(&gt;3)"/>
  </r>
  <r>
    <x v="15"/>
    <s v="Young(&lt;=29)"/>
    <x v="0"/>
    <s v="Frequently"/>
    <s v="Research &amp; Development"/>
    <n v="4"/>
    <s v="Nearby(&lt;=5)"/>
    <n v="3"/>
    <s v="Satisfied(&gt;=3)"/>
    <x v="1"/>
    <n v="2"/>
    <s v="Low"/>
    <n v="1"/>
    <x v="0"/>
    <x v="2"/>
    <n v="3"/>
    <s v="Satisfied(&gt;=3)"/>
    <x v="0"/>
    <n v="5"/>
    <s v="Y"/>
    <x v="1"/>
    <n v="16"/>
    <x v="0"/>
    <n v="4"/>
    <n v="3"/>
    <s v="Good(&gt;=3)"/>
    <n v="2"/>
    <s v="Short(&lt;=4)"/>
    <n v="2"/>
    <x v="0"/>
    <n v="1"/>
    <s v="Reasonable(&lt;=3)"/>
  </r>
  <r>
    <x v="26"/>
    <s v="Middle_Age(30-50)"/>
    <x v="1"/>
    <s v="Rarely"/>
    <s v="Sales"/>
    <n v="2"/>
    <s v="Nearby(&lt;=5)"/>
    <n v="2"/>
    <s v="Not_Satisfied(&lt;3)"/>
    <x v="0"/>
    <n v="3"/>
    <s v="Medium"/>
    <n v="2"/>
    <x v="0"/>
    <x v="0"/>
    <n v="4"/>
    <s v="Satisfied(&gt;=3)"/>
    <x v="1"/>
    <n v="2"/>
    <s v="Y"/>
    <x v="1"/>
    <n v="14"/>
    <x v="0"/>
    <n v="14"/>
    <n v="3"/>
    <s v="Good(&gt;=3)"/>
    <n v="9"/>
    <s v="Long(5-10)"/>
    <n v="7"/>
    <x v="1"/>
    <n v="6"/>
    <s v="Not_Reasonable(&gt;3)"/>
  </r>
  <r>
    <x v="27"/>
    <s v="Old(&gt;50)"/>
    <x v="1"/>
    <s v="Rarely"/>
    <s v="Sales"/>
    <n v="18"/>
    <s v="Far(&gt;=15)"/>
    <n v="1"/>
    <s v="Not_Satisfied(&lt;3)"/>
    <x v="0"/>
    <n v="3"/>
    <s v="Medium"/>
    <n v="4"/>
    <x v="2"/>
    <x v="5"/>
    <n v="2"/>
    <s v="Not_Satisfied(&lt;=2)"/>
    <x v="0"/>
    <n v="3"/>
    <s v="Y"/>
    <x v="1"/>
    <n v="23"/>
    <x v="1"/>
    <n v="37"/>
    <n v="3"/>
    <s v="Good(&gt;=3)"/>
    <n v="10"/>
    <s v="Long(5-10)"/>
    <n v="9"/>
    <x v="1"/>
    <n v="7"/>
    <s v="Not_Reasonable(&gt;3)"/>
  </r>
  <r>
    <x v="0"/>
    <s v="Middle_Age(30-50)"/>
    <x v="1"/>
    <s v="Rarely"/>
    <s v="Sales"/>
    <n v="10"/>
    <s v="Middistance(6-14)"/>
    <n v="4"/>
    <s v="Satisfied(&gt;=3)"/>
    <x v="1"/>
    <n v="3"/>
    <s v="Medium"/>
    <n v="2"/>
    <x v="0"/>
    <x v="0"/>
    <n v="4"/>
    <s v="Satisfied(&gt;=3)"/>
    <x v="0"/>
    <n v="7"/>
    <s v="Y"/>
    <x v="1"/>
    <n v="14"/>
    <x v="0"/>
    <n v="16"/>
    <n v="3"/>
    <s v="Good(&gt;=3)"/>
    <n v="14"/>
    <s v="Ultra_Long(&gt;10)"/>
    <n v="3"/>
    <x v="0"/>
    <n v="1"/>
    <s v="Reasonable(&lt;=3)"/>
  </r>
  <r>
    <x v="10"/>
    <s v="Middle_Age(30-50)"/>
    <x v="1"/>
    <s v="Rarely"/>
    <s v="Sales"/>
    <n v="1"/>
    <s v="Nearby(&lt;=5)"/>
    <n v="2"/>
    <s v="Not_Satisfied(&lt;3)"/>
    <x v="1"/>
    <n v="3"/>
    <s v="Medium"/>
    <n v="2"/>
    <x v="0"/>
    <x v="0"/>
    <n v="3"/>
    <s v="Satisfied(&gt;=3)"/>
    <x v="1"/>
    <n v="9"/>
    <s v="Y"/>
    <x v="1"/>
    <n v="11"/>
    <x v="0"/>
    <n v="15"/>
    <n v="3"/>
    <s v="Good(&gt;=3)"/>
    <n v="11"/>
    <s v="Ultra_Long(&gt;10)"/>
    <n v="9"/>
    <x v="1"/>
    <n v="6"/>
    <s v="Not_Reasonable(&gt;3)"/>
  </r>
  <r>
    <x v="32"/>
    <s v="Middle_Age(30-50)"/>
    <x v="1"/>
    <s v="Rarely"/>
    <s v="Research &amp; Development"/>
    <n v="6"/>
    <s v="Middistance(6-14)"/>
    <n v="2"/>
    <s v="Not_Satisfied(&lt;3)"/>
    <x v="0"/>
    <n v="3"/>
    <s v="Medium"/>
    <n v="4"/>
    <x v="2"/>
    <x v="3"/>
    <n v="3"/>
    <s v="Satisfied(&gt;=3)"/>
    <x v="0"/>
    <n v="7"/>
    <s v="Y"/>
    <x v="1"/>
    <n v="15"/>
    <x v="0"/>
    <n v="22"/>
    <n v="3"/>
    <s v="Good(&gt;=3)"/>
    <n v="20"/>
    <s v="Ultra_Long(&gt;10)"/>
    <n v="6"/>
    <x v="1"/>
    <n v="5"/>
    <s v="Not_Reasonable(&gt;3)"/>
  </r>
  <r>
    <x v="22"/>
    <s v="Middle_Age(30-50)"/>
    <x v="1"/>
    <s v="Frequently"/>
    <s v="Research &amp; Development"/>
    <n v="8"/>
    <s v="Middistance(6-14)"/>
    <n v="3"/>
    <s v="Satisfied(&gt;=3)"/>
    <x v="0"/>
    <n v="3"/>
    <s v="Medium"/>
    <n v="1"/>
    <x v="0"/>
    <x v="2"/>
    <n v="3"/>
    <s v="Satisfied(&gt;=3)"/>
    <x v="1"/>
    <n v="1"/>
    <s v="Y"/>
    <x v="1"/>
    <n v="11"/>
    <x v="0"/>
    <n v="8"/>
    <n v="3"/>
    <s v="Good(&gt;=3)"/>
    <n v="8"/>
    <s v="Long(5-10)"/>
    <n v="3"/>
    <x v="0"/>
    <n v="0"/>
    <s v="Reasonable(&lt;=3)"/>
  </r>
  <r>
    <x v="12"/>
    <s v="Middle_Age(30-50)"/>
    <x v="1"/>
    <s v="Rarely"/>
    <s v="Sales"/>
    <n v="2"/>
    <s v="Nearby(&lt;=5)"/>
    <n v="2"/>
    <s v="Not_Satisfied(&lt;3)"/>
    <x v="1"/>
    <n v="3"/>
    <s v="Medium"/>
    <n v="2"/>
    <x v="0"/>
    <x v="0"/>
    <n v="4"/>
    <s v="Satisfied(&gt;=3)"/>
    <x v="0"/>
    <n v="4"/>
    <s v="Y"/>
    <x v="0"/>
    <n v="13"/>
    <x v="0"/>
    <n v="10"/>
    <n v="4"/>
    <s v="Good(&gt;=3)"/>
    <n v="6"/>
    <s v="Long(5-10)"/>
    <n v="5"/>
    <x v="1"/>
    <n v="0"/>
    <s v="Reasonable(&lt;=3)"/>
  </r>
  <r>
    <x v="19"/>
    <s v="Middle_Age(30-50)"/>
    <x v="1"/>
    <s v="Rarely"/>
    <s v="Research &amp; Development"/>
    <n v="24"/>
    <s v="Far(&gt;=15)"/>
    <n v="4"/>
    <s v="Satisfied(&gt;=3)"/>
    <x v="1"/>
    <n v="3"/>
    <s v="Medium"/>
    <n v="3"/>
    <x v="1"/>
    <x v="3"/>
    <n v="1"/>
    <s v="Not_Satisfied(&lt;=2)"/>
    <x v="1"/>
    <n v="1"/>
    <s v="Y"/>
    <x v="0"/>
    <n v="21"/>
    <x v="1"/>
    <n v="10"/>
    <n v="2"/>
    <s v="Poor(&lt;=2)"/>
    <n v="10"/>
    <s v="Long(5-10)"/>
    <n v="9"/>
    <x v="1"/>
    <n v="5"/>
    <s v="Not_Reasonable(&gt;3)"/>
  </r>
  <r>
    <x v="28"/>
    <s v="Middle_Age(30-50)"/>
    <x v="1"/>
    <s v="Rarely"/>
    <s v="Sales"/>
    <n v="2"/>
    <s v="Nearby(&lt;=5)"/>
    <n v="4"/>
    <s v="Satisfied(&gt;=3)"/>
    <x v="1"/>
    <n v="3"/>
    <s v="Medium"/>
    <n v="2"/>
    <x v="0"/>
    <x v="0"/>
    <n v="2"/>
    <s v="Not_Satisfied(&lt;=2)"/>
    <x v="1"/>
    <n v="0"/>
    <s v="Y"/>
    <x v="1"/>
    <n v="19"/>
    <x v="0"/>
    <n v="9"/>
    <n v="4"/>
    <s v="Good(&gt;=3)"/>
    <n v="8"/>
    <s v="Long(5-10)"/>
    <n v="7"/>
    <x v="1"/>
    <n v="3"/>
    <s v="Reasonable(&lt;=3)"/>
  </r>
  <r>
    <x v="25"/>
    <s v="Young(&lt;=29)"/>
    <x v="0"/>
    <s v="Frequently"/>
    <s v="Human Resources"/>
    <n v="17"/>
    <s v="Far(&gt;=15)"/>
    <n v="2"/>
    <s v="Not_Satisfied(&lt;3)"/>
    <x v="0"/>
    <n v="3"/>
    <s v="Medium"/>
    <n v="1"/>
    <x v="0"/>
    <x v="8"/>
    <n v="3"/>
    <s v="Satisfied(&gt;=3)"/>
    <x v="2"/>
    <n v="0"/>
    <s v="Y"/>
    <x v="0"/>
    <n v="11"/>
    <x v="0"/>
    <n v="8"/>
    <n v="2"/>
    <s v="Poor(&lt;=2)"/>
    <n v="7"/>
    <s v="Long(5-10)"/>
    <n v="7"/>
    <x v="1"/>
    <n v="1"/>
    <s v="Reasonable(&lt;=3)"/>
  </r>
  <r>
    <x v="11"/>
    <s v="Young(&lt;=29)"/>
    <x v="1"/>
    <s v="Rarely"/>
    <s v="Research &amp; Development"/>
    <n v="19"/>
    <s v="Far(&gt;=15)"/>
    <n v="4"/>
    <s v="Satisfied(&gt;=3)"/>
    <x v="1"/>
    <n v="3"/>
    <s v="Medium"/>
    <n v="2"/>
    <x v="0"/>
    <x v="3"/>
    <n v="4"/>
    <s v="Satisfied(&gt;=3)"/>
    <x v="2"/>
    <n v="4"/>
    <s v="Y"/>
    <x v="1"/>
    <n v="12"/>
    <x v="0"/>
    <n v="8"/>
    <n v="4"/>
    <s v="Good(&gt;=3)"/>
    <n v="3"/>
    <s v="Short(&lt;=4)"/>
    <n v="2"/>
    <x v="0"/>
    <n v="1"/>
    <s v="Reasonable(&lt;=3)"/>
  </r>
  <r>
    <x v="3"/>
    <s v="Middle_Age(30-50)"/>
    <x v="1"/>
    <s v="Rarely"/>
    <s v="Research &amp; Development"/>
    <n v="1"/>
    <s v="Nearby(&lt;=5)"/>
    <n v="1"/>
    <s v="Not_Satisfied(&lt;3)"/>
    <x v="0"/>
    <n v="4"/>
    <s v="High"/>
    <n v="4"/>
    <x v="2"/>
    <x v="7"/>
    <n v="3"/>
    <s v="Satisfied(&gt;=3)"/>
    <x v="2"/>
    <n v="4"/>
    <s v="Y"/>
    <x v="1"/>
    <n v="19"/>
    <x v="0"/>
    <n v="10"/>
    <n v="3"/>
    <s v="Good(&gt;=3)"/>
    <n v="6"/>
    <s v="Long(5-10)"/>
    <n v="1"/>
    <x v="0"/>
    <n v="0"/>
    <s v="Reasonable(&lt;=3)"/>
  </r>
  <r>
    <x v="12"/>
    <s v="Middle_Age(30-50)"/>
    <x v="1"/>
    <s v="Rarely"/>
    <s v="Sales"/>
    <n v="7"/>
    <s v="Middistance(6-14)"/>
    <n v="3"/>
    <s v="Satisfied(&gt;=3)"/>
    <x v="1"/>
    <n v="2"/>
    <s v="Low"/>
    <n v="3"/>
    <x v="1"/>
    <x v="5"/>
    <n v="4"/>
    <s v="Satisfied(&gt;=3)"/>
    <x v="2"/>
    <n v="9"/>
    <s v="Y"/>
    <x v="1"/>
    <n v="21"/>
    <x v="1"/>
    <n v="10"/>
    <n v="2"/>
    <s v="Poor(&lt;=2)"/>
    <n v="5"/>
    <s v="Long(5-10)"/>
    <n v="4"/>
    <x v="0"/>
    <n v="0"/>
    <s v="Reasonable(&lt;=3)"/>
  </r>
  <r>
    <x v="41"/>
    <s v="Young(&lt;=29)"/>
    <x v="0"/>
    <s v="Frequently"/>
    <s v="Sales"/>
    <n v="5"/>
    <s v="Nearby(&lt;=5)"/>
    <n v="2"/>
    <s v="Not_Satisfied(&lt;3)"/>
    <x v="1"/>
    <n v="3"/>
    <s v="Medium"/>
    <n v="1"/>
    <x v="0"/>
    <x v="6"/>
    <n v="2"/>
    <s v="Not_Satisfied(&lt;=2)"/>
    <x v="0"/>
    <n v="1"/>
    <s v="Y"/>
    <x v="0"/>
    <n v="14"/>
    <x v="0"/>
    <n v="0"/>
    <n v="3"/>
    <s v="Good(&gt;=3)"/>
    <n v="0"/>
    <s v="Short(&lt;=4)"/>
    <n v="0"/>
    <x v="0"/>
    <n v="0"/>
    <s v="Reasonable(&lt;=3)"/>
  </r>
  <r>
    <x v="32"/>
    <s v="Middle_Age(30-50)"/>
    <x v="1"/>
    <s v="Rarely"/>
    <s v="Sales"/>
    <n v="28"/>
    <s v="Far(&gt;=15)"/>
    <n v="3"/>
    <s v="Satisfied(&gt;=3)"/>
    <x v="1"/>
    <n v="1"/>
    <s v="Low"/>
    <n v="3"/>
    <x v="1"/>
    <x v="0"/>
    <n v="1"/>
    <s v="Not_Satisfied(&lt;=2)"/>
    <x v="2"/>
    <n v="3"/>
    <s v="Y"/>
    <x v="1"/>
    <n v="15"/>
    <x v="0"/>
    <n v="20"/>
    <n v="3"/>
    <s v="Good(&gt;=3)"/>
    <n v="1"/>
    <s v="Short(&lt;=4)"/>
    <n v="0"/>
    <x v="0"/>
    <n v="0"/>
    <s v="Reasonable(&lt;=3)"/>
  </r>
  <r>
    <x v="0"/>
    <s v="Middle_Age(30-50)"/>
    <x v="1"/>
    <s v="Rarely"/>
    <s v="Research &amp; Development"/>
    <n v="2"/>
    <s v="Nearby(&lt;=5)"/>
    <n v="1"/>
    <s v="Not_Satisfied(&lt;3)"/>
    <x v="0"/>
    <n v="2"/>
    <s v="Low"/>
    <n v="2"/>
    <x v="0"/>
    <x v="4"/>
    <n v="3"/>
    <s v="Satisfied(&gt;=3)"/>
    <x v="0"/>
    <n v="2"/>
    <s v="Y"/>
    <x v="0"/>
    <n v="17"/>
    <x v="0"/>
    <n v="10"/>
    <n v="3"/>
    <s v="Good(&gt;=3)"/>
    <n v="8"/>
    <s v="Long(5-10)"/>
    <n v="7"/>
    <x v="1"/>
    <n v="0"/>
    <s v="Reasonable(&lt;=3)"/>
  </r>
  <r>
    <x v="25"/>
    <s v="Young(&lt;=29)"/>
    <x v="1"/>
    <s v="Rarely"/>
    <s v="Sales"/>
    <n v="29"/>
    <s v="Far(&gt;=15)"/>
    <n v="1"/>
    <s v="Not_Satisfied(&lt;3)"/>
    <x v="1"/>
    <n v="3"/>
    <s v="Medium"/>
    <n v="2"/>
    <x v="0"/>
    <x v="0"/>
    <n v="3"/>
    <s v="Satisfied(&gt;=3)"/>
    <x v="2"/>
    <n v="5"/>
    <s v="Y"/>
    <x v="1"/>
    <n v="12"/>
    <x v="0"/>
    <n v="8"/>
    <n v="3"/>
    <s v="Good(&gt;=3)"/>
    <n v="0"/>
    <s v="Short(&lt;=4)"/>
    <n v="0"/>
    <x v="0"/>
    <n v="0"/>
    <s v="Reasonable(&lt;=3)"/>
  </r>
  <r>
    <x v="10"/>
    <s v="Middle_Age(30-50)"/>
    <x v="1"/>
    <s v="Rarely"/>
    <s v="Sales"/>
    <n v="1"/>
    <s v="Nearby(&lt;=5)"/>
    <n v="1"/>
    <s v="Not_Satisfied(&lt;3)"/>
    <x v="0"/>
    <n v="3"/>
    <s v="Medium"/>
    <n v="2"/>
    <x v="0"/>
    <x v="0"/>
    <n v="3"/>
    <s v="Satisfied(&gt;=3)"/>
    <x v="0"/>
    <n v="1"/>
    <s v="Y"/>
    <x v="1"/>
    <n v="16"/>
    <x v="0"/>
    <n v="5"/>
    <n v="3"/>
    <s v="Good(&gt;=3)"/>
    <n v="5"/>
    <s v="Long(5-10)"/>
    <n v="4"/>
    <x v="0"/>
    <n v="0"/>
    <s v="Reasonable(&lt;=3)"/>
  </r>
  <r>
    <x v="13"/>
    <s v="Middle_Age(30-50)"/>
    <x v="1"/>
    <s v="Rarely"/>
    <s v="Sales"/>
    <n v="21"/>
    <s v="Far(&gt;=15)"/>
    <n v="4"/>
    <s v="Satisfied(&gt;=3)"/>
    <x v="1"/>
    <n v="4"/>
    <s v="High"/>
    <n v="2"/>
    <x v="0"/>
    <x v="0"/>
    <n v="4"/>
    <s v="Satisfied(&gt;=3)"/>
    <x v="0"/>
    <n v="1"/>
    <s v="Y"/>
    <x v="1"/>
    <n v="12"/>
    <x v="0"/>
    <n v="10"/>
    <n v="3"/>
    <s v="Good(&gt;=3)"/>
    <n v="10"/>
    <s v="Long(5-10)"/>
    <n v="7"/>
    <x v="1"/>
    <n v="5"/>
    <s v="Not_Reasonable(&gt;3)"/>
  </r>
  <r>
    <x v="25"/>
    <s v="Young(&lt;=29)"/>
    <x v="0"/>
    <s v="Rarely"/>
    <s v="Research &amp; Development"/>
    <n v="24"/>
    <s v="Far(&gt;=15)"/>
    <n v="3"/>
    <s v="Satisfied(&gt;=3)"/>
    <x v="1"/>
    <n v="1"/>
    <s v="Low"/>
    <n v="1"/>
    <x v="0"/>
    <x v="2"/>
    <n v="4"/>
    <s v="Satisfied(&gt;=3)"/>
    <x v="0"/>
    <n v="1"/>
    <s v="Y"/>
    <x v="0"/>
    <n v="18"/>
    <x v="0"/>
    <n v="1"/>
    <n v="1"/>
    <s v="Poor(&lt;=2)"/>
    <n v="1"/>
    <s v="Short(&lt;=4)"/>
    <n v="0"/>
    <x v="0"/>
    <n v="0"/>
    <s v="Reasonable(&lt;=3)"/>
  </r>
  <r>
    <x v="2"/>
    <s v="Middle_Age(30-50)"/>
    <x v="1"/>
    <s v="Rarely"/>
    <s v="Research &amp; Development"/>
    <n v="1"/>
    <s v="Nearby(&lt;=5)"/>
    <n v="2"/>
    <s v="Not_Satisfied(&lt;3)"/>
    <x v="0"/>
    <n v="3"/>
    <s v="Medium"/>
    <n v="3"/>
    <x v="1"/>
    <x v="3"/>
    <n v="4"/>
    <s v="Satisfied(&gt;=3)"/>
    <x v="0"/>
    <n v="4"/>
    <s v="Y"/>
    <x v="1"/>
    <n v="17"/>
    <x v="0"/>
    <n v="12"/>
    <n v="4"/>
    <s v="Good(&gt;=3)"/>
    <n v="6"/>
    <s v="Long(5-10)"/>
    <n v="5"/>
    <x v="1"/>
    <n v="1"/>
    <s v="Reasonable(&lt;=3)"/>
  </r>
  <r>
    <x v="21"/>
    <s v="Middle_Age(30-50)"/>
    <x v="1"/>
    <s v="Frequently"/>
    <s v="Research &amp; Development"/>
    <n v="18"/>
    <s v="Far(&gt;=15)"/>
    <n v="1"/>
    <s v="Not_Satisfied(&lt;3)"/>
    <x v="0"/>
    <n v="3"/>
    <s v="Medium"/>
    <n v="3"/>
    <x v="1"/>
    <x v="4"/>
    <n v="3"/>
    <s v="Satisfied(&gt;=3)"/>
    <x v="1"/>
    <n v="5"/>
    <s v="Y"/>
    <x v="1"/>
    <n v="11"/>
    <x v="0"/>
    <n v="28"/>
    <n v="2"/>
    <s v="Poor(&lt;=2)"/>
    <n v="2"/>
    <s v="Short(&lt;=4)"/>
    <n v="2"/>
    <x v="0"/>
    <n v="1"/>
    <s v="Reasonable(&lt;=3)"/>
  </r>
  <r>
    <x v="0"/>
    <s v="Middle_Age(30-50)"/>
    <x v="1"/>
    <s v="Rarely"/>
    <s v="Sales"/>
    <n v="2"/>
    <s v="Nearby(&lt;=5)"/>
    <n v="2"/>
    <s v="Not_Satisfied(&lt;3)"/>
    <x v="0"/>
    <n v="3"/>
    <s v="Medium"/>
    <n v="4"/>
    <x v="2"/>
    <x v="5"/>
    <n v="1"/>
    <s v="Not_Satisfied(&lt;=2)"/>
    <x v="1"/>
    <n v="7"/>
    <s v="Y"/>
    <x v="1"/>
    <n v="16"/>
    <x v="0"/>
    <n v="22"/>
    <n v="3"/>
    <s v="Good(&gt;=3)"/>
    <n v="18"/>
    <s v="Ultra_Long(&gt;10)"/>
    <n v="16"/>
    <x v="2"/>
    <n v="11"/>
    <s v="Not_Reasonable(&gt;3)"/>
  </r>
  <r>
    <x v="2"/>
    <s v="Middle_Age(30-50)"/>
    <x v="1"/>
    <s v="Rarely"/>
    <s v="Sales"/>
    <n v="9"/>
    <s v="Middistance(6-14)"/>
    <n v="1"/>
    <s v="Not_Satisfied(&lt;3)"/>
    <x v="1"/>
    <n v="3"/>
    <s v="Medium"/>
    <n v="3"/>
    <x v="1"/>
    <x v="0"/>
    <n v="2"/>
    <s v="Not_Satisfied(&lt;=2)"/>
    <x v="2"/>
    <n v="1"/>
    <s v="Y"/>
    <x v="1"/>
    <n v="13"/>
    <x v="0"/>
    <n v="9"/>
    <n v="3"/>
    <s v="Good(&gt;=3)"/>
    <n v="9"/>
    <s v="Long(5-10)"/>
    <n v="5"/>
    <x v="1"/>
    <n v="7"/>
    <s v="Not_Reasonable(&gt;3)"/>
  </r>
  <r>
    <x v="39"/>
    <s v="Old(&gt;50)"/>
    <x v="1"/>
    <s v="Rarely"/>
    <s v="Research &amp; Development"/>
    <n v="6"/>
    <s v="Middistance(6-14)"/>
    <n v="4"/>
    <s v="Satisfied(&gt;=3)"/>
    <x v="1"/>
    <n v="3"/>
    <s v="Medium"/>
    <n v="2"/>
    <x v="0"/>
    <x v="1"/>
    <n v="1"/>
    <s v="Not_Satisfied(&lt;=2)"/>
    <x v="2"/>
    <n v="3"/>
    <s v="Y"/>
    <x v="0"/>
    <n v="12"/>
    <x v="0"/>
    <n v="18"/>
    <n v="3"/>
    <s v="Good(&gt;=3)"/>
    <n v="10"/>
    <s v="Long(5-10)"/>
    <n v="9"/>
    <x v="1"/>
    <n v="6"/>
    <s v="Not_Reasonable(&gt;3)"/>
  </r>
  <r>
    <x v="5"/>
    <s v="Middle_Age(30-50)"/>
    <x v="0"/>
    <s v="Rarely"/>
    <s v="Sales"/>
    <n v="11"/>
    <s v="Middistance(6-14)"/>
    <n v="4"/>
    <s v="Satisfied(&gt;=3)"/>
    <x v="1"/>
    <n v="4"/>
    <s v="High"/>
    <n v="2"/>
    <x v="0"/>
    <x v="0"/>
    <n v="3"/>
    <s v="Satisfied(&gt;=3)"/>
    <x v="1"/>
    <n v="8"/>
    <s v="Y"/>
    <x v="1"/>
    <n v="12"/>
    <x v="0"/>
    <n v="6"/>
    <n v="3"/>
    <s v="Good(&gt;=3)"/>
    <n v="4"/>
    <s v="Short(&lt;=4)"/>
    <n v="2"/>
    <x v="0"/>
    <n v="1"/>
    <s v="Reasonable(&lt;=3)"/>
  </r>
  <r>
    <x v="17"/>
    <s v="Young(&lt;=29)"/>
    <x v="1"/>
    <s v="Frequently"/>
    <s v="Sales"/>
    <n v="24"/>
    <s v="Far(&gt;=15)"/>
    <n v="4"/>
    <s v="Satisfied(&gt;=3)"/>
    <x v="1"/>
    <n v="3"/>
    <s v="Medium"/>
    <n v="1"/>
    <x v="0"/>
    <x v="6"/>
    <n v="4"/>
    <s v="Satisfied(&gt;=3)"/>
    <x v="1"/>
    <n v="0"/>
    <s v="Y"/>
    <x v="1"/>
    <n v="13"/>
    <x v="0"/>
    <n v="3"/>
    <n v="3"/>
    <s v="Good(&gt;=3)"/>
    <n v="2"/>
    <s v="Short(&lt;=4)"/>
    <n v="2"/>
    <x v="0"/>
    <n v="2"/>
    <s v="Reasonable(&lt;=3)"/>
  </r>
  <r>
    <x v="8"/>
    <s v="Middle_Age(30-50)"/>
    <x v="1"/>
    <s v="Rarely"/>
    <s v="Research &amp; Development"/>
    <n v="10"/>
    <s v="Middistance(6-14)"/>
    <n v="3"/>
    <s v="Satisfied(&gt;=3)"/>
    <x v="0"/>
    <n v="3"/>
    <s v="Medium"/>
    <n v="2"/>
    <x v="0"/>
    <x v="4"/>
    <n v="3"/>
    <s v="Satisfied(&gt;=3)"/>
    <x v="1"/>
    <n v="3"/>
    <s v="Y"/>
    <x v="1"/>
    <n v="19"/>
    <x v="0"/>
    <n v="18"/>
    <n v="3"/>
    <s v="Good(&gt;=3)"/>
    <n v="1"/>
    <s v="Short(&lt;=4)"/>
    <n v="0"/>
    <x v="0"/>
    <n v="0"/>
    <s v="Reasonable(&lt;=3)"/>
  </r>
  <r>
    <x v="2"/>
    <s v="Middle_Age(30-50)"/>
    <x v="1"/>
    <s v="Rarely"/>
    <s v="Research &amp; Development"/>
    <n v="1"/>
    <s v="Nearby(&lt;=5)"/>
    <n v="2"/>
    <s v="Not_Satisfied(&lt;3)"/>
    <x v="0"/>
    <n v="3"/>
    <s v="Medium"/>
    <n v="2"/>
    <x v="0"/>
    <x v="3"/>
    <n v="2"/>
    <s v="Not_Satisfied(&lt;=2)"/>
    <x v="1"/>
    <n v="6"/>
    <s v="Y"/>
    <x v="1"/>
    <n v="12"/>
    <x v="0"/>
    <n v="8"/>
    <n v="2"/>
    <s v="Poor(&lt;=2)"/>
    <n v="6"/>
    <s v="Long(5-10)"/>
    <n v="5"/>
    <x v="1"/>
    <n v="4"/>
    <s v="Not_Reasonable(&gt;3)"/>
  </r>
  <r>
    <x v="1"/>
    <s v="Middle_Age(30-50)"/>
    <x v="1"/>
    <s v="Rarely"/>
    <s v="Research &amp; Development"/>
    <n v="18"/>
    <s v="Far(&gt;=15)"/>
    <n v="4"/>
    <s v="Satisfied(&gt;=3)"/>
    <x v="1"/>
    <n v="2"/>
    <s v="Low"/>
    <n v="5"/>
    <x v="2"/>
    <x v="7"/>
    <n v="3"/>
    <s v="Satisfied(&gt;=3)"/>
    <x v="2"/>
    <n v="1"/>
    <s v="Y"/>
    <x v="0"/>
    <n v="17"/>
    <x v="0"/>
    <n v="31"/>
    <n v="3"/>
    <s v="Good(&gt;=3)"/>
    <n v="31"/>
    <s v="Ultra_Long(&gt;10)"/>
    <n v="9"/>
    <x v="1"/>
    <n v="0"/>
    <s v="Reasonable(&lt;=3)"/>
  </r>
  <r>
    <x v="17"/>
    <s v="Young(&lt;=29)"/>
    <x v="1"/>
    <s v="Rarely"/>
    <s v="Research &amp; Development"/>
    <n v="23"/>
    <s v="Far(&gt;=15)"/>
    <n v="2"/>
    <s v="Not_Satisfied(&lt;3)"/>
    <x v="1"/>
    <n v="4"/>
    <s v="High"/>
    <n v="1"/>
    <x v="0"/>
    <x v="1"/>
    <n v="4"/>
    <s v="Satisfied(&gt;=3)"/>
    <x v="1"/>
    <n v="1"/>
    <s v="Y"/>
    <x v="0"/>
    <n v="11"/>
    <x v="0"/>
    <n v="6"/>
    <n v="3"/>
    <s v="Good(&gt;=3)"/>
    <n v="6"/>
    <s v="Long(5-10)"/>
    <n v="5"/>
    <x v="1"/>
    <n v="1"/>
    <s v="Reasonable(&lt;=3)"/>
  </r>
  <r>
    <x v="25"/>
    <s v="Young(&lt;=29)"/>
    <x v="1"/>
    <s v="Rarely"/>
    <s v="Sales"/>
    <n v="28"/>
    <s v="Far(&gt;=15)"/>
    <n v="1"/>
    <s v="Not_Satisfied(&lt;3)"/>
    <x v="1"/>
    <n v="3"/>
    <s v="Medium"/>
    <n v="2"/>
    <x v="0"/>
    <x v="0"/>
    <n v="2"/>
    <s v="Not_Satisfied(&lt;=2)"/>
    <x v="1"/>
    <n v="1"/>
    <s v="Y"/>
    <x v="1"/>
    <n v="20"/>
    <x v="1"/>
    <n v="6"/>
    <n v="4"/>
    <s v="Good(&gt;=3)"/>
    <n v="5"/>
    <s v="Long(5-10)"/>
    <n v="3"/>
    <x v="0"/>
    <n v="1"/>
    <s v="Reasonable(&lt;=3)"/>
  </r>
  <r>
    <x v="17"/>
    <s v="Young(&lt;=29)"/>
    <x v="1"/>
    <s v="Rarely"/>
    <s v="Research &amp; Development"/>
    <n v="17"/>
    <s v="Far(&gt;=15)"/>
    <n v="4"/>
    <s v="Satisfied(&gt;=3)"/>
    <x v="1"/>
    <n v="2"/>
    <s v="Low"/>
    <n v="1"/>
    <x v="0"/>
    <x v="2"/>
    <n v="2"/>
    <s v="Not_Satisfied(&lt;=2)"/>
    <x v="1"/>
    <n v="1"/>
    <s v="Y"/>
    <x v="1"/>
    <n v="21"/>
    <x v="1"/>
    <n v="1"/>
    <n v="3"/>
    <s v="Good(&gt;=3)"/>
    <n v="1"/>
    <s v="Short(&lt;=4)"/>
    <n v="0"/>
    <x v="0"/>
    <n v="0"/>
    <s v="Reasonable(&lt;=3)"/>
  </r>
  <r>
    <x v="24"/>
    <s v="Middle_Age(30-50)"/>
    <x v="1"/>
    <s v="Frequently"/>
    <s v="Human Resources"/>
    <n v="3"/>
    <s v="Nearby(&lt;=5)"/>
    <n v="1"/>
    <s v="Not_Satisfied(&lt;3)"/>
    <x v="1"/>
    <n v="3"/>
    <s v="Medium"/>
    <n v="5"/>
    <x v="2"/>
    <x v="5"/>
    <n v="2"/>
    <s v="Not_Satisfied(&lt;=2)"/>
    <x v="1"/>
    <n v="1"/>
    <s v="Y"/>
    <x v="1"/>
    <n v="11"/>
    <x v="0"/>
    <n v="32"/>
    <n v="3"/>
    <s v="Good(&gt;=3)"/>
    <n v="32"/>
    <s v="Ultra_Long(&gt;10)"/>
    <n v="5"/>
    <x v="1"/>
    <n v="10"/>
    <s v="Not_Reasonable(&gt;3)"/>
  </r>
  <r>
    <x v="36"/>
    <s v="Young(&lt;=29)"/>
    <x v="1"/>
    <s v="Rarely"/>
    <s v="Sales"/>
    <n v="13"/>
    <s v="Middistance(6-14)"/>
    <n v="2"/>
    <s v="Not_Satisfied(&lt;3)"/>
    <x v="1"/>
    <n v="3"/>
    <s v="Medium"/>
    <n v="1"/>
    <x v="0"/>
    <x v="6"/>
    <n v="3"/>
    <s v="Satisfied(&gt;=3)"/>
    <x v="1"/>
    <n v="1"/>
    <s v="Y"/>
    <x v="1"/>
    <n v="11"/>
    <x v="0"/>
    <n v="7"/>
    <n v="3"/>
    <s v="Good(&gt;=3)"/>
    <n v="7"/>
    <s v="Long(5-10)"/>
    <n v="4"/>
    <x v="0"/>
    <n v="0"/>
    <s v="Reasonable(&lt;=3)"/>
  </r>
  <r>
    <x v="17"/>
    <s v="Young(&lt;=29)"/>
    <x v="0"/>
    <s v="Frequently"/>
    <s v="Research &amp; Development"/>
    <n v="7"/>
    <s v="Middistance(6-14)"/>
    <n v="1"/>
    <s v="Not_Satisfied(&lt;3)"/>
    <x v="0"/>
    <n v="3"/>
    <s v="Medium"/>
    <n v="1"/>
    <x v="0"/>
    <x v="2"/>
    <n v="3"/>
    <s v="Satisfied(&gt;=3)"/>
    <x v="1"/>
    <n v="1"/>
    <s v="Y"/>
    <x v="0"/>
    <n v="16"/>
    <x v="0"/>
    <n v="6"/>
    <n v="3"/>
    <s v="Good(&gt;=3)"/>
    <n v="6"/>
    <s v="Long(5-10)"/>
    <n v="3"/>
    <x v="0"/>
    <n v="1"/>
    <s v="Reasonable(&lt;=3)"/>
  </r>
  <r>
    <x v="7"/>
    <s v="Middle_Age(30-50)"/>
    <x v="0"/>
    <s v="Frequently"/>
    <s v="Sales"/>
    <n v="12"/>
    <s v="Middistance(6-14)"/>
    <n v="2"/>
    <s v="Not_Satisfied(&lt;3)"/>
    <x v="1"/>
    <n v="2"/>
    <s v="Low"/>
    <n v="1"/>
    <x v="0"/>
    <x v="6"/>
    <n v="1"/>
    <s v="Not_Satisfied(&lt;=2)"/>
    <x v="1"/>
    <n v="1"/>
    <s v="Y"/>
    <x v="1"/>
    <n v="18"/>
    <x v="0"/>
    <n v="1"/>
    <n v="4"/>
    <s v="Good(&gt;=3)"/>
    <n v="1"/>
    <s v="Short(&lt;=4)"/>
    <n v="0"/>
    <x v="0"/>
    <n v="0"/>
    <s v="Reasonable(&lt;=3)"/>
  </r>
  <r>
    <x v="13"/>
    <s v="Middle_Age(30-50)"/>
    <x v="1"/>
    <s v="Rarely"/>
    <s v="Research &amp; Development"/>
    <n v="1"/>
    <s v="Nearby(&lt;=5)"/>
    <n v="2"/>
    <s v="Not_Satisfied(&lt;3)"/>
    <x v="1"/>
    <n v="2"/>
    <s v="Low"/>
    <n v="1"/>
    <x v="0"/>
    <x v="1"/>
    <n v="4"/>
    <s v="Satisfied(&gt;=3)"/>
    <x v="1"/>
    <n v="1"/>
    <s v="Y"/>
    <x v="0"/>
    <n v="13"/>
    <x v="0"/>
    <n v="6"/>
    <n v="3"/>
    <s v="Good(&gt;=3)"/>
    <n v="6"/>
    <s v="Long(5-10)"/>
    <n v="5"/>
    <x v="1"/>
    <n v="1"/>
    <s v="Reasonable(&lt;=3)"/>
  </r>
  <r>
    <x v="12"/>
    <s v="Middle_Age(30-50)"/>
    <x v="0"/>
    <s v="Rarely"/>
    <s v="Sales"/>
    <n v="13"/>
    <s v="Middistance(6-14)"/>
    <n v="2"/>
    <s v="Not_Satisfied(&lt;3)"/>
    <x v="1"/>
    <n v="3"/>
    <s v="Medium"/>
    <n v="2"/>
    <x v="0"/>
    <x v="0"/>
    <n v="1"/>
    <s v="Not_Satisfied(&lt;=2)"/>
    <x v="2"/>
    <n v="2"/>
    <s v="Y"/>
    <x v="1"/>
    <n v="17"/>
    <x v="0"/>
    <n v="9"/>
    <n v="1"/>
    <s v="Poor(&lt;=2)"/>
    <n v="3"/>
    <s v="Short(&lt;=4)"/>
    <n v="1"/>
    <x v="0"/>
    <n v="1"/>
    <s v="Reasonable(&lt;=3)"/>
  </r>
  <r>
    <x v="10"/>
    <s v="Middle_Age(30-50)"/>
    <x v="1"/>
    <s v="Rarely"/>
    <s v="Research &amp; Development"/>
    <n v="25"/>
    <s v="Far(&gt;=15)"/>
    <n v="1"/>
    <s v="Not_Satisfied(&lt;3)"/>
    <x v="1"/>
    <n v="2"/>
    <s v="Low"/>
    <n v="2"/>
    <x v="0"/>
    <x v="2"/>
    <n v="4"/>
    <s v="Satisfied(&gt;=3)"/>
    <x v="0"/>
    <n v="4"/>
    <s v="Y"/>
    <x v="1"/>
    <n v="14"/>
    <x v="0"/>
    <n v="9"/>
    <n v="3"/>
    <s v="Good(&gt;=3)"/>
    <n v="3"/>
    <s v="Short(&lt;=4)"/>
    <n v="2"/>
    <x v="0"/>
    <n v="0"/>
    <s v="Reasonable(&lt;=3)"/>
  </r>
  <r>
    <x v="12"/>
    <s v="Middle_Age(30-50)"/>
    <x v="1"/>
    <s v="Rarely"/>
    <s v="Sales"/>
    <n v="6"/>
    <s v="Middistance(6-14)"/>
    <n v="1"/>
    <s v="Not_Satisfied(&lt;3)"/>
    <x v="1"/>
    <n v="4"/>
    <s v="High"/>
    <n v="2"/>
    <x v="0"/>
    <x v="0"/>
    <n v="4"/>
    <s v="Satisfied(&gt;=3)"/>
    <x v="2"/>
    <n v="4"/>
    <s v="Y"/>
    <x v="1"/>
    <n v="22"/>
    <x v="1"/>
    <n v="13"/>
    <n v="4"/>
    <s v="Good(&gt;=3)"/>
    <n v="7"/>
    <s v="Long(5-10)"/>
    <n v="7"/>
    <x v="1"/>
    <n v="5"/>
    <s v="Not_Reasonable(&gt;3)"/>
  </r>
  <r>
    <x v="4"/>
    <s v="Young(&lt;=29)"/>
    <x v="1"/>
    <s v="Rarely"/>
    <s v="Research &amp; Development"/>
    <n v="6"/>
    <s v="Middistance(6-14)"/>
    <n v="1"/>
    <s v="Not_Satisfied(&lt;3)"/>
    <x v="0"/>
    <n v="2"/>
    <s v="Low"/>
    <n v="1"/>
    <x v="0"/>
    <x v="1"/>
    <n v="3"/>
    <s v="Satisfied(&gt;=3)"/>
    <x v="2"/>
    <n v="0"/>
    <s v="Y"/>
    <x v="1"/>
    <n v="12"/>
    <x v="0"/>
    <n v="6"/>
    <n v="2"/>
    <s v="Poor(&lt;=2)"/>
    <n v="5"/>
    <s v="Long(5-10)"/>
    <n v="3"/>
    <x v="0"/>
    <n v="0"/>
    <s v="Reasonable(&lt;=3)"/>
  </r>
  <r>
    <x v="2"/>
    <s v="Middle_Age(30-50)"/>
    <x v="1"/>
    <s v="Rarely"/>
    <s v="Sales"/>
    <n v="2"/>
    <s v="Nearby(&lt;=5)"/>
    <n v="4"/>
    <s v="Satisfied(&gt;=3)"/>
    <x v="1"/>
    <n v="3"/>
    <s v="Medium"/>
    <n v="2"/>
    <x v="0"/>
    <x v="0"/>
    <n v="3"/>
    <s v="Satisfied(&gt;=3)"/>
    <x v="1"/>
    <n v="4"/>
    <s v="Y"/>
    <x v="0"/>
    <n v="11"/>
    <x v="0"/>
    <n v="17"/>
    <n v="2"/>
    <s v="Poor(&lt;=2)"/>
    <n v="3"/>
    <s v="Short(&lt;=4)"/>
    <n v="0"/>
    <x v="0"/>
    <n v="1"/>
    <s v="Reasonable(&lt;=3)"/>
  </r>
  <r>
    <x v="35"/>
    <s v="Young(&lt;=29)"/>
    <x v="1"/>
    <s v="Rarely"/>
    <s v="Research &amp; Development"/>
    <n v="1"/>
    <s v="Nearby(&lt;=5)"/>
    <n v="4"/>
    <s v="Satisfied(&gt;=3)"/>
    <x v="0"/>
    <n v="2"/>
    <s v="Low"/>
    <n v="1"/>
    <x v="0"/>
    <x v="1"/>
    <n v="2"/>
    <s v="Not_Satisfied(&lt;=2)"/>
    <x v="0"/>
    <n v="1"/>
    <s v="Y"/>
    <x v="1"/>
    <n v="13"/>
    <x v="0"/>
    <n v="1"/>
    <n v="4"/>
    <s v="Good(&gt;=3)"/>
    <n v="1"/>
    <s v="Short(&lt;=4)"/>
    <n v="0"/>
    <x v="0"/>
    <n v="0"/>
    <s v="Reasonable(&lt;=3)"/>
  </r>
  <r>
    <x v="19"/>
    <s v="Middle_Age(30-50)"/>
    <x v="1"/>
    <s v="Rarely"/>
    <s v="Research &amp; Development"/>
    <n v="2"/>
    <s v="Nearby(&lt;=5)"/>
    <n v="3"/>
    <s v="Satisfied(&gt;=3)"/>
    <x v="0"/>
    <n v="3"/>
    <s v="Medium"/>
    <n v="2"/>
    <x v="0"/>
    <x v="4"/>
    <n v="4"/>
    <s v="Satisfied(&gt;=3)"/>
    <x v="1"/>
    <n v="1"/>
    <s v="Y"/>
    <x v="1"/>
    <n v="13"/>
    <x v="0"/>
    <n v="10"/>
    <n v="3"/>
    <s v="Good(&gt;=3)"/>
    <n v="10"/>
    <s v="Long(5-10)"/>
    <n v="2"/>
    <x v="0"/>
    <n v="2"/>
    <s v="Reasonable(&lt;=3)"/>
  </r>
  <r>
    <x v="23"/>
    <s v="Middle_Age(30-50)"/>
    <x v="1"/>
    <s v="Rarely"/>
    <s v="Research &amp; Development"/>
    <n v="6"/>
    <s v="Middistance(6-14)"/>
    <n v="2"/>
    <s v="Not_Satisfied(&lt;3)"/>
    <x v="1"/>
    <n v="2"/>
    <s v="Low"/>
    <n v="4"/>
    <x v="2"/>
    <x v="7"/>
    <n v="4"/>
    <s v="Satisfied(&gt;=3)"/>
    <x v="2"/>
    <n v="4"/>
    <s v="Y"/>
    <x v="0"/>
    <n v="14"/>
    <x v="0"/>
    <n v="21"/>
    <n v="2"/>
    <s v="Poor(&lt;=2)"/>
    <n v="1"/>
    <s v="Short(&lt;=4)"/>
    <n v="0"/>
    <x v="0"/>
    <n v="0"/>
    <s v="Reasonable(&lt;=3)"/>
  </r>
  <r>
    <x v="8"/>
    <s v="Middle_Age(30-50)"/>
    <x v="1"/>
    <s v="Rarely"/>
    <s v="Research &amp; Development"/>
    <n v="1"/>
    <s v="Nearby(&lt;=5)"/>
    <n v="3"/>
    <s v="Satisfied(&gt;=3)"/>
    <x v="0"/>
    <n v="3"/>
    <s v="Medium"/>
    <n v="1"/>
    <x v="0"/>
    <x v="1"/>
    <n v="1"/>
    <s v="Not_Satisfied(&lt;=2)"/>
    <x v="0"/>
    <n v="3"/>
    <s v="Y"/>
    <x v="1"/>
    <n v="17"/>
    <x v="0"/>
    <n v="8"/>
    <n v="2"/>
    <s v="Poor(&lt;=2)"/>
    <n v="0"/>
    <s v="Short(&lt;=4)"/>
    <n v="0"/>
    <x v="0"/>
    <n v="0"/>
    <s v="Reasonable(&lt;=3)"/>
  </r>
  <r>
    <x v="23"/>
    <s v="Middle_Age(30-50)"/>
    <x v="1"/>
    <s v="Frequently"/>
    <s v="Research &amp; Development"/>
    <n v="9"/>
    <s v="Middistance(6-14)"/>
    <n v="4"/>
    <s v="Satisfied(&gt;=3)"/>
    <x v="1"/>
    <n v="3"/>
    <s v="Medium"/>
    <n v="2"/>
    <x v="0"/>
    <x v="2"/>
    <n v="3"/>
    <s v="Satisfied(&gt;=3)"/>
    <x v="2"/>
    <n v="3"/>
    <s v="Y"/>
    <x v="0"/>
    <n v="13"/>
    <x v="0"/>
    <n v="10"/>
    <n v="3"/>
    <s v="Good(&gt;=3)"/>
    <n v="8"/>
    <s v="Long(5-10)"/>
    <n v="7"/>
    <x v="1"/>
    <n v="4"/>
    <s v="Not_Reasonable(&gt;3)"/>
  </r>
  <r>
    <x v="26"/>
    <s v="Middle_Age(30-50)"/>
    <x v="1"/>
    <s v="Rarely"/>
    <s v="Research &amp; Development"/>
    <n v="1"/>
    <s v="Nearby(&lt;=5)"/>
    <n v="4"/>
    <s v="Satisfied(&gt;=3)"/>
    <x v="0"/>
    <n v="2"/>
    <s v="Low"/>
    <n v="4"/>
    <x v="2"/>
    <x v="5"/>
    <n v="1"/>
    <s v="Not_Satisfied(&lt;=2)"/>
    <x v="1"/>
    <n v="7"/>
    <s v="Y"/>
    <x v="1"/>
    <n v="11"/>
    <x v="0"/>
    <n v="21"/>
    <n v="1"/>
    <s v="Poor(&lt;=2)"/>
    <n v="3"/>
    <s v="Short(&lt;=4)"/>
    <n v="2"/>
    <x v="0"/>
    <n v="0"/>
    <s v="Reasonable(&lt;=3)"/>
  </r>
  <r>
    <x v="20"/>
    <s v="Middle_Age(30-50)"/>
    <x v="1"/>
    <s v="Rarely"/>
    <s v="Human Resources"/>
    <n v="1"/>
    <s v="Nearby(&lt;=5)"/>
    <n v="1"/>
    <s v="Not_Satisfied(&lt;3)"/>
    <x v="0"/>
    <n v="2"/>
    <s v="Low"/>
    <n v="2"/>
    <x v="0"/>
    <x v="8"/>
    <n v="3"/>
    <s v="Satisfied(&gt;=3)"/>
    <x v="0"/>
    <n v="4"/>
    <s v="Y"/>
    <x v="1"/>
    <n v="11"/>
    <x v="0"/>
    <n v="10"/>
    <n v="4"/>
    <s v="Good(&gt;=3)"/>
    <n v="2"/>
    <s v="Short(&lt;=4)"/>
    <n v="2"/>
    <x v="0"/>
    <n v="0"/>
    <s v="Reasonable(&lt;=3)"/>
  </r>
  <r>
    <x v="13"/>
    <s v="Middle_Age(30-50)"/>
    <x v="1"/>
    <s v="Rarely"/>
    <s v="Sales"/>
    <n v="14"/>
    <s v="Middistance(6-14)"/>
    <n v="3"/>
    <s v="Satisfied(&gt;=3)"/>
    <x v="0"/>
    <n v="3"/>
    <s v="Medium"/>
    <n v="1"/>
    <x v="0"/>
    <x v="6"/>
    <n v="3"/>
    <s v="Satisfied(&gt;=3)"/>
    <x v="2"/>
    <n v="1"/>
    <s v="Y"/>
    <x v="0"/>
    <n v="18"/>
    <x v="0"/>
    <n v="8"/>
    <n v="3"/>
    <s v="Good(&gt;=3)"/>
    <n v="8"/>
    <s v="Long(5-10)"/>
    <n v="2"/>
    <x v="0"/>
    <n v="0"/>
    <s v="Reasonable(&lt;=3)"/>
  </r>
  <r>
    <x v="4"/>
    <s v="Young(&lt;=29)"/>
    <x v="0"/>
    <s v="Rarely"/>
    <s v="Sales"/>
    <n v="2"/>
    <s v="Nearby(&lt;=5)"/>
    <n v="3"/>
    <s v="Satisfied(&gt;=3)"/>
    <x v="1"/>
    <n v="3"/>
    <s v="Medium"/>
    <n v="1"/>
    <x v="0"/>
    <x v="6"/>
    <n v="1"/>
    <s v="Not_Satisfied(&lt;=2)"/>
    <x v="2"/>
    <n v="0"/>
    <s v="Y"/>
    <x v="1"/>
    <n v="11"/>
    <x v="0"/>
    <n v="5"/>
    <n v="3"/>
    <s v="Good(&gt;=3)"/>
    <n v="4"/>
    <s v="Short(&lt;=4)"/>
    <n v="3"/>
    <x v="0"/>
    <n v="0"/>
    <s v="Reasonable(&lt;=3)"/>
  </r>
  <r>
    <x v="18"/>
    <s v="Young(&lt;=29)"/>
    <x v="1"/>
    <s v="Rarely"/>
    <s v="Sales"/>
    <n v="22"/>
    <s v="Far(&gt;=15)"/>
    <n v="3"/>
    <s v="Satisfied(&gt;=3)"/>
    <x v="1"/>
    <n v="3"/>
    <s v="Medium"/>
    <n v="1"/>
    <x v="0"/>
    <x v="6"/>
    <n v="3"/>
    <s v="Satisfied(&gt;=3)"/>
    <x v="0"/>
    <n v="1"/>
    <s v="Y"/>
    <x v="1"/>
    <n v="11"/>
    <x v="0"/>
    <n v="3"/>
    <n v="3"/>
    <s v="Good(&gt;=3)"/>
    <n v="3"/>
    <s v="Short(&lt;=4)"/>
    <n v="2"/>
    <x v="0"/>
    <n v="1"/>
    <s v="Reasonable(&lt;=3)"/>
  </r>
  <r>
    <x v="20"/>
    <s v="Middle_Age(30-50)"/>
    <x v="1"/>
    <s v="Rarely"/>
    <s v="Research &amp; Development"/>
    <n v="3"/>
    <s v="Nearby(&lt;=5)"/>
    <n v="4"/>
    <s v="Satisfied(&gt;=3)"/>
    <x v="1"/>
    <n v="3"/>
    <s v="Medium"/>
    <n v="5"/>
    <x v="2"/>
    <x v="5"/>
    <n v="4"/>
    <s v="Satisfied(&gt;=3)"/>
    <x v="1"/>
    <n v="4"/>
    <s v="Y"/>
    <x v="0"/>
    <n v="12"/>
    <x v="0"/>
    <n v="26"/>
    <n v="4"/>
    <s v="Good(&gt;=3)"/>
    <n v="2"/>
    <s v="Short(&lt;=4)"/>
    <n v="2"/>
    <x v="0"/>
    <n v="0"/>
    <s v="Reasonable(&lt;=3)"/>
  </r>
  <r>
    <x v="15"/>
    <s v="Young(&lt;=29)"/>
    <x v="1"/>
    <s v="Rarely"/>
    <s v="Research &amp; Development"/>
    <n v="6"/>
    <s v="Middistance(6-14)"/>
    <n v="1"/>
    <s v="Not_Satisfied(&lt;3)"/>
    <x v="1"/>
    <n v="3"/>
    <s v="Medium"/>
    <n v="1"/>
    <x v="0"/>
    <x v="1"/>
    <n v="3"/>
    <s v="Satisfied(&gt;=3)"/>
    <x v="1"/>
    <n v="0"/>
    <s v="Y"/>
    <x v="1"/>
    <n v="20"/>
    <x v="1"/>
    <n v="3"/>
    <n v="3"/>
    <s v="Good(&gt;=3)"/>
    <n v="2"/>
    <s v="Short(&lt;=4)"/>
    <n v="2"/>
    <x v="0"/>
    <n v="2"/>
    <s v="Reasonable(&lt;=3)"/>
  </r>
  <r>
    <x v="3"/>
    <s v="Middle_Age(30-50)"/>
    <x v="1"/>
    <s v="Rarely"/>
    <s v="Sales"/>
    <n v="8"/>
    <s v="Middistance(6-14)"/>
    <n v="3"/>
    <s v="Satisfied(&gt;=3)"/>
    <x v="1"/>
    <n v="3"/>
    <s v="Medium"/>
    <n v="2"/>
    <x v="0"/>
    <x v="0"/>
    <n v="3"/>
    <s v="Satisfied(&gt;=3)"/>
    <x v="2"/>
    <n v="0"/>
    <s v="Y"/>
    <x v="1"/>
    <n v="12"/>
    <x v="0"/>
    <n v="6"/>
    <n v="3"/>
    <s v="Good(&gt;=3)"/>
    <n v="5"/>
    <s v="Long(5-10)"/>
    <n v="0"/>
    <x v="0"/>
    <n v="1"/>
    <s v="Reasonable(&lt;=3)"/>
  </r>
  <r>
    <x v="5"/>
    <s v="Middle_Age(30-50)"/>
    <x v="1"/>
    <s v="Rarely"/>
    <s v="Research &amp; Development"/>
    <n v="9"/>
    <s v="Middistance(6-14)"/>
    <n v="1"/>
    <s v="Not_Satisfied(&lt;3)"/>
    <x v="0"/>
    <n v="3"/>
    <s v="Medium"/>
    <n v="2"/>
    <x v="0"/>
    <x v="1"/>
    <n v="4"/>
    <s v="Satisfied(&gt;=3)"/>
    <x v="1"/>
    <n v="1"/>
    <s v="Y"/>
    <x v="0"/>
    <n v="12"/>
    <x v="0"/>
    <n v="6"/>
    <n v="2"/>
    <s v="Poor(&lt;=2)"/>
    <n v="6"/>
    <s v="Long(5-10)"/>
    <n v="4"/>
    <x v="0"/>
    <n v="0"/>
    <s v="Reasonable(&lt;=3)"/>
  </r>
  <r>
    <x v="7"/>
    <s v="Middle_Age(30-50)"/>
    <x v="1"/>
    <s v="Frequently"/>
    <s v="Research &amp; Development"/>
    <n v="3"/>
    <s v="Nearby(&lt;=5)"/>
    <n v="3"/>
    <s v="Satisfied(&gt;=3)"/>
    <x v="0"/>
    <n v="3"/>
    <s v="Medium"/>
    <n v="1"/>
    <x v="0"/>
    <x v="1"/>
    <n v="3"/>
    <s v="Satisfied(&gt;=3)"/>
    <x v="2"/>
    <n v="1"/>
    <s v="Y"/>
    <x v="1"/>
    <n v="20"/>
    <x v="1"/>
    <n v="1"/>
    <n v="3"/>
    <s v="Good(&gt;=3)"/>
    <n v="1"/>
    <s v="Short(&lt;=4)"/>
    <n v="0"/>
    <x v="0"/>
    <n v="0"/>
    <s v="Reasonable(&lt;=3)"/>
  </r>
  <r>
    <x v="16"/>
    <s v="Old(&gt;50)"/>
    <x v="1"/>
    <s v="Rarely"/>
    <s v="Sales"/>
    <n v="1"/>
    <s v="Nearby(&lt;=5)"/>
    <n v="4"/>
    <s v="Satisfied(&gt;=3)"/>
    <x v="0"/>
    <n v="3"/>
    <s v="Medium"/>
    <n v="2"/>
    <x v="0"/>
    <x v="0"/>
    <n v="1"/>
    <s v="Not_Satisfied(&lt;=2)"/>
    <x v="0"/>
    <n v="7"/>
    <s v="Y"/>
    <x v="1"/>
    <n v="20"/>
    <x v="1"/>
    <n v="18"/>
    <n v="4"/>
    <s v="Good(&gt;=3)"/>
    <n v="14"/>
    <s v="Ultra_Long(&gt;10)"/>
    <n v="7"/>
    <x v="1"/>
    <n v="8"/>
    <s v="Not_Reasonable(&gt;3)"/>
  </r>
  <r>
    <x v="13"/>
    <s v="Middle_Age(30-50)"/>
    <x v="1"/>
    <s v="Rarely"/>
    <s v="Research &amp; Development"/>
    <n v="1"/>
    <s v="Nearby(&lt;=5)"/>
    <n v="2"/>
    <s v="Not_Satisfied(&lt;3)"/>
    <x v="1"/>
    <n v="3"/>
    <s v="Medium"/>
    <n v="1"/>
    <x v="0"/>
    <x v="1"/>
    <n v="4"/>
    <s v="Satisfied(&gt;=3)"/>
    <x v="1"/>
    <n v="1"/>
    <s v="Y"/>
    <x v="1"/>
    <n v="12"/>
    <x v="0"/>
    <n v="10"/>
    <n v="2"/>
    <s v="Poor(&lt;=2)"/>
    <n v="10"/>
    <s v="Long(5-10)"/>
    <n v="9"/>
    <x v="1"/>
    <n v="8"/>
    <s v="Not_Reasonable(&gt;3)"/>
  </r>
  <r>
    <x v="28"/>
    <s v="Middle_Age(30-50)"/>
    <x v="0"/>
    <s v="Frequently"/>
    <s v="Sales"/>
    <n v="26"/>
    <s v="Far(&gt;=15)"/>
    <n v="1"/>
    <s v="Not_Satisfied(&lt;3)"/>
    <x v="0"/>
    <n v="3"/>
    <s v="Medium"/>
    <n v="2"/>
    <x v="0"/>
    <x v="0"/>
    <n v="1"/>
    <s v="Not_Satisfied(&lt;=2)"/>
    <x v="1"/>
    <n v="2"/>
    <s v="Y"/>
    <x v="1"/>
    <n v="14"/>
    <x v="0"/>
    <n v="5"/>
    <n v="3"/>
    <s v="Good(&gt;=3)"/>
    <n v="1"/>
    <s v="Short(&lt;=4)"/>
    <n v="1"/>
    <x v="0"/>
    <n v="0"/>
    <s v="Reasonable(&lt;=3)"/>
  </r>
  <r>
    <x v="25"/>
    <s v="Young(&lt;=29)"/>
    <x v="1"/>
    <s v="Rarely"/>
    <s v="Research &amp; Development"/>
    <n v="6"/>
    <s v="Middistance(6-14)"/>
    <n v="3"/>
    <s v="Satisfied(&gt;=3)"/>
    <x v="0"/>
    <n v="3"/>
    <s v="Medium"/>
    <n v="1"/>
    <x v="0"/>
    <x v="2"/>
    <n v="4"/>
    <s v="Satisfied(&gt;=3)"/>
    <x v="1"/>
    <n v="1"/>
    <s v="Y"/>
    <x v="0"/>
    <n v="13"/>
    <x v="0"/>
    <n v="3"/>
    <n v="3"/>
    <s v="Good(&gt;=3)"/>
    <n v="3"/>
    <s v="Short(&lt;=4)"/>
    <n v="2"/>
    <x v="0"/>
    <n v="0"/>
    <s v="Reasonable(&lt;=3)"/>
  </r>
  <r>
    <x v="2"/>
    <s v="Middle_Age(30-50)"/>
    <x v="1"/>
    <s v="Rarely"/>
    <s v="Research &amp; Development"/>
    <n v="3"/>
    <s v="Nearby(&lt;=5)"/>
    <n v="3"/>
    <s v="Satisfied(&gt;=3)"/>
    <x v="1"/>
    <n v="3"/>
    <s v="Medium"/>
    <n v="3"/>
    <x v="1"/>
    <x v="3"/>
    <n v="3"/>
    <s v="Satisfied(&gt;=3)"/>
    <x v="1"/>
    <n v="1"/>
    <s v="Y"/>
    <x v="1"/>
    <n v="15"/>
    <x v="0"/>
    <n v="10"/>
    <n v="3"/>
    <s v="Good(&gt;=3)"/>
    <n v="10"/>
    <s v="Long(5-10)"/>
    <n v="7"/>
    <x v="1"/>
    <n v="7"/>
    <s v="Not_Reasonable(&gt;3)"/>
  </r>
  <r>
    <x v="11"/>
    <s v="Young(&lt;=29)"/>
    <x v="1"/>
    <s v="Rarely"/>
    <s v="Sales"/>
    <n v="3"/>
    <s v="Nearby(&lt;=5)"/>
    <n v="2"/>
    <s v="Not_Satisfied(&lt;3)"/>
    <x v="0"/>
    <n v="3"/>
    <s v="Medium"/>
    <n v="2"/>
    <x v="0"/>
    <x v="0"/>
    <n v="3"/>
    <s v="Satisfied(&gt;=3)"/>
    <x v="1"/>
    <n v="1"/>
    <s v="Y"/>
    <x v="1"/>
    <n v="14"/>
    <x v="0"/>
    <n v="6"/>
    <n v="2"/>
    <s v="Poor(&lt;=2)"/>
    <n v="6"/>
    <s v="Long(5-10)"/>
    <n v="0"/>
    <x v="0"/>
    <n v="1"/>
    <s v="Reasonable(&lt;=3)"/>
  </r>
  <r>
    <x v="10"/>
    <s v="Middle_Age(30-50)"/>
    <x v="1"/>
    <s v="Rarely"/>
    <s v="Research &amp; Development"/>
    <n v="6"/>
    <s v="Middistance(6-14)"/>
    <n v="2"/>
    <s v="Not_Satisfied(&lt;3)"/>
    <x v="1"/>
    <n v="1"/>
    <s v="Low"/>
    <n v="2"/>
    <x v="0"/>
    <x v="1"/>
    <n v="4"/>
    <s v="Satisfied(&gt;=3)"/>
    <x v="0"/>
    <n v="1"/>
    <s v="Y"/>
    <x v="1"/>
    <n v="13"/>
    <x v="0"/>
    <n v="17"/>
    <n v="3"/>
    <s v="Good(&gt;=3)"/>
    <n v="17"/>
    <s v="Ultra_Long(&gt;10)"/>
    <n v="11"/>
    <x v="2"/>
    <n v="11"/>
    <s v="Not_Reasonable(&gt;3)"/>
  </r>
  <r>
    <x v="3"/>
    <s v="Middle_Age(30-50)"/>
    <x v="1"/>
    <s v="Frequently"/>
    <s v="Research &amp; Development"/>
    <n v="6"/>
    <s v="Middistance(6-14)"/>
    <n v="3"/>
    <s v="Satisfied(&gt;=3)"/>
    <x v="1"/>
    <n v="3"/>
    <s v="Medium"/>
    <n v="2"/>
    <x v="0"/>
    <x v="4"/>
    <n v="4"/>
    <s v="Satisfied(&gt;=3)"/>
    <x v="2"/>
    <n v="3"/>
    <s v="Y"/>
    <x v="1"/>
    <n v="23"/>
    <x v="1"/>
    <n v="15"/>
    <n v="1"/>
    <s v="Poor(&lt;=2)"/>
    <n v="13"/>
    <s v="Ultra_Long(&gt;10)"/>
    <n v="11"/>
    <x v="2"/>
    <n v="4"/>
    <s v="Not_Reasonable(&gt;3)"/>
  </r>
  <r>
    <x v="33"/>
    <s v="Old(&gt;50)"/>
    <x v="1"/>
    <s v="Rarely"/>
    <s v="Human Resources"/>
    <n v="19"/>
    <s v="Far(&gt;=15)"/>
    <n v="3"/>
    <s v="Satisfied(&gt;=3)"/>
    <x v="1"/>
    <n v="3"/>
    <s v="Medium"/>
    <n v="3"/>
    <x v="1"/>
    <x v="8"/>
    <n v="2"/>
    <s v="Not_Satisfied(&lt;=2)"/>
    <x v="1"/>
    <n v="2"/>
    <s v="Y"/>
    <x v="1"/>
    <n v="15"/>
    <x v="0"/>
    <n v="16"/>
    <n v="4"/>
    <s v="Good(&gt;=3)"/>
    <n v="9"/>
    <s v="Long(5-10)"/>
    <n v="7"/>
    <x v="1"/>
    <n v="7"/>
    <s v="Not_Reasonable(&gt;3)"/>
  </r>
  <r>
    <x v="9"/>
    <s v="Middle_Age(30-50)"/>
    <x v="1"/>
    <s v="Rarely"/>
    <s v="Research &amp; Development"/>
    <n v="9"/>
    <s v="Middistance(6-14)"/>
    <n v="2"/>
    <s v="Not_Satisfied(&lt;3)"/>
    <x v="1"/>
    <n v="2"/>
    <s v="Low"/>
    <n v="2"/>
    <x v="0"/>
    <x v="3"/>
    <n v="2"/>
    <s v="Not_Satisfied(&lt;=2)"/>
    <x v="2"/>
    <n v="2"/>
    <s v="Y"/>
    <x v="0"/>
    <n v="11"/>
    <x v="0"/>
    <n v="13"/>
    <n v="3"/>
    <s v="Good(&gt;=3)"/>
    <n v="3"/>
    <s v="Short(&lt;=4)"/>
    <n v="2"/>
    <x v="0"/>
    <n v="0"/>
    <s v="Reasonable(&lt;=3)"/>
  </r>
  <r>
    <x v="4"/>
    <s v="Young(&lt;=29)"/>
    <x v="1"/>
    <s v="Rarely"/>
    <s v="Research &amp; Development"/>
    <n v="3"/>
    <s v="Nearby(&lt;=5)"/>
    <n v="1"/>
    <s v="Not_Satisfied(&lt;3)"/>
    <x v="1"/>
    <n v="2"/>
    <s v="Low"/>
    <n v="1"/>
    <x v="0"/>
    <x v="1"/>
    <n v="4"/>
    <s v="Satisfied(&gt;=3)"/>
    <x v="0"/>
    <n v="0"/>
    <s v="Y"/>
    <x v="1"/>
    <n v="13"/>
    <x v="0"/>
    <n v="5"/>
    <n v="3"/>
    <s v="Good(&gt;=3)"/>
    <n v="4"/>
    <s v="Short(&lt;=4)"/>
    <n v="2"/>
    <x v="0"/>
    <n v="1"/>
    <s v="Reasonable(&lt;=3)"/>
  </r>
  <r>
    <x v="35"/>
    <s v="Young(&lt;=29)"/>
    <x v="0"/>
    <s v="Rarely"/>
    <s v="Research &amp; Development"/>
    <n v="10"/>
    <s v="Middistance(6-14)"/>
    <n v="4"/>
    <s v="Satisfied(&gt;=3)"/>
    <x v="1"/>
    <n v="3"/>
    <s v="Medium"/>
    <n v="1"/>
    <x v="0"/>
    <x v="1"/>
    <n v="3"/>
    <s v="Satisfied(&gt;=3)"/>
    <x v="0"/>
    <n v="1"/>
    <s v="Y"/>
    <x v="0"/>
    <n v="11"/>
    <x v="0"/>
    <n v="1"/>
    <n v="3"/>
    <s v="Good(&gt;=3)"/>
    <n v="1"/>
    <s v="Short(&lt;=4)"/>
    <n v="0"/>
    <x v="0"/>
    <n v="1"/>
    <s v="Reasonable(&lt;=3)"/>
  </r>
  <r>
    <x v="3"/>
    <s v="Middle_Age(30-50)"/>
    <x v="0"/>
    <s v="Frequently"/>
    <s v="Research &amp; Development"/>
    <n v="3"/>
    <s v="Nearby(&lt;=5)"/>
    <n v="1"/>
    <s v="Not_Satisfied(&lt;3)"/>
    <x v="1"/>
    <n v="3"/>
    <s v="Medium"/>
    <n v="1"/>
    <x v="0"/>
    <x v="1"/>
    <n v="1"/>
    <s v="Not_Satisfied(&lt;=2)"/>
    <x v="0"/>
    <n v="1"/>
    <s v="Y"/>
    <x v="0"/>
    <n v="11"/>
    <x v="0"/>
    <n v="10"/>
    <n v="3"/>
    <s v="Good(&gt;=3)"/>
    <n v="10"/>
    <s v="Long(5-10)"/>
    <n v="8"/>
    <x v="1"/>
    <n v="9"/>
    <s v="Not_Reasonable(&gt;3)"/>
  </r>
  <r>
    <x v="10"/>
    <s v="Middle_Age(30-50)"/>
    <x v="1"/>
    <s v="Rarely"/>
    <s v="Research &amp; Development"/>
    <n v="3"/>
    <s v="Nearby(&lt;=5)"/>
    <n v="3"/>
    <s v="Satisfied(&gt;=3)"/>
    <x v="1"/>
    <n v="2"/>
    <s v="Low"/>
    <n v="1"/>
    <x v="0"/>
    <x v="2"/>
    <n v="3"/>
    <s v="Satisfied(&gt;=3)"/>
    <x v="1"/>
    <n v="1"/>
    <s v="Y"/>
    <x v="1"/>
    <n v="18"/>
    <x v="0"/>
    <n v="1"/>
    <n v="3"/>
    <s v="Good(&gt;=3)"/>
    <n v="1"/>
    <s v="Short(&lt;=4)"/>
    <n v="0"/>
    <x v="0"/>
    <n v="0"/>
    <s v="Reasonable(&lt;=3)"/>
  </r>
  <r>
    <x v="30"/>
    <s v="Young(&lt;=29)"/>
    <x v="1"/>
    <s v="Rarely"/>
    <s v="Research &amp; Development"/>
    <n v="4"/>
    <s v="Nearby(&lt;=5)"/>
    <n v="1"/>
    <s v="Not_Satisfied(&lt;3)"/>
    <x v="1"/>
    <n v="4"/>
    <s v="High"/>
    <n v="1"/>
    <x v="0"/>
    <x v="1"/>
    <n v="1"/>
    <s v="Not_Satisfied(&lt;=2)"/>
    <x v="1"/>
    <n v="2"/>
    <s v="Y"/>
    <x v="1"/>
    <n v="16"/>
    <x v="0"/>
    <n v="5"/>
    <n v="4"/>
    <s v="Good(&gt;=3)"/>
    <n v="3"/>
    <s v="Short(&lt;=4)"/>
    <n v="2"/>
    <x v="0"/>
    <n v="0"/>
    <s v="Reasonable(&lt;=3)"/>
  </r>
  <r>
    <x v="36"/>
    <s v="Young(&lt;=29)"/>
    <x v="1"/>
    <s v="Rarely"/>
    <s v="Sales"/>
    <n v="8"/>
    <s v="Middistance(6-14)"/>
    <n v="4"/>
    <s v="Satisfied(&gt;=3)"/>
    <x v="1"/>
    <n v="4"/>
    <s v="High"/>
    <n v="2"/>
    <x v="0"/>
    <x v="0"/>
    <n v="2"/>
    <s v="Not_Satisfied(&lt;=2)"/>
    <x v="1"/>
    <n v="0"/>
    <s v="Y"/>
    <x v="1"/>
    <n v="22"/>
    <x v="1"/>
    <n v="4"/>
    <n v="3"/>
    <s v="Good(&gt;=3)"/>
    <n v="3"/>
    <s v="Short(&lt;=4)"/>
    <n v="2"/>
    <x v="0"/>
    <n v="1"/>
    <s v="Reasonable(&lt;=3)"/>
  </r>
  <r>
    <x v="8"/>
    <s v="Middle_Age(30-50)"/>
    <x v="1"/>
    <s v="Rarely"/>
    <s v="Sales"/>
    <n v="7"/>
    <s v="Middistance(6-14)"/>
    <n v="4"/>
    <s v="Satisfied(&gt;=3)"/>
    <x v="0"/>
    <n v="2"/>
    <s v="Low"/>
    <n v="2"/>
    <x v="0"/>
    <x v="0"/>
    <n v="4"/>
    <s v="Satisfied(&gt;=3)"/>
    <x v="0"/>
    <n v="0"/>
    <s v="Y"/>
    <x v="1"/>
    <n v="20"/>
    <x v="1"/>
    <n v="8"/>
    <n v="3"/>
    <s v="Good(&gt;=3)"/>
    <n v="7"/>
    <s v="Long(5-10)"/>
    <n v="7"/>
    <x v="1"/>
    <n v="0"/>
    <s v="Reasonable(&lt;=3)"/>
  </r>
  <r>
    <x v="11"/>
    <s v="Young(&lt;=29)"/>
    <x v="1"/>
    <s v="Frequently"/>
    <s v="Research &amp; Development"/>
    <n v="1"/>
    <s v="Nearby(&lt;=5)"/>
    <n v="2"/>
    <s v="Not_Satisfied(&lt;3)"/>
    <x v="1"/>
    <n v="1"/>
    <s v="Low"/>
    <n v="1"/>
    <x v="0"/>
    <x v="1"/>
    <n v="4"/>
    <s v="Satisfied(&gt;=3)"/>
    <x v="2"/>
    <n v="1"/>
    <s v="Y"/>
    <x v="1"/>
    <n v="18"/>
    <x v="0"/>
    <n v="10"/>
    <n v="3"/>
    <s v="Good(&gt;=3)"/>
    <n v="10"/>
    <s v="Long(5-10)"/>
    <n v="7"/>
    <x v="1"/>
    <n v="2"/>
    <s v="Reasonable(&lt;=3)"/>
  </r>
  <r>
    <x v="26"/>
    <s v="Middle_Age(30-50)"/>
    <x v="1"/>
    <s v="Rarely"/>
    <s v="Sales"/>
    <n v="2"/>
    <s v="Nearby(&lt;=5)"/>
    <n v="2"/>
    <s v="Not_Satisfied(&lt;3)"/>
    <x v="1"/>
    <n v="4"/>
    <s v="High"/>
    <n v="2"/>
    <x v="0"/>
    <x v="0"/>
    <n v="2"/>
    <s v="Not_Satisfied(&lt;=2)"/>
    <x v="1"/>
    <n v="3"/>
    <s v="Y"/>
    <x v="1"/>
    <n v="12"/>
    <x v="0"/>
    <n v="12"/>
    <n v="3"/>
    <s v="Good(&gt;=3)"/>
    <n v="2"/>
    <s v="Short(&lt;=4)"/>
    <n v="2"/>
    <x v="0"/>
    <n v="2"/>
    <s v="Reasonable(&lt;=3)"/>
  </r>
  <r>
    <x v="4"/>
    <s v="Young(&lt;=29)"/>
    <x v="1"/>
    <s v="Frequently"/>
    <s v="Sales"/>
    <n v="3"/>
    <s v="Nearby(&lt;=5)"/>
    <n v="4"/>
    <s v="Satisfied(&gt;=3)"/>
    <x v="0"/>
    <n v="4"/>
    <s v="High"/>
    <n v="2"/>
    <x v="0"/>
    <x v="0"/>
    <n v="4"/>
    <s v="Satisfied(&gt;=3)"/>
    <x v="2"/>
    <n v="1"/>
    <s v="Y"/>
    <x v="0"/>
    <n v="20"/>
    <x v="1"/>
    <n v="6"/>
    <n v="3"/>
    <s v="Good(&gt;=3)"/>
    <n v="6"/>
    <s v="Long(5-10)"/>
    <n v="5"/>
    <x v="1"/>
    <n v="0"/>
    <s v="Reasonable(&lt;=3)"/>
  </r>
  <r>
    <x v="2"/>
    <s v="Middle_Age(30-50)"/>
    <x v="1"/>
    <s v="Rarely"/>
    <s v="Research &amp; Development"/>
    <n v="10"/>
    <s v="Middistance(6-14)"/>
    <n v="4"/>
    <s v="Satisfied(&gt;=3)"/>
    <x v="1"/>
    <n v="4"/>
    <s v="High"/>
    <n v="1"/>
    <x v="0"/>
    <x v="1"/>
    <n v="4"/>
    <s v="Satisfied(&gt;=3)"/>
    <x v="0"/>
    <n v="3"/>
    <s v="Y"/>
    <x v="1"/>
    <n v="17"/>
    <x v="0"/>
    <n v="4"/>
    <n v="3"/>
    <s v="Good(&gt;=3)"/>
    <n v="1"/>
    <s v="Short(&lt;=4)"/>
    <n v="0"/>
    <x v="0"/>
    <n v="0"/>
    <s v="Reasonable(&lt;=3)"/>
  </r>
  <r>
    <x v="24"/>
    <s v="Middle_Age(30-50)"/>
    <x v="1"/>
    <s v="Rarely"/>
    <s v="Research &amp; Development"/>
    <n v="28"/>
    <s v="Far(&gt;=15)"/>
    <n v="4"/>
    <s v="Satisfied(&gt;=3)"/>
    <x v="1"/>
    <n v="4"/>
    <s v="High"/>
    <n v="1"/>
    <x v="0"/>
    <x v="2"/>
    <n v="3"/>
    <s v="Satisfied(&gt;=3)"/>
    <x v="1"/>
    <n v="1"/>
    <s v="Y"/>
    <x v="0"/>
    <n v="11"/>
    <x v="0"/>
    <n v="20"/>
    <n v="3"/>
    <s v="Good(&gt;=3)"/>
    <n v="20"/>
    <s v="Ultra_Long(&gt;10)"/>
    <n v="8"/>
    <x v="1"/>
    <n v="3"/>
    <s v="Reasonable(&lt;=3)"/>
  </r>
  <r>
    <x v="13"/>
    <s v="Middle_Age(30-50)"/>
    <x v="1"/>
    <s v="Rarely"/>
    <s v="Research &amp; Development"/>
    <n v="9"/>
    <s v="Middistance(6-14)"/>
    <n v="4"/>
    <s v="Satisfied(&gt;=3)"/>
    <x v="0"/>
    <n v="2"/>
    <s v="Low"/>
    <n v="3"/>
    <x v="1"/>
    <x v="4"/>
    <n v="2"/>
    <s v="Not_Satisfied(&lt;=2)"/>
    <x v="0"/>
    <n v="1"/>
    <s v="Y"/>
    <x v="1"/>
    <n v="14"/>
    <x v="0"/>
    <n v="9"/>
    <n v="4"/>
    <s v="Good(&gt;=3)"/>
    <n v="8"/>
    <s v="Long(5-10)"/>
    <n v="7"/>
    <x v="1"/>
    <n v="7"/>
    <s v="Not_Reasonable(&gt;3)"/>
  </r>
  <r>
    <x v="17"/>
    <s v="Young(&lt;=29)"/>
    <x v="0"/>
    <s v="Rarely"/>
    <s v="Sales"/>
    <n v="3"/>
    <s v="Nearby(&lt;=5)"/>
    <n v="1"/>
    <s v="Not_Satisfied(&lt;3)"/>
    <x v="0"/>
    <n v="3"/>
    <s v="Medium"/>
    <n v="2"/>
    <x v="0"/>
    <x v="0"/>
    <n v="3"/>
    <s v="Satisfied(&gt;=3)"/>
    <x v="0"/>
    <n v="9"/>
    <s v="Y"/>
    <x v="1"/>
    <n v="14"/>
    <x v="0"/>
    <n v="4"/>
    <n v="3"/>
    <s v="Good(&gt;=3)"/>
    <n v="2"/>
    <s v="Short(&lt;=4)"/>
    <n v="2"/>
    <x v="0"/>
    <n v="2"/>
    <s v="Reasonable(&lt;=3)"/>
  </r>
  <r>
    <x v="22"/>
    <s v="Middle_Age(30-50)"/>
    <x v="1"/>
    <s v="Rarely"/>
    <s v="Research &amp; Development"/>
    <n v="2"/>
    <s v="Nearby(&lt;=5)"/>
    <n v="4"/>
    <s v="Satisfied(&gt;=3)"/>
    <x v="0"/>
    <n v="2"/>
    <s v="Low"/>
    <n v="2"/>
    <x v="0"/>
    <x v="4"/>
    <n v="3"/>
    <s v="Satisfied(&gt;=3)"/>
    <x v="0"/>
    <n v="1"/>
    <s v="Y"/>
    <x v="1"/>
    <n v="11"/>
    <x v="0"/>
    <n v="20"/>
    <n v="3"/>
    <s v="Good(&gt;=3)"/>
    <n v="20"/>
    <s v="Ultra_Long(&gt;10)"/>
    <n v="7"/>
    <x v="1"/>
    <n v="11"/>
    <s v="Not_Reasonable(&gt;3)"/>
  </r>
  <r>
    <x v="5"/>
    <s v="Middle_Age(30-50)"/>
    <x v="1"/>
    <s v="Rarely"/>
    <s v="Sales"/>
    <n v="10"/>
    <s v="Middistance(6-14)"/>
    <n v="4"/>
    <s v="Satisfied(&gt;=3)"/>
    <x v="1"/>
    <n v="3"/>
    <s v="Medium"/>
    <n v="2"/>
    <x v="0"/>
    <x v="0"/>
    <n v="4"/>
    <s v="Satisfied(&gt;=3)"/>
    <x v="0"/>
    <n v="1"/>
    <s v="Y"/>
    <x v="1"/>
    <n v="12"/>
    <x v="0"/>
    <n v="10"/>
    <n v="2"/>
    <s v="Poor(&lt;=2)"/>
    <n v="10"/>
    <s v="Long(5-10)"/>
    <n v="7"/>
    <x v="1"/>
    <n v="0"/>
    <s v="Reasonable(&lt;=3)"/>
  </r>
  <r>
    <x v="24"/>
    <s v="Middle_Age(30-50)"/>
    <x v="0"/>
    <s v="Frequently"/>
    <s v="Sales"/>
    <n v="8"/>
    <s v="Middistance(6-14)"/>
    <n v="2"/>
    <s v="Not_Satisfied(&lt;3)"/>
    <x v="1"/>
    <n v="3"/>
    <s v="Medium"/>
    <n v="2"/>
    <x v="0"/>
    <x v="0"/>
    <n v="3"/>
    <s v="Satisfied(&gt;=3)"/>
    <x v="1"/>
    <n v="3"/>
    <s v="Y"/>
    <x v="0"/>
    <n v="14"/>
    <x v="0"/>
    <n v="18"/>
    <n v="3"/>
    <s v="Good(&gt;=3)"/>
    <n v="4"/>
    <s v="Short(&lt;=4)"/>
    <n v="3"/>
    <x v="0"/>
    <n v="1"/>
    <s v="Reasonable(&lt;=3)"/>
  </r>
  <r>
    <x v="8"/>
    <s v="Middle_Age(30-50)"/>
    <x v="1"/>
    <s v="Rarely"/>
    <s v="Research &amp; Development"/>
    <n v="1"/>
    <s v="Nearby(&lt;=5)"/>
    <n v="2"/>
    <s v="Not_Satisfied(&lt;3)"/>
    <x v="0"/>
    <n v="4"/>
    <s v="High"/>
    <n v="2"/>
    <x v="0"/>
    <x v="4"/>
    <n v="4"/>
    <s v="Satisfied(&gt;=3)"/>
    <x v="0"/>
    <n v="0"/>
    <s v="Y"/>
    <x v="1"/>
    <n v="13"/>
    <x v="0"/>
    <n v="10"/>
    <n v="2"/>
    <s v="Poor(&lt;=2)"/>
    <n v="9"/>
    <s v="Long(5-10)"/>
    <n v="7"/>
    <x v="1"/>
    <n v="1"/>
    <s v="Reasonable(&lt;=3)"/>
  </r>
  <r>
    <x v="4"/>
    <s v="Young(&lt;=29)"/>
    <x v="1"/>
    <s v="Rarely"/>
    <s v="Research &amp; Development"/>
    <n v="1"/>
    <s v="Nearby(&lt;=5)"/>
    <n v="3"/>
    <s v="Satisfied(&gt;=3)"/>
    <x v="0"/>
    <n v="3"/>
    <s v="Medium"/>
    <n v="3"/>
    <x v="1"/>
    <x v="3"/>
    <n v="1"/>
    <s v="Not_Satisfied(&lt;=2)"/>
    <x v="1"/>
    <n v="1"/>
    <s v="Y"/>
    <x v="1"/>
    <n v="11"/>
    <x v="0"/>
    <n v="9"/>
    <n v="3"/>
    <s v="Good(&gt;=3)"/>
    <n v="9"/>
    <s v="Long(5-10)"/>
    <n v="7"/>
    <x v="1"/>
    <n v="0"/>
    <s v="Reasonable(&lt;=3)"/>
  </r>
  <r>
    <x v="5"/>
    <s v="Middle_Age(30-50)"/>
    <x v="1"/>
    <s v="Rarely"/>
    <s v="Research &amp; Development"/>
    <n v="3"/>
    <s v="Nearby(&lt;=5)"/>
    <n v="3"/>
    <s v="Satisfied(&gt;=3)"/>
    <x v="0"/>
    <n v="3"/>
    <s v="Medium"/>
    <n v="3"/>
    <x v="1"/>
    <x v="7"/>
    <n v="4"/>
    <s v="Satisfied(&gt;=3)"/>
    <x v="0"/>
    <n v="3"/>
    <s v="Y"/>
    <x v="1"/>
    <n v="15"/>
    <x v="0"/>
    <n v="10"/>
    <n v="3"/>
    <s v="Good(&gt;=3)"/>
    <n v="7"/>
    <s v="Long(5-10)"/>
    <n v="7"/>
    <x v="1"/>
    <n v="7"/>
    <s v="Not_Reasonable(&gt;3)"/>
  </r>
  <r>
    <x v="40"/>
    <s v="Middle_Age(30-50)"/>
    <x v="1"/>
    <s v="Rarely"/>
    <s v="Sales"/>
    <n v="14"/>
    <s v="Middistance(6-14)"/>
    <n v="4"/>
    <s v="Satisfied(&gt;=3)"/>
    <x v="1"/>
    <n v="3"/>
    <s v="Medium"/>
    <n v="2"/>
    <x v="0"/>
    <x v="0"/>
    <n v="1"/>
    <s v="Not_Satisfied(&lt;=2)"/>
    <x v="0"/>
    <n v="2"/>
    <s v="Y"/>
    <x v="1"/>
    <n v="12"/>
    <x v="0"/>
    <n v="20"/>
    <n v="3"/>
    <s v="Good(&gt;=3)"/>
    <n v="7"/>
    <s v="Long(5-10)"/>
    <n v="7"/>
    <x v="1"/>
    <n v="1"/>
    <s v="Reasonable(&lt;=3)"/>
  </r>
  <r>
    <x v="32"/>
    <s v="Middle_Age(30-50)"/>
    <x v="1"/>
    <s v="Frequently"/>
    <s v="Sales"/>
    <n v="5"/>
    <s v="Nearby(&lt;=5)"/>
    <n v="4"/>
    <s v="Satisfied(&gt;=3)"/>
    <x v="1"/>
    <n v="2"/>
    <s v="Low"/>
    <n v="3"/>
    <x v="1"/>
    <x v="0"/>
    <n v="1"/>
    <s v="Not_Satisfied(&lt;=2)"/>
    <x v="1"/>
    <n v="5"/>
    <s v="Y"/>
    <x v="0"/>
    <n v="21"/>
    <x v="1"/>
    <n v="20"/>
    <n v="3"/>
    <s v="Good(&gt;=3)"/>
    <n v="18"/>
    <s v="Ultra_Long(&gt;10)"/>
    <n v="13"/>
    <x v="2"/>
    <n v="1"/>
    <s v="Reasonable(&lt;=3)"/>
  </r>
  <r>
    <x v="16"/>
    <s v="Old(&gt;50)"/>
    <x v="1"/>
    <s v="Rarely"/>
    <s v="Research &amp; Development"/>
    <n v="7"/>
    <s v="Middistance(6-14)"/>
    <n v="3"/>
    <s v="Satisfied(&gt;=3)"/>
    <x v="1"/>
    <n v="4"/>
    <s v="High"/>
    <n v="4"/>
    <x v="2"/>
    <x v="7"/>
    <n v="3"/>
    <s v="Satisfied(&gt;=3)"/>
    <x v="1"/>
    <n v="3"/>
    <s v="Y"/>
    <x v="1"/>
    <n v="19"/>
    <x v="0"/>
    <n v="32"/>
    <n v="3"/>
    <s v="Good(&gt;=3)"/>
    <n v="5"/>
    <s v="Long(5-10)"/>
    <n v="1"/>
    <x v="0"/>
    <n v="1"/>
    <s v="Reasonable(&lt;=3)"/>
  </r>
  <r>
    <x v="0"/>
    <s v="Middle_Age(30-50)"/>
    <x v="1"/>
    <s v="Rarely"/>
    <s v="Human Resources"/>
    <n v="10"/>
    <s v="Middistance(6-14)"/>
    <n v="2"/>
    <s v="Not_Satisfied(&lt;3)"/>
    <x v="1"/>
    <n v="2"/>
    <s v="Low"/>
    <n v="5"/>
    <x v="2"/>
    <x v="5"/>
    <n v="4"/>
    <s v="Satisfied(&gt;=3)"/>
    <x v="2"/>
    <n v="3"/>
    <s v="Y"/>
    <x v="1"/>
    <n v="15"/>
    <x v="0"/>
    <n v="23"/>
    <n v="2"/>
    <s v="Poor(&lt;=2)"/>
    <n v="21"/>
    <s v="Ultra_Long(&gt;10)"/>
    <n v="6"/>
    <x v="1"/>
    <n v="12"/>
    <s v="Not_Reasonable(&gt;3)"/>
  </r>
  <r>
    <x v="42"/>
    <s v="Old(&gt;50)"/>
    <x v="1"/>
    <s v="Rarely"/>
    <s v="Sales"/>
    <n v="16"/>
    <s v="Far(&gt;=15)"/>
    <n v="1"/>
    <s v="Not_Satisfied(&lt;3)"/>
    <x v="1"/>
    <n v="3"/>
    <s v="Medium"/>
    <n v="2"/>
    <x v="0"/>
    <x v="0"/>
    <n v="1"/>
    <s v="Not_Satisfied(&lt;=2)"/>
    <x v="0"/>
    <n v="8"/>
    <s v="Y"/>
    <x v="1"/>
    <n v="14"/>
    <x v="0"/>
    <n v="10"/>
    <n v="3"/>
    <s v="Good(&gt;=3)"/>
    <n v="2"/>
    <s v="Short(&lt;=4)"/>
    <n v="2"/>
    <x v="0"/>
    <n v="2"/>
    <s v="Reasonable(&lt;=3)"/>
  </r>
  <r>
    <x v="4"/>
    <s v="Young(&lt;=29)"/>
    <x v="1"/>
    <s v="Frequently"/>
    <s v="Research &amp; Development"/>
    <n v="10"/>
    <s v="Middistance(6-14)"/>
    <n v="4"/>
    <s v="Satisfied(&gt;=3)"/>
    <x v="1"/>
    <n v="3"/>
    <s v="Medium"/>
    <n v="3"/>
    <x v="1"/>
    <x v="3"/>
    <n v="1"/>
    <s v="Not_Satisfied(&lt;=2)"/>
    <x v="2"/>
    <n v="1"/>
    <s v="Y"/>
    <x v="1"/>
    <n v="21"/>
    <x v="1"/>
    <n v="9"/>
    <n v="2"/>
    <s v="Poor(&lt;=2)"/>
    <n v="9"/>
    <s v="Long(5-10)"/>
    <n v="7"/>
    <x v="1"/>
    <n v="1"/>
    <s v="Reasonable(&lt;=3)"/>
  </r>
  <r>
    <x v="0"/>
    <s v="Middle_Age(30-50)"/>
    <x v="1"/>
    <s v="Rarely"/>
    <s v="Human Resources"/>
    <n v="1"/>
    <s v="Nearby(&lt;=5)"/>
    <n v="4"/>
    <s v="Satisfied(&gt;=3)"/>
    <x v="1"/>
    <n v="2"/>
    <s v="Low"/>
    <n v="5"/>
    <x v="2"/>
    <x v="5"/>
    <n v="3"/>
    <s v="Satisfied(&gt;=3)"/>
    <x v="1"/>
    <n v="1"/>
    <s v="Y"/>
    <x v="1"/>
    <n v="12"/>
    <x v="0"/>
    <n v="22"/>
    <n v="3"/>
    <s v="Good(&gt;=3)"/>
    <n v="22"/>
    <s v="Ultra_Long(&gt;10)"/>
    <n v="7"/>
    <x v="1"/>
    <n v="2"/>
    <s v="Reasonable(&lt;=3)"/>
  </r>
  <r>
    <x v="24"/>
    <s v="Middle_Age(30-50)"/>
    <x v="1"/>
    <s v="Rarely"/>
    <s v="Sales"/>
    <n v="8"/>
    <s v="Middistance(6-14)"/>
    <n v="4"/>
    <s v="Satisfied(&gt;=3)"/>
    <x v="1"/>
    <n v="3"/>
    <s v="Medium"/>
    <n v="1"/>
    <x v="0"/>
    <x v="6"/>
    <n v="2"/>
    <s v="Not_Satisfied(&lt;=2)"/>
    <x v="1"/>
    <n v="7"/>
    <s v="Y"/>
    <x v="1"/>
    <n v="15"/>
    <x v="0"/>
    <n v="4"/>
    <n v="3"/>
    <s v="Good(&gt;=3)"/>
    <n v="2"/>
    <s v="Short(&lt;=4)"/>
    <n v="2"/>
    <x v="0"/>
    <n v="2"/>
    <s v="Reasonable(&lt;=3)"/>
  </r>
  <r>
    <x v="14"/>
    <s v="Young(&lt;=29)"/>
    <x v="0"/>
    <s v="Rarely"/>
    <s v="Research &amp; Development"/>
    <n v="1"/>
    <s v="Nearby(&lt;=5)"/>
    <n v="1"/>
    <s v="Not_Satisfied(&lt;3)"/>
    <x v="0"/>
    <n v="1"/>
    <s v="Low"/>
    <n v="1"/>
    <x v="0"/>
    <x v="1"/>
    <n v="2"/>
    <s v="Not_Satisfied(&lt;=2)"/>
    <x v="0"/>
    <n v="7"/>
    <s v="Y"/>
    <x v="0"/>
    <n v="13"/>
    <x v="0"/>
    <n v="10"/>
    <n v="3"/>
    <s v="Good(&gt;=3)"/>
    <n v="7"/>
    <s v="Long(5-10)"/>
    <n v="7"/>
    <x v="1"/>
    <n v="3"/>
    <s v="Reasonable(&lt;=3)"/>
  </r>
  <r>
    <x v="9"/>
    <s v="Middle_Age(30-50)"/>
    <x v="1"/>
    <s v="Rarely"/>
    <s v="Research &amp; Development"/>
    <n v="8"/>
    <s v="Middistance(6-14)"/>
    <n v="1"/>
    <s v="Not_Satisfied(&lt;3)"/>
    <x v="0"/>
    <n v="4"/>
    <s v="High"/>
    <n v="3"/>
    <x v="1"/>
    <x v="7"/>
    <n v="1"/>
    <s v="Not_Satisfied(&lt;=2)"/>
    <x v="1"/>
    <n v="9"/>
    <s v="Y"/>
    <x v="1"/>
    <n v="14"/>
    <x v="0"/>
    <n v="10"/>
    <n v="3"/>
    <s v="Good(&gt;=3)"/>
    <n v="8"/>
    <s v="Long(5-10)"/>
    <n v="7"/>
    <x v="1"/>
    <n v="0"/>
    <s v="Reasonable(&lt;=3)"/>
  </r>
  <r>
    <x v="8"/>
    <s v="Middle_Age(30-50)"/>
    <x v="1"/>
    <s v="Rarely"/>
    <s v="Research &amp; Development"/>
    <n v="1"/>
    <s v="Nearby(&lt;=5)"/>
    <n v="3"/>
    <s v="Satisfied(&gt;=3)"/>
    <x v="0"/>
    <n v="3"/>
    <s v="Medium"/>
    <n v="3"/>
    <x v="1"/>
    <x v="3"/>
    <n v="3"/>
    <s v="Satisfied(&gt;=3)"/>
    <x v="0"/>
    <n v="4"/>
    <s v="Y"/>
    <x v="0"/>
    <n v="14"/>
    <x v="0"/>
    <n v="10"/>
    <n v="4"/>
    <s v="Good(&gt;=3)"/>
    <n v="1"/>
    <s v="Short(&lt;=4)"/>
    <n v="0"/>
    <x v="0"/>
    <n v="0"/>
    <s v="Reasonable(&lt;=3)"/>
  </r>
  <r>
    <x v="20"/>
    <s v="Middle_Age(30-50)"/>
    <x v="1"/>
    <s v="Rarely"/>
    <s v="Research &amp; Development"/>
    <n v="24"/>
    <s v="Far(&gt;=15)"/>
    <n v="1"/>
    <s v="Not_Satisfied(&lt;3)"/>
    <x v="1"/>
    <n v="1"/>
    <s v="Low"/>
    <n v="1"/>
    <x v="0"/>
    <x v="2"/>
    <n v="3"/>
    <s v="Satisfied(&gt;=3)"/>
    <x v="0"/>
    <n v="2"/>
    <s v="Y"/>
    <x v="1"/>
    <n v="14"/>
    <x v="0"/>
    <n v="9"/>
    <n v="3"/>
    <s v="Good(&gt;=3)"/>
    <n v="5"/>
    <s v="Long(5-10)"/>
    <n v="2"/>
    <x v="0"/>
    <n v="1"/>
    <s v="Reasonable(&lt;=3)"/>
  </r>
  <r>
    <x v="40"/>
    <s v="Middle_Age(30-50)"/>
    <x v="1"/>
    <s v="Frequently"/>
    <s v="Sales"/>
    <n v="3"/>
    <s v="Nearby(&lt;=5)"/>
    <n v="4"/>
    <s v="Satisfied(&gt;=3)"/>
    <x v="0"/>
    <n v="3"/>
    <s v="Medium"/>
    <n v="4"/>
    <x v="2"/>
    <x v="0"/>
    <n v="3"/>
    <s v="Satisfied(&gt;=3)"/>
    <x v="2"/>
    <n v="9"/>
    <s v="Y"/>
    <x v="0"/>
    <n v="12"/>
    <x v="0"/>
    <n v="28"/>
    <n v="2"/>
    <s v="Poor(&lt;=2)"/>
    <n v="22"/>
    <s v="Ultra_Long(&gt;10)"/>
    <n v="2"/>
    <x v="0"/>
    <n v="11"/>
    <s v="Not_Reasonable(&gt;3)"/>
  </r>
  <r>
    <x v="7"/>
    <s v="Middle_Age(30-50)"/>
    <x v="1"/>
    <s v="Rarely"/>
    <s v="Sales"/>
    <n v="27"/>
    <s v="Far(&gt;=15)"/>
    <n v="3"/>
    <s v="Satisfied(&gt;=3)"/>
    <x v="1"/>
    <n v="3"/>
    <s v="Medium"/>
    <n v="2"/>
    <x v="0"/>
    <x v="0"/>
    <n v="4"/>
    <s v="Satisfied(&gt;=3)"/>
    <x v="2"/>
    <n v="7"/>
    <s v="Y"/>
    <x v="1"/>
    <n v="23"/>
    <x v="1"/>
    <n v="10"/>
    <n v="2"/>
    <s v="Poor(&lt;=2)"/>
    <n v="8"/>
    <s v="Long(5-10)"/>
    <n v="7"/>
    <x v="1"/>
    <n v="7"/>
    <s v="Not_Reasonable(&gt;3)"/>
  </r>
  <r>
    <x v="11"/>
    <s v="Young(&lt;=29)"/>
    <x v="1"/>
    <s v="Rarely"/>
    <s v="Sales"/>
    <n v="10"/>
    <s v="Middistance(6-14)"/>
    <n v="3"/>
    <s v="Satisfied(&gt;=3)"/>
    <x v="1"/>
    <n v="3"/>
    <s v="Medium"/>
    <n v="1"/>
    <x v="0"/>
    <x v="6"/>
    <n v="3"/>
    <s v="Satisfied(&gt;=3)"/>
    <x v="0"/>
    <n v="1"/>
    <s v="Y"/>
    <x v="1"/>
    <n v="11"/>
    <x v="0"/>
    <n v="1"/>
    <n v="3"/>
    <s v="Good(&gt;=3)"/>
    <n v="1"/>
    <s v="Short(&lt;=4)"/>
    <n v="0"/>
    <x v="0"/>
    <n v="0"/>
    <s v="Reasonable(&lt;=3)"/>
  </r>
  <r>
    <x v="19"/>
    <s v="Middle_Age(30-50)"/>
    <x v="0"/>
    <s v="Frequently"/>
    <s v="Research &amp; Development"/>
    <n v="19"/>
    <s v="Far(&gt;=15)"/>
    <n v="3"/>
    <s v="Satisfied(&gt;=3)"/>
    <x v="1"/>
    <n v="4"/>
    <s v="High"/>
    <n v="1"/>
    <x v="0"/>
    <x v="1"/>
    <n v="3"/>
    <s v="Satisfied(&gt;=3)"/>
    <x v="2"/>
    <n v="6"/>
    <s v="Y"/>
    <x v="0"/>
    <n v="12"/>
    <x v="0"/>
    <n v="7"/>
    <n v="3"/>
    <s v="Good(&gt;=3)"/>
    <n v="2"/>
    <s v="Short(&lt;=4)"/>
    <n v="2"/>
    <x v="0"/>
    <n v="2"/>
    <s v="Reasonable(&lt;=3)"/>
  </r>
  <r>
    <x v="23"/>
    <s v="Middle_Age(30-50)"/>
    <x v="1"/>
    <s v="Frequently"/>
    <s v="Sales"/>
    <n v="15"/>
    <s v="Far(&gt;=15)"/>
    <n v="4"/>
    <s v="Satisfied(&gt;=3)"/>
    <x v="1"/>
    <n v="2"/>
    <s v="Low"/>
    <n v="2"/>
    <x v="0"/>
    <x v="0"/>
    <n v="4"/>
    <s v="Satisfied(&gt;=3)"/>
    <x v="1"/>
    <n v="3"/>
    <s v="Y"/>
    <x v="1"/>
    <n v="18"/>
    <x v="0"/>
    <n v="7"/>
    <n v="3"/>
    <s v="Good(&gt;=3)"/>
    <n v="2"/>
    <s v="Short(&lt;=4)"/>
    <n v="2"/>
    <x v="0"/>
    <n v="2"/>
    <s v="Reasonable(&lt;=3)"/>
  </r>
  <r>
    <x v="13"/>
    <s v="Middle_Age(30-50)"/>
    <x v="1"/>
    <s v="Rarely"/>
    <s v="Research &amp; Development"/>
    <n v="8"/>
    <s v="Middistance(6-14)"/>
    <n v="2"/>
    <s v="Not_Satisfied(&lt;3)"/>
    <x v="0"/>
    <n v="3"/>
    <s v="Medium"/>
    <n v="2"/>
    <x v="0"/>
    <x v="4"/>
    <n v="3"/>
    <s v="Satisfied(&gt;=3)"/>
    <x v="0"/>
    <n v="3"/>
    <s v="Y"/>
    <x v="1"/>
    <n v="11"/>
    <x v="0"/>
    <n v="10"/>
    <n v="3"/>
    <s v="Good(&gt;=3)"/>
    <n v="5"/>
    <s v="Long(5-10)"/>
    <n v="1"/>
    <x v="0"/>
    <n v="4"/>
    <s v="Not_Reasonable(&gt;3)"/>
  </r>
  <r>
    <x v="30"/>
    <s v="Young(&lt;=29)"/>
    <x v="1"/>
    <s v="Rarely"/>
    <s v="Research &amp; Development"/>
    <n v="9"/>
    <s v="Middistance(6-14)"/>
    <n v="2"/>
    <s v="Not_Satisfied(&lt;3)"/>
    <x v="1"/>
    <n v="3"/>
    <s v="Medium"/>
    <n v="1"/>
    <x v="0"/>
    <x v="2"/>
    <n v="1"/>
    <s v="Not_Satisfied(&lt;=2)"/>
    <x v="1"/>
    <n v="1"/>
    <s v="Y"/>
    <x v="1"/>
    <n v="14"/>
    <x v="0"/>
    <n v="5"/>
    <n v="4"/>
    <s v="Good(&gt;=3)"/>
    <n v="4"/>
    <s v="Short(&lt;=4)"/>
    <n v="3"/>
    <x v="0"/>
    <n v="0"/>
    <s v="Reasonable(&lt;=3)"/>
  </r>
  <r>
    <x v="22"/>
    <s v="Middle_Age(30-50)"/>
    <x v="1"/>
    <s v="Rarely"/>
    <s v="Human Resources"/>
    <n v="3"/>
    <s v="Nearby(&lt;=5)"/>
    <n v="3"/>
    <s v="Satisfied(&gt;=3)"/>
    <x v="0"/>
    <n v="4"/>
    <s v="High"/>
    <n v="2"/>
    <x v="0"/>
    <x v="8"/>
    <n v="2"/>
    <s v="Not_Satisfied(&lt;=2)"/>
    <x v="1"/>
    <n v="9"/>
    <s v="Y"/>
    <x v="1"/>
    <n v="15"/>
    <x v="0"/>
    <n v="12"/>
    <n v="1"/>
    <s v="Poor(&lt;=2)"/>
    <n v="8"/>
    <s v="Long(5-10)"/>
    <n v="3"/>
    <x v="0"/>
    <n v="3"/>
    <s v="Reasonable(&lt;=3)"/>
  </r>
  <r>
    <x v="29"/>
    <s v="Old(&gt;50)"/>
    <x v="1"/>
    <s v="Rarely"/>
    <s v="Research &amp; Development"/>
    <n v="9"/>
    <s v="Middistance(6-14)"/>
    <n v="3"/>
    <s v="Satisfied(&gt;=3)"/>
    <x v="1"/>
    <n v="3"/>
    <s v="Medium"/>
    <n v="4"/>
    <x v="2"/>
    <x v="4"/>
    <n v="4"/>
    <s v="Satisfied(&gt;=3)"/>
    <x v="1"/>
    <n v="7"/>
    <s v="Y"/>
    <x v="1"/>
    <n v="11"/>
    <x v="0"/>
    <n v="30"/>
    <n v="2"/>
    <s v="Poor(&lt;=2)"/>
    <n v="10"/>
    <s v="Long(5-10)"/>
    <n v="7"/>
    <x v="1"/>
    <n v="1"/>
    <s v="Reasonable(&lt;=3)"/>
  </r>
  <r>
    <x v="32"/>
    <s v="Middle_Age(30-50)"/>
    <x v="1"/>
    <s v="Rarely"/>
    <s v="Research &amp; Development"/>
    <n v="2"/>
    <s v="Nearby(&lt;=5)"/>
    <n v="4"/>
    <s v="Satisfied(&gt;=3)"/>
    <x v="0"/>
    <n v="2"/>
    <s v="Low"/>
    <n v="1"/>
    <x v="0"/>
    <x v="1"/>
    <n v="4"/>
    <s v="Satisfied(&gt;=3)"/>
    <x v="0"/>
    <n v="0"/>
    <s v="Y"/>
    <x v="0"/>
    <n v="20"/>
    <x v="1"/>
    <n v="5"/>
    <n v="2"/>
    <s v="Poor(&lt;=2)"/>
    <n v="4"/>
    <s v="Short(&lt;=4)"/>
    <n v="2"/>
    <x v="0"/>
    <n v="2"/>
    <s v="Reasonable(&lt;=3)"/>
  </r>
  <r>
    <x v="4"/>
    <s v="Young(&lt;=29)"/>
    <x v="1"/>
    <s v="Rarely"/>
    <s v="Research &amp; Development"/>
    <n v="7"/>
    <s v="Middistance(6-14)"/>
    <n v="4"/>
    <s v="Satisfied(&gt;=3)"/>
    <x v="0"/>
    <n v="2"/>
    <s v="Low"/>
    <n v="2"/>
    <x v="0"/>
    <x v="4"/>
    <n v="1"/>
    <s v="Not_Satisfied(&lt;=2)"/>
    <x v="0"/>
    <n v="8"/>
    <s v="Y"/>
    <x v="1"/>
    <n v="19"/>
    <x v="0"/>
    <n v="9"/>
    <n v="1"/>
    <s v="Poor(&lt;=2)"/>
    <n v="7"/>
    <s v="Long(5-10)"/>
    <n v="6"/>
    <x v="1"/>
    <n v="0"/>
    <s v="Reasonable(&lt;=3)"/>
  </r>
  <r>
    <x v="11"/>
    <s v="Young(&lt;=29)"/>
    <x v="1"/>
    <s v="Rarely"/>
    <s v="Sales"/>
    <n v="10"/>
    <s v="Middistance(6-14)"/>
    <n v="4"/>
    <s v="Satisfied(&gt;=3)"/>
    <x v="1"/>
    <n v="3"/>
    <s v="Medium"/>
    <n v="1"/>
    <x v="0"/>
    <x v="6"/>
    <n v="2"/>
    <s v="Not_Satisfied(&lt;=2)"/>
    <x v="2"/>
    <n v="1"/>
    <s v="Y"/>
    <x v="1"/>
    <n v="14"/>
    <x v="0"/>
    <n v="2"/>
    <n v="3"/>
    <s v="Good(&gt;=3)"/>
    <n v="2"/>
    <s v="Short(&lt;=4)"/>
    <n v="2"/>
    <x v="0"/>
    <n v="2"/>
    <s v="Reasonable(&lt;=3)"/>
  </r>
  <r>
    <x v="16"/>
    <s v="Old(&gt;50)"/>
    <x v="1"/>
    <s v="Rarely"/>
    <s v="Research &amp; Development"/>
    <n v="6"/>
    <s v="Middistance(6-14)"/>
    <n v="4"/>
    <s v="Satisfied(&gt;=3)"/>
    <x v="1"/>
    <n v="3"/>
    <s v="Medium"/>
    <n v="2"/>
    <x v="0"/>
    <x v="2"/>
    <n v="4"/>
    <s v="Satisfied(&gt;=3)"/>
    <x v="0"/>
    <n v="2"/>
    <s v="Y"/>
    <x v="1"/>
    <n v="17"/>
    <x v="0"/>
    <n v="19"/>
    <n v="3"/>
    <s v="Good(&gt;=3)"/>
    <n v="2"/>
    <s v="Short(&lt;=4)"/>
    <n v="2"/>
    <x v="0"/>
    <n v="2"/>
    <s v="Reasonable(&lt;=3)"/>
  </r>
  <r>
    <x v="10"/>
    <s v="Middle_Age(30-50)"/>
    <x v="1"/>
    <s v="Rarely"/>
    <s v="Research &amp; Development"/>
    <n v="2"/>
    <s v="Nearby(&lt;=5)"/>
    <n v="4"/>
    <s v="Satisfied(&gt;=3)"/>
    <x v="0"/>
    <n v="3"/>
    <s v="Medium"/>
    <n v="2"/>
    <x v="0"/>
    <x v="4"/>
    <n v="1"/>
    <s v="Not_Satisfied(&lt;=2)"/>
    <x v="2"/>
    <n v="2"/>
    <s v="Y"/>
    <x v="1"/>
    <n v="11"/>
    <x v="0"/>
    <n v="16"/>
    <n v="4"/>
    <s v="Good(&gt;=3)"/>
    <n v="1"/>
    <s v="Short(&lt;=4)"/>
    <n v="0"/>
    <x v="0"/>
    <n v="0"/>
    <s v="Reasonable(&lt;=3)"/>
  </r>
  <r>
    <x v="5"/>
    <s v="Middle_Age(30-50)"/>
    <x v="1"/>
    <s v="Frequently"/>
    <s v="Research &amp; Development"/>
    <n v="24"/>
    <s v="Far(&gt;=15)"/>
    <n v="1"/>
    <s v="Not_Satisfied(&lt;3)"/>
    <x v="1"/>
    <n v="3"/>
    <s v="Medium"/>
    <n v="2"/>
    <x v="0"/>
    <x v="2"/>
    <n v="4"/>
    <s v="Satisfied(&gt;=3)"/>
    <x v="1"/>
    <n v="1"/>
    <s v="Y"/>
    <x v="1"/>
    <n v="15"/>
    <x v="0"/>
    <n v="10"/>
    <n v="3"/>
    <s v="Good(&gt;=3)"/>
    <n v="10"/>
    <s v="Long(5-10)"/>
    <n v="8"/>
    <x v="1"/>
    <n v="4"/>
    <s v="Not_Reasonable(&gt;3)"/>
  </r>
  <r>
    <x v="8"/>
    <s v="Middle_Age(30-50)"/>
    <x v="1"/>
    <s v="Rarely"/>
    <s v="Research &amp; Development"/>
    <n v="2"/>
    <s v="Nearby(&lt;=5)"/>
    <n v="4"/>
    <s v="Satisfied(&gt;=3)"/>
    <x v="1"/>
    <n v="3"/>
    <s v="Medium"/>
    <n v="1"/>
    <x v="0"/>
    <x v="1"/>
    <n v="3"/>
    <s v="Satisfied(&gt;=3)"/>
    <x v="1"/>
    <n v="6"/>
    <s v="Y"/>
    <x v="0"/>
    <n v="13"/>
    <x v="0"/>
    <n v="6"/>
    <n v="1"/>
    <s v="Poor(&lt;=2)"/>
    <n v="1"/>
    <s v="Short(&lt;=4)"/>
    <n v="0"/>
    <x v="0"/>
    <n v="0"/>
    <s v="Reasonable(&lt;=3)"/>
  </r>
  <r>
    <x v="13"/>
    <s v="Middle_Age(30-50)"/>
    <x v="1"/>
    <s v="Rarely"/>
    <s v="Research &amp; Development"/>
    <n v="8"/>
    <s v="Middistance(6-14)"/>
    <n v="2"/>
    <s v="Not_Satisfied(&lt;3)"/>
    <x v="0"/>
    <n v="3"/>
    <s v="Medium"/>
    <n v="2"/>
    <x v="0"/>
    <x v="3"/>
    <n v="1"/>
    <s v="Not_Satisfied(&lt;=2)"/>
    <x v="2"/>
    <n v="3"/>
    <s v="Y"/>
    <x v="1"/>
    <n v="14"/>
    <x v="0"/>
    <n v="7"/>
    <n v="3"/>
    <s v="Good(&gt;=3)"/>
    <n v="0"/>
    <s v="Short(&lt;=4)"/>
    <n v="0"/>
    <x v="0"/>
    <n v="0"/>
    <s v="Reasonable(&lt;=3)"/>
  </r>
  <r>
    <x v="39"/>
    <s v="Old(&gt;50)"/>
    <x v="1"/>
    <s v="Rarely"/>
    <s v="Sales"/>
    <n v="3"/>
    <s v="Nearby(&lt;=5)"/>
    <n v="3"/>
    <s v="Satisfied(&gt;=3)"/>
    <x v="1"/>
    <n v="2"/>
    <s v="Low"/>
    <n v="4"/>
    <x v="2"/>
    <x v="5"/>
    <n v="1"/>
    <s v="Not_Satisfied(&lt;=2)"/>
    <x v="1"/>
    <n v="1"/>
    <s v="Y"/>
    <x v="1"/>
    <n v="11"/>
    <x v="0"/>
    <n v="34"/>
    <n v="4"/>
    <s v="Good(&gt;=3)"/>
    <n v="34"/>
    <s v="Ultra_Long(&gt;10)"/>
    <n v="6"/>
    <x v="1"/>
    <n v="1"/>
    <s v="Reasonable(&lt;=3)"/>
  </r>
  <r>
    <x v="3"/>
    <s v="Middle_Age(30-50)"/>
    <x v="0"/>
    <s v="Rarely"/>
    <s v="Research &amp; Development"/>
    <n v="1"/>
    <s v="Nearby(&lt;=5)"/>
    <n v="4"/>
    <s v="Satisfied(&gt;=3)"/>
    <x v="1"/>
    <n v="3"/>
    <s v="Medium"/>
    <n v="1"/>
    <x v="0"/>
    <x v="1"/>
    <n v="4"/>
    <s v="Satisfied(&gt;=3)"/>
    <x v="0"/>
    <n v="1"/>
    <s v="Y"/>
    <x v="0"/>
    <n v="13"/>
    <x v="0"/>
    <n v="10"/>
    <n v="2"/>
    <s v="Poor(&lt;=2)"/>
    <n v="10"/>
    <s v="Long(5-10)"/>
    <n v="9"/>
    <x v="1"/>
    <n v="7"/>
    <s v="Not_Reasonable(&gt;3)"/>
  </r>
  <r>
    <x v="36"/>
    <s v="Young(&lt;=29)"/>
    <x v="1"/>
    <s v="Rarely"/>
    <s v="Sales"/>
    <n v="26"/>
    <s v="Far(&gt;=15)"/>
    <n v="3"/>
    <s v="Satisfied(&gt;=3)"/>
    <x v="0"/>
    <n v="3"/>
    <s v="Medium"/>
    <n v="2"/>
    <x v="0"/>
    <x v="0"/>
    <n v="4"/>
    <s v="Satisfied(&gt;=3)"/>
    <x v="0"/>
    <n v="1"/>
    <s v="Y"/>
    <x v="1"/>
    <n v="23"/>
    <x v="1"/>
    <n v="6"/>
    <n v="2"/>
    <s v="Poor(&lt;=2)"/>
    <n v="6"/>
    <s v="Long(5-10)"/>
    <n v="5"/>
    <x v="1"/>
    <n v="1"/>
    <s v="Reasonable(&lt;=3)"/>
  </r>
  <r>
    <x v="28"/>
    <s v="Middle_Age(30-50)"/>
    <x v="1"/>
    <s v="Rarely"/>
    <s v="Sales"/>
    <n v="2"/>
    <s v="Nearby(&lt;=5)"/>
    <n v="2"/>
    <s v="Not_Satisfied(&lt;3)"/>
    <x v="1"/>
    <n v="1"/>
    <s v="Low"/>
    <n v="2"/>
    <x v="0"/>
    <x v="6"/>
    <n v="3"/>
    <s v="Satisfied(&gt;=3)"/>
    <x v="0"/>
    <n v="0"/>
    <s v="Y"/>
    <x v="1"/>
    <n v="13"/>
    <x v="0"/>
    <n v="9"/>
    <n v="3"/>
    <s v="Good(&gt;=3)"/>
    <n v="8"/>
    <s v="Long(5-10)"/>
    <n v="7"/>
    <x v="1"/>
    <n v="3"/>
    <s v="Reasonable(&lt;=3)"/>
  </r>
  <r>
    <x v="30"/>
    <s v="Young(&lt;=29)"/>
    <x v="1"/>
    <s v="Rarely"/>
    <s v="Research &amp; Development"/>
    <n v="10"/>
    <s v="Middistance(6-14)"/>
    <n v="1"/>
    <s v="Not_Satisfied(&lt;3)"/>
    <x v="1"/>
    <n v="4"/>
    <s v="High"/>
    <n v="1"/>
    <x v="0"/>
    <x v="1"/>
    <n v="3"/>
    <s v="Satisfied(&gt;=3)"/>
    <x v="0"/>
    <n v="1"/>
    <s v="Y"/>
    <x v="1"/>
    <n v="18"/>
    <x v="0"/>
    <n v="2"/>
    <n v="3"/>
    <s v="Good(&gt;=3)"/>
    <n v="2"/>
    <s v="Short(&lt;=4)"/>
    <n v="2"/>
    <x v="0"/>
    <n v="0"/>
    <s v="Reasonable(&lt;=3)"/>
  </r>
  <r>
    <x v="40"/>
    <s v="Middle_Age(30-50)"/>
    <x v="0"/>
    <s v="Frequently"/>
    <s v="Sales"/>
    <n v="27"/>
    <s v="Far(&gt;=15)"/>
    <n v="2"/>
    <s v="Not_Satisfied(&lt;3)"/>
    <x v="0"/>
    <n v="4"/>
    <s v="High"/>
    <n v="2"/>
    <x v="0"/>
    <x v="0"/>
    <n v="3"/>
    <s v="Satisfied(&gt;=3)"/>
    <x v="0"/>
    <n v="4"/>
    <s v="Y"/>
    <x v="0"/>
    <n v="12"/>
    <x v="0"/>
    <n v="8"/>
    <n v="3"/>
    <s v="Good(&gt;=3)"/>
    <n v="5"/>
    <s v="Long(5-10)"/>
    <n v="4"/>
    <x v="0"/>
    <n v="1"/>
    <s v="Reasonable(&lt;=3)"/>
  </r>
  <r>
    <x v="13"/>
    <s v="Middle_Age(30-50)"/>
    <x v="1"/>
    <s v="Rarely"/>
    <s v="Sales"/>
    <n v="2"/>
    <s v="Nearby(&lt;=5)"/>
    <n v="4"/>
    <s v="Satisfied(&gt;=3)"/>
    <x v="1"/>
    <n v="3"/>
    <s v="Medium"/>
    <n v="2"/>
    <x v="0"/>
    <x v="0"/>
    <n v="4"/>
    <s v="Satisfied(&gt;=3)"/>
    <x v="0"/>
    <n v="1"/>
    <s v="Y"/>
    <x v="1"/>
    <n v="22"/>
    <x v="1"/>
    <n v="6"/>
    <n v="3"/>
    <s v="Good(&gt;=3)"/>
    <n v="6"/>
    <s v="Long(5-10)"/>
    <n v="5"/>
    <x v="1"/>
    <n v="1"/>
    <s v="Reasonable(&lt;=3)"/>
  </r>
  <r>
    <x v="27"/>
    <s v="Old(&gt;50)"/>
    <x v="0"/>
    <s v="Rarely"/>
    <s v="Research &amp; Development"/>
    <n v="2"/>
    <s v="Nearby(&lt;=5)"/>
    <n v="4"/>
    <s v="Satisfied(&gt;=3)"/>
    <x v="1"/>
    <n v="3"/>
    <s v="Medium"/>
    <n v="5"/>
    <x v="2"/>
    <x v="5"/>
    <n v="1"/>
    <s v="Not_Satisfied(&lt;=2)"/>
    <x v="1"/>
    <n v="5"/>
    <s v="Y"/>
    <x v="0"/>
    <n v="13"/>
    <x v="0"/>
    <n v="24"/>
    <n v="3"/>
    <s v="Good(&gt;=3)"/>
    <n v="5"/>
    <s v="Long(5-10)"/>
    <n v="2"/>
    <x v="0"/>
    <n v="1"/>
    <s v="Reasonable(&lt;=3)"/>
  </r>
  <r>
    <x v="9"/>
    <s v="Middle_Age(30-50)"/>
    <x v="1"/>
    <s v="Rarely"/>
    <s v="Sales"/>
    <n v="8"/>
    <s v="Middistance(6-14)"/>
    <n v="1"/>
    <s v="Not_Satisfied(&lt;3)"/>
    <x v="1"/>
    <n v="2"/>
    <s v="Low"/>
    <n v="3"/>
    <x v="1"/>
    <x v="0"/>
    <n v="1"/>
    <s v="Not_Satisfied(&lt;=2)"/>
    <x v="0"/>
    <n v="1"/>
    <s v="Y"/>
    <x v="1"/>
    <n v="15"/>
    <x v="0"/>
    <n v="10"/>
    <n v="3"/>
    <s v="Good(&gt;=3)"/>
    <n v="10"/>
    <s v="Long(5-10)"/>
    <n v="7"/>
    <x v="1"/>
    <n v="0"/>
    <s v="Reasonable(&lt;=3)"/>
  </r>
  <r>
    <x v="39"/>
    <s v="Old(&gt;50)"/>
    <x v="1"/>
    <s v="Rarely"/>
    <s v="Research &amp; Development"/>
    <n v="19"/>
    <s v="Far(&gt;=15)"/>
    <n v="4"/>
    <s v="Satisfied(&gt;=3)"/>
    <x v="1"/>
    <n v="3"/>
    <s v="Medium"/>
    <n v="1"/>
    <x v="0"/>
    <x v="1"/>
    <n v="4"/>
    <s v="Satisfied(&gt;=3)"/>
    <x v="1"/>
    <n v="0"/>
    <s v="Y"/>
    <x v="1"/>
    <n v="18"/>
    <x v="0"/>
    <n v="5"/>
    <n v="3"/>
    <s v="Good(&gt;=3)"/>
    <n v="4"/>
    <s v="Short(&lt;=4)"/>
    <n v="3"/>
    <x v="0"/>
    <n v="1"/>
    <s v="Reasonable(&lt;=3)"/>
  </r>
  <r>
    <x v="25"/>
    <s v="Young(&lt;=29)"/>
    <x v="1"/>
    <s v="Frequently"/>
    <s v="Research &amp; Development"/>
    <n v="1"/>
    <s v="Nearby(&lt;=5)"/>
    <n v="1"/>
    <s v="Not_Satisfied(&lt;3)"/>
    <x v="0"/>
    <n v="1"/>
    <s v="Low"/>
    <n v="1"/>
    <x v="0"/>
    <x v="2"/>
    <n v="4"/>
    <s v="Satisfied(&gt;=3)"/>
    <x v="2"/>
    <n v="3"/>
    <s v="Y"/>
    <x v="1"/>
    <n v="14"/>
    <x v="0"/>
    <n v="5"/>
    <n v="3"/>
    <s v="Good(&gt;=3)"/>
    <n v="2"/>
    <s v="Short(&lt;=4)"/>
    <n v="2"/>
    <x v="0"/>
    <n v="2"/>
    <s v="Reasonable(&lt;=3)"/>
  </r>
  <r>
    <x v="11"/>
    <s v="Young(&lt;=29)"/>
    <x v="1"/>
    <s v="Rarely"/>
    <s v="Research &amp; Development"/>
    <n v="27"/>
    <s v="Far(&gt;=15)"/>
    <n v="2"/>
    <s v="Not_Satisfied(&lt;3)"/>
    <x v="0"/>
    <n v="3"/>
    <s v="Medium"/>
    <n v="2"/>
    <x v="0"/>
    <x v="4"/>
    <n v="3"/>
    <s v="Satisfied(&gt;=3)"/>
    <x v="1"/>
    <n v="4"/>
    <s v="Y"/>
    <x v="1"/>
    <n v="12"/>
    <x v="0"/>
    <n v="11"/>
    <n v="2"/>
    <s v="Poor(&lt;=2)"/>
    <n v="8"/>
    <s v="Long(5-10)"/>
    <n v="7"/>
    <x v="1"/>
    <n v="1"/>
    <s v="Reasonable(&lt;=3)"/>
  </r>
  <r>
    <x v="25"/>
    <s v="Young(&lt;=29)"/>
    <x v="0"/>
    <s v="Rarely"/>
    <s v="Sales"/>
    <n v="8"/>
    <s v="Middistance(6-14)"/>
    <n v="4"/>
    <s v="Satisfied(&gt;=3)"/>
    <x v="1"/>
    <n v="2"/>
    <s v="Low"/>
    <n v="2"/>
    <x v="0"/>
    <x v="0"/>
    <n v="1"/>
    <s v="Not_Satisfied(&lt;=2)"/>
    <x v="0"/>
    <n v="6"/>
    <s v="Y"/>
    <x v="1"/>
    <n v="17"/>
    <x v="0"/>
    <n v="6"/>
    <n v="2"/>
    <s v="Poor(&lt;=2)"/>
    <n v="4"/>
    <s v="Short(&lt;=4)"/>
    <n v="3"/>
    <x v="0"/>
    <n v="1"/>
    <s v="Reasonable(&lt;=3)"/>
  </r>
  <r>
    <x v="13"/>
    <s v="Middle_Age(30-50)"/>
    <x v="1"/>
    <s v="Rarely"/>
    <s v="Research &amp; Development"/>
    <n v="1"/>
    <s v="Nearby(&lt;=5)"/>
    <n v="2"/>
    <s v="Not_Satisfied(&lt;3)"/>
    <x v="0"/>
    <n v="4"/>
    <s v="High"/>
    <n v="1"/>
    <x v="0"/>
    <x v="1"/>
    <n v="4"/>
    <s v="Satisfied(&gt;=3)"/>
    <x v="0"/>
    <n v="2"/>
    <s v="Y"/>
    <x v="1"/>
    <n v="16"/>
    <x v="0"/>
    <n v="10"/>
    <n v="3"/>
    <s v="Good(&gt;=3)"/>
    <n v="4"/>
    <s v="Short(&lt;=4)"/>
    <n v="2"/>
    <x v="0"/>
    <n v="1"/>
    <s v="Reasonable(&lt;=3)"/>
  </r>
  <r>
    <x v="33"/>
    <s v="Old(&gt;50)"/>
    <x v="1"/>
    <s v="Rarely"/>
    <s v="Research &amp; Development"/>
    <n v="19"/>
    <s v="Far(&gt;=15)"/>
    <n v="4"/>
    <s v="Satisfied(&gt;=3)"/>
    <x v="0"/>
    <n v="3"/>
    <s v="Medium"/>
    <n v="2"/>
    <x v="0"/>
    <x v="3"/>
    <n v="1"/>
    <s v="Not_Satisfied(&lt;=2)"/>
    <x v="2"/>
    <n v="9"/>
    <s v="Y"/>
    <x v="0"/>
    <n v="11"/>
    <x v="0"/>
    <n v="9"/>
    <n v="3"/>
    <s v="Good(&gt;=3)"/>
    <n v="5"/>
    <s v="Long(5-10)"/>
    <n v="3"/>
    <x v="0"/>
    <n v="1"/>
    <s v="Reasonable(&lt;=3)"/>
  </r>
  <r>
    <x v="4"/>
    <s v="Young(&lt;=29)"/>
    <x v="1"/>
    <s v="Frequently"/>
    <s v="Sales"/>
    <n v="8"/>
    <s v="Middistance(6-14)"/>
    <n v="3"/>
    <s v="Satisfied(&gt;=3)"/>
    <x v="1"/>
    <n v="3"/>
    <s v="Medium"/>
    <n v="2"/>
    <x v="0"/>
    <x v="0"/>
    <n v="4"/>
    <s v="Satisfied(&gt;=3)"/>
    <x v="1"/>
    <n v="0"/>
    <s v="Y"/>
    <x v="1"/>
    <n v="19"/>
    <x v="0"/>
    <n v="5"/>
    <n v="3"/>
    <s v="Good(&gt;=3)"/>
    <n v="4"/>
    <s v="Short(&lt;=4)"/>
    <n v="2"/>
    <x v="0"/>
    <n v="1"/>
    <s v="Reasonable(&lt;=3)"/>
  </r>
  <r>
    <x v="2"/>
    <s v="Middle_Age(30-50)"/>
    <x v="1"/>
    <s v="Rarely"/>
    <s v="Research &amp; Development"/>
    <n v="10"/>
    <s v="Middistance(6-14)"/>
    <n v="4"/>
    <s v="Satisfied(&gt;=3)"/>
    <x v="0"/>
    <n v="3"/>
    <s v="Medium"/>
    <n v="1"/>
    <x v="0"/>
    <x v="1"/>
    <n v="1"/>
    <s v="Not_Satisfied(&lt;=2)"/>
    <x v="2"/>
    <n v="0"/>
    <s v="Y"/>
    <x v="0"/>
    <n v="13"/>
    <x v="0"/>
    <n v="6"/>
    <n v="2"/>
    <s v="Poor(&lt;=2)"/>
    <n v="5"/>
    <s v="Long(5-10)"/>
    <n v="3"/>
    <x v="0"/>
    <n v="4"/>
    <s v="Not_Reasonable(&gt;3)"/>
  </r>
  <r>
    <x v="8"/>
    <s v="Middle_Age(30-50)"/>
    <x v="1"/>
    <s v="Frequently"/>
    <s v="Research &amp; Development"/>
    <n v="2"/>
    <s v="Nearby(&lt;=5)"/>
    <n v="1"/>
    <s v="Not_Satisfied(&lt;3)"/>
    <x v="0"/>
    <n v="4"/>
    <s v="High"/>
    <n v="2"/>
    <x v="0"/>
    <x v="3"/>
    <n v="1"/>
    <s v="Not_Satisfied(&lt;=2)"/>
    <x v="0"/>
    <n v="6"/>
    <s v="Y"/>
    <x v="0"/>
    <n v="12"/>
    <x v="0"/>
    <n v="17"/>
    <n v="3"/>
    <s v="Good(&gt;=3)"/>
    <n v="15"/>
    <s v="Ultra_Long(&gt;10)"/>
    <n v="7"/>
    <x v="1"/>
    <n v="4"/>
    <s v="Not_Reasonable(&gt;3)"/>
  </r>
  <r>
    <x v="13"/>
    <s v="Middle_Age(30-50)"/>
    <x v="1"/>
    <s v="Rarely"/>
    <s v="Research &amp; Development"/>
    <n v="2"/>
    <s v="Nearby(&lt;=5)"/>
    <n v="3"/>
    <s v="Satisfied(&gt;=3)"/>
    <x v="0"/>
    <n v="2"/>
    <s v="Low"/>
    <n v="1"/>
    <x v="0"/>
    <x v="1"/>
    <n v="1"/>
    <s v="Not_Satisfied(&lt;=2)"/>
    <x v="0"/>
    <n v="1"/>
    <s v="Y"/>
    <x v="1"/>
    <n v="11"/>
    <x v="0"/>
    <n v="6"/>
    <n v="3"/>
    <s v="Good(&gt;=3)"/>
    <n v="6"/>
    <s v="Long(5-10)"/>
    <n v="5"/>
    <x v="1"/>
    <n v="1"/>
    <s v="Reasonable(&lt;=3)"/>
  </r>
  <r>
    <x v="10"/>
    <s v="Middle_Age(30-50)"/>
    <x v="1"/>
    <s v="Rarely"/>
    <s v="Sales"/>
    <n v="8"/>
    <s v="Middistance(6-14)"/>
    <n v="1"/>
    <s v="Not_Satisfied(&lt;3)"/>
    <x v="0"/>
    <n v="3"/>
    <s v="Medium"/>
    <n v="1"/>
    <x v="0"/>
    <x v="6"/>
    <n v="4"/>
    <s v="Satisfied(&gt;=3)"/>
    <x v="1"/>
    <n v="1"/>
    <s v="Y"/>
    <x v="1"/>
    <n v="16"/>
    <x v="0"/>
    <n v="3"/>
    <n v="2"/>
    <s v="Poor(&lt;=2)"/>
    <n v="3"/>
    <s v="Short(&lt;=4)"/>
    <n v="2"/>
    <x v="0"/>
    <n v="0"/>
    <s v="Reasonable(&lt;=3)"/>
  </r>
  <r>
    <x v="7"/>
    <s v="Middle_Age(30-50)"/>
    <x v="1"/>
    <s v="Rarely"/>
    <s v="Research &amp; Development"/>
    <n v="1"/>
    <s v="Nearby(&lt;=5)"/>
    <n v="4"/>
    <s v="Satisfied(&gt;=3)"/>
    <x v="1"/>
    <n v="1"/>
    <s v="Low"/>
    <n v="1"/>
    <x v="0"/>
    <x v="2"/>
    <n v="3"/>
    <s v="Satisfied(&gt;=3)"/>
    <x v="1"/>
    <n v="3"/>
    <s v="Y"/>
    <x v="1"/>
    <n v="21"/>
    <x v="1"/>
    <n v="7"/>
    <n v="3"/>
    <s v="Good(&gt;=3)"/>
    <n v="2"/>
    <s v="Short(&lt;=4)"/>
    <n v="2"/>
    <x v="0"/>
    <n v="0"/>
    <s v="Reasonable(&lt;=3)"/>
  </r>
  <r>
    <x v="32"/>
    <s v="Middle_Age(30-50)"/>
    <x v="1"/>
    <s v="Frequently"/>
    <s v="Research &amp; Development"/>
    <n v="2"/>
    <s v="Nearby(&lt;=5)"/>
    <n v="3"/>
    <s v="Satisfied(&gt;=3)"/>
    <x v="0"/>
    <n v="4"/>
    <s v="High"/>
    <n v="2"/>
    <x v="0"/>
    <x v="4"/>
    <n v="2"/>
    <s v="Not_Satisfied(&lt;=2)"/>
    <x v="1"/>
    <n v="1"/>
    <s v="Y"/>
    <x v="1"/>
    <n v="24"/>
    <x v="1"/>
    <n v="8"/>
    <n v="3"/>
    <s v="Good(&gt;=3)"/>
    <n v="8"/>
    <s v="Long(5-10)"/>
    <n v="7"/>
    <x v="1"/>
    <n v="3"/>
    <s v="Reasonable(&lt;=3)"/>
  </r>
  <r>
    <x v="13"/>
    <s v="Middle_Age(30-50)"/>
    <x v="1"/>
    <s v="Rarely"/>
    <s v="Sales"/>
    <n v="8"/>
    <s v="Middistance(6-14)"/>
    <n v="3"/>
    <s v="Satisfied(&gt;=3)"/>
    <x v="0"/>
    <n v="3"/>
    <s v="Medium"/>
    <n v="2"/>
    <x v="0"/>
    <x v="0"/>
    <n v="1"/>
    <s v="Not_Satisfied(&lt;=2)"/>
    <x v="1"/>
    <n v="5"/>
    <s v="Y"/>
    <x v="1"/>
    <n v="17"/>
    <x v="0"/>
    <n v="6"/>
    <n v="3"/>
    <s v="Good(&gt;=3)"/>
    <n v="3"/>
    <s v="Short(&lt;=4)"/>
    <n v="2"/>
    <x v="0"/>
    <n v="1"/>
    <s v="Reasonable(&lt;=3)"/>
  </r>
  <r>
    <x v="19"/>
    <s v="Middle_Age(30-50)"/>
    <x v="1"/>
    <s v="Frequently"/>
    <s v="Research &amp; Development"/>
    <n v="8"/>
    <s v="Middistance(6-14)"/>
    <n v="2"/>
    <s v="Not_Satisfied(&lt;3)"/>
    <x v="1"/>
    <n v="3"/>
    <s v="Medium"/>
    <n v="5"/>
    <x v="2"/>
    <x v="5"/>
    <n v="4"/>
    <s v="Satisfied(&gt;=3)"/>
    <x v="2"/>
    <n v="1"/>
    <s v="Y"/>
    <x v="1"/>
    <n v="13"/>
    <x v="0"/>
    <n v="24"/>
    <n v="2"/>
    <s v="Poor(&lt;=2)"/>
    <n v="24"/>
    <s v="Ultra_Long(&gt;10)"/>
    <n v="7"/>
    <x v="1"/>
    <n v="14"/>
    <s v="Not_Reasonable(&gt;3)"/>
  </r>
  <r>
    <x v="30"/>
    <s v="Young(&lt;=29)"/>
    <x v="0"/>
    <s v="Rarely"/>
    <s v="Research &amp; Development"/>
    <n v="6"/>
    <s v="Middistance(6-14)"/>
    <n v="3"/>
    <s v="Satisfied(&gt;=3)"/>
    <x v="1"/>
    <n v="4"/>
    <s v="High"/>
    <n v="1"/>
    <x v="0"/>
    <x v="2"/>
    <n v="1"/>
    <s v="Not_Satisfied(&lt;=2)"/>
    <x v="1"/>
    <n v="1"/>
    <s v="Y"/>
    <x v="0"/>
    <n v="21"/>
    <x v="1"/>
    <n v="1"/>
    <n v="3"/>
    <s v="Good(&gt;=3)"/>
    <n v="0"/>
    <s v="Short(&lt;=4)"/>
    <n v="0"/>
    <x v="0"/>
    <n v="0"/>
    <s v="Reasonable(&lt;=3)"/>
  </r>
  <r>
    <x v="17"/>
    <s v="Young(&lt;=29)"/>
    <x v="1"/>
    <s v="Rarely"/>
    <s v="Research &amp; Development"/>
    <n v="9"/>
    <s v="Middistance(6-14)"/>
    <n v="3"/>
    <s v="Satisfied(&gt;=3)"/>
    <x v="1"/>
    <n v="2"/>
    <s v="Low"/>
    <n v="1"/>
    <x v="0"/>
    <x v="2"/>
    <n v="2"/>
    <s v="Not_Satisfied(&lt;=2)"/>
    <x v="2"/>
    <n v="1"/>
    <s v="Y"/>
    <x v="1"/>
    <n v="11"/>
    <x v="0"/>
    <n v="1"/>
    <n v="3"/>
    <s v="Good(&gt;=3)"/>
    <n v="1"/>
    <s v="Short(&lt;=4)"/>
    <n v="0"/>
    <x v="0"/>
    <n v="0"/>
    <s v="Reasonable(&lt;=3)"/>
  </r>
  <r>
    <x v="39"/>
    <s v="Old(&gt;50)"/>
    <x v="1"/>
    <s v="Rarely"/>
    <s v="Research &amp; Development"/>
    <n v="11"/>
    <s v="Middistance(6-14)"/>
    <n v="4"/>
    <s v="Satisfied(&gt;=3)"/>
    <x v="0"/>
    <n v="3"/>
    <s v="Medium"/>
    <n v="2"/>
    <x v="0"/>
    <x v="2"/>
    <n v="3"/>
    <s v="Satisfied(&gt;=3)"/>
    <x v="1"/>
    <n v="8"/>
    <s v="Y"/>
    <x v="1"/>
    <n v="20"/>
    <x v="1"/>
    <n v="9"/>
    <n v="3"/>
    <s v="Good(&gt;=3)"/>
    <n v="5"/>
    <s v="Long(5-10)"/>
    <n v="2"/>
    <x v="0"/>
    <n v="1"/>
    <s v="Reasonable(&lt;=3)"/>
  </r>
  <r>
    <x v="24"/>
    <s v="Middle_Age(30-50)"/>
    <x v="1"/>
    <s v="Rarely"/>
    <s v="Research &amp; Development"/>
    <n v="2"/>
    <s v="Nearby(&lt;=5)"/>
    <n v="3"/>
    <s v="Satisfied(&gt;=3)"/>
    <x v="1"/>
    <n v="3"/>
    <s v="Medium"/>
    <n v="4"/>
    <x v="2"/>
    <x v="7"/>
    <n v="3"/>
    <s v="Satisfied(&gt;=3)"/>
    <x v="1"/>
    <n v="5"/>
    <s v="Y"/>
    <x v="1"/>
    <n v="16"/>
    <x v="0"/>
    <n v="30"/>
    <n v="3"/>
    <s v="Good(&gt;=3)"/>
    <n v="4"/>
    <s v="Short(&lt;=4)"/>
    <n v="3"/>
    <x v="0"/>
    <n v="0"/>
    <s v="Reasonable(&lt;=3)"/>
  </r>
  <r>
    <x v="11"/>
    <s v="Young(&lt;=29)"/>
    <x v="0"/>
    <s v="Rarely"/>
    <s v="Research &amp; Development"/>
    <n v="1"/>
    <s v="Nearby(&lt;=5)"/>
    <n v="2"/>
    <s v="Not_Satisfied(&lt;3)"/>
    <x v="0"/>
    <n v="2"/>
    <s v="Low"/>
    <n v="1"/>
    <x v="0"/>
    <x v="2"/>
    <n v="1"/>
    <s v="Not_Satisfied(&lt;=2)"/>
    <x v="1"/>
    <n v="1"/>
    <s v="Y"/>
    <x v="0"/>
    <n v="11"/>
    <x v="0"/>
    <n v="1"/>
    <n v="3"/>
    <s v="Good(&gt;=3)"/>
    <n v="1"/>
    <s v="Short(&lt;=4)"/>
    <n v="0"/>
    <x v="0"/>
    <n v="0"/>
    <s v="Reasonable(&lt;=3)"/>
  </r>
  <r>
    <x v="3"/>
    <s v="Middle_Age(30-50)"/>
    <x v="1"/>
    <s v="Rarely"/>
    <s v="Research &amp; Development"/>
    <n v="7"/>
    <s v="Middistance(6-14)"/>
    <n v="3"/>
    <s v="Satisfied(&gt;=3)"/>
    <x v="1"/>
    <n v="3"/>
    <s v="Medium"/>
    <n v="3"/>
    <x v="1"/>
    <x v="7"/>
    <n v="3"/>
    <s v="Satisfied(&gt;=3)"/>
    <x v="1"/>
    <n v="0"/>
    <s v="Y"/>
    <x v="1"/>
    <n v="11"/>
    <x v="0"/>
    <n v="14"/>
    <n v="4"/>
    <s v="Good(&gt;=3)"/>
    <n v="13"/>
    <s v="Ultra_Long(&gt;10)"/>
    <n v="9"/>
    <x v="1"/>
    <n v="3"/>
    <s v="Reasonable(&lt;=3)"/>
  </r>
  <r>
    <x v="3"/>
    <s v="Middle_Age(30-50)"/>
    <x v="0"/>
    <s v="Rarely"/>
    <s v="Sales"/>
    <n v="16"/>
    <s v="Far(&gt;=15)"/>
    <n v="1"/>
    <s v="Not_Satisfied(&lt;3)"/>
    <x v="0"/>
    <n v="3"/>
    <s v="Medium"/>
    <n v="2"/>
    <x v="0"/>
    <x v="0"/>
    <n v="1"/>
    <s v="Not_Satisfied(&lt;=2)"/>
    <x v="0"/>
    <n v="5"/>
    <s v="Y"/>
    <x v="1"/>
    <n v="15"/>
    <x v="0"/>
    <n v="6"/>
    <n v="3"/>
    <s v="Good(&gt;=3)"/>
    <n v="3"/>
    <s v="Short(&lt;=4)"/>
    <n v="2"/>
    <x v="0"/>
    <n v="0"/>
    <s v="Reasonable(&lt;=3)"/>
  </r>
  <r>
    <x v="40"/>
    <s v="Middle_Age(30-50)"/>
    <x v="1"/>
    <s v="Rarely"/>
    <s v="Research &amp; Development"/>
    <n v="2"/>
    <s v="Nearby(&lt;=5)"/>
    <n v="3"/>
    <s v="Satisfied(&gt;=3)"/>
    <x v="0"/>
    <n v="3"/>
    <s v="Medium"/>
    <n v="4"/>
    <x v="2"/>
    <x v="5"/>
    <n v="4"/>
    <s v="Satisfied(&gt;=3)"/>
    <x v="1"/>
    <n v="1"/>
    <s v="Y"/>
    <x v="0"/>
    <n v="11"/>
    <x v="0"/>
    <n v="26"/>
    <n v="2"/>
    <s v="Poor(&lt;=2)"/>
    <n v="26"/>
    <s v="Ultra_Long(&gt;10)"/>
    <n v="14"/>
    <x v="2"/>
    <n v="3"/>
    <s v="Reasonable(&lt;=3)"/>
  </r>
  <r>
    <x v="9"/>
    <s v="Middle_Age(30-50)"/>
    <x v="1"/>
    <s v="Rarely"/>
    <s v="Research &amp; Development"/>
    <n v="1"/>
    <s v="Nearby(&lt;=5)"/>
    <n v="3"/>
    <s v="Satisfied(&gt;=3)"/>
    <x v="0"/>
    <n v="3"/>
    <s v="Medium"/>
    <n v="2"/>
    <x v="0"/>
    <x v="3"/>
    <n v="2"/>
    <s v="Not_Satisfied(&lt;=2)"/>
    <x v="1"/>
    <n v="0"/>
    <s v="Y"/>
    <x v="1"/>
    <n v="15"/>
    <x v="0"/>
    <n v="10"/>
    <n v="3"/>
    <s v="Good(&gt;=3)"/>
    <n v="9"/>
    <s v="Long(5-10)"/>
    <n v="7"/>
    <x v="1"/>
    <n v="0"/>
    <s v="Reasonable(&lt;=3)"/>
  </r>
  <r>
    <x v="11"/>
    <s v="Young(&lt;=29)"/>
    <x v="1"/>
    <s v="Rarely"/>
    <s v="Research &amp; Development"/>
    <n v="23"/>
    <s v="Far(&gt;=15)"/>
    <n v="3"/>
    <s v="Satisfied(&gt;=3)"/>
    <x v="1"/>
    <n v="4"/>
    <s v="High"/>
    <n v="1"/>
    <x v="0"/>
    <x v="1"/>
    <n v="3"/>
    <s v="Satisfied(&gt;=3)"/>
    <x v="1"/>
    <n v="1"/>
    <s v="Y"/>
    <x v="1"/>
    <n v="24"/>
    <x v="1"/>
    <n v="10"/>
    <n v="3"/>
    <s v="Good(&gt;=3)"/>
    <n v="10"/>
    <s v="Long(5-10)"/>
    <n v="7"/>
    <x v="1"/>
    <n v="0"/>
    <s v="Reasonable(&lt;=3)"/>
  </r>
  <r>
    <x v="34"/>
    <s v="Old(&gt;50)"/>
    <x v="0"/>
    <s v="Rarely"/>
    <s v="Research &amp; Development"/>
    <n v="2"/>
    <s v="Nearby(&lt;=5)"/>
    <n v="4"/>
    <s v="Satisfied(&gt;=3)"/>
    <x v="1"/>
    <n v="3"/>
    <s v="Medium"/>
    <n v="5"/>
    <x v="2"/>
    <x v="7"/>
    <n v="2"/>
    <s v="Not_Satisfied(&lt;=2)"/>
    <x v="0"/>
    <n v="7"/>
    <s v="Y"/>
    <x v="0"/>
    <n v="12"/>
    <x v="0"/>
    <n v="40"/>
    <n v="3"/>
    <s v="Good(&gt;=3)"/>
    <n v="31"/>
    <s v="Ultra_Long(&gt;10)"/>
    <n v="15"/>
    <x v="2"/>
    <n v="13"/>
    <s v="Not_Reasonable(&gt;3)"/>
  </r>
  <r>
    <x v="10"/>
    <s v="Middle_Age(30-50)"/>
    <x v="1"/>
    <s v="Rarely"/>
    <s v="Research &amp; Development"/>
    <n v="1"/>
    <s v="Nearby(&lt;=5)"/>
    <n v="4"/>
    <s v="Satisfied(&gt;=3)"/>
    <x v="0"/>
    <n v="4"/>
    <s v="High"/>
    <n v="1"/>
    <x v="0"/>
    <x v="1"/>
    <n v="3"/>
    <s v="Satisfied(&gt;=3)"/>
    <x v="0"/>
    <n v="3"/>
    <s v="Y"/>
    <x v="1"/>
    <n v="13"/>
    <x v="0"/>
    <n v="7"/>
    <n v="3"/>
    <s v="Good(&gt;=3)"/>
    <n v="2"/>
    <s v="Short(&lt;=4)"/>
    <n v="2"/>
    <x v="0"/>
    <n v="2"/>
    <s v="Reasonable(&lt;=3)"/>
  </r>
  <r>
    <x v="19"/>
    <s v="Middle_Age(30-50)"/>
    <x v="1"/>
    <s v="Rarely"/>
    <s v="Research &amp; Development"/>
    <n v="1"/>
    <s v="Nearby(&lt;=5)"/>
    <n v="4"/>
    <s v="Satisfied(&gt;=3)"/>
    <x v="0"/>
    <n v="2"/>
    <s v="Low"/>
    <n v="2"/>
    <x v="0"/>
    <x v="3"/>
    <n v="4"/>
    <s v="Satisfied(&gt;=3)"/>
    <x v="1"/>
    <n v="9"/>
    <s v="Y"/>
    <x v="0"/>
    <n v="13"/>
    <x v="0"/>
    <n v="8"/>
    <n v="3"/>
    <s v="Good(&gt;=3)"/>
    <n v="4"/>
    <s v="Short(&lt;=4)"/>
    <n v="3"/>
    <x v="0"/>
    <n v="0"/>
    <s v="Reasonable(&lt;=3)"/>
  </r>
  <r>
    <x v="14"/>
    <s v="Young(&lt;=29)"/>
    <x v="0"/>
    <s v="Rarely"/>
    <s v="Research &amp; Development"/>
    <n v="2"/>
    <s v="Nearby(&lt;=5)"/>
    <n v="3"/>
    <s v="Satisfied(&gt;=3)"/>
    <x v="1"/>
    <n v="3"/>
    <s v="Medium"/>
    <n v="1"/>
    <x v="0"/>
    <x v="1"/>
    <n v="3"/>
    <s v="Satisfied(&gt;=3)"/>
    <x v="0"/>
    <n v="6"/>
    <s v="Y"/>
    <x v="1"/>
    <n v="17"/>
    <x v="0"/>
    <n v="5"/>
    <n v="2"/>
    <s v="Poor(&lt;=2)"/>
    <n v="2"/>
    <s v="Short(&lt;=4)"/>
    <n v="2"/>
    <x v="0"/>
    <n v="2"/>
    <s v="Reasonable(&lt;=3)"/>
  </r>
  <r>
    <x v="9"/>
    <s v="Middle_Age(30-50)"/>
    <x v="1"/>
    <s v="Rarely"/>
    <s v="Human Resources"/>
    <n v="13"/>
    <s v="Middistance(6-14)"/>
    <n v="3"/>
    <s v="Satisfied(&gt;=3)"/>
    <x v="1"/>
    <n v="3"/>
    <s v="Medium"/>
    <n v="1"/>
    <x v="0"/>
    <x v="8"/>
    <n v="2"/>
    <s v="Not_Satisfied(&lt;=2)"/>
    <x v="1"/>
    <n v="4"/>
    <s v="Y"/>
    <x v="1"/>
    <n v="13"/>
    <x v="0"/>
    <n v="8"/>
    <n v="3"/>
    <s v="Good(&gt;=3)"/>
    <n v="5"/>
    <s v="Long(5-10)"/>
    <n v="2"/>
    <x v="0"/>
    <n v="0"/>
    <s v="Reasonable(&lt;=3)"/>
  </r>
  <r>
    <x v="5"/>
    <s v="Middle_Age(30-50)"/>
    <x v="1"/>
    <s v="Rarely"/>
    <s v="Research &amp; Development"/>
    <n v="4"/>
    <s v="Nearby(&lt;=5)"/>
    <n v="3"/>
    <s v="Satisfied(&gt;=3)"/>
    <x v="0"/>
    <n v="2"/>
    <s v="Low"/>
    <n v="2"/>
    <x v="0"/>
    <x v="3"/>
    <n v="3"/>
    <s v="Satisfied(&gt;=3)"/>
    <x v="1"/>
    <n v="1"/>
    <s v="Y"/>
    <x v="1"/>
    <n v="12"/>
    <x v="0"/>
    <n v="14"/>
    <n v="3"/>
    <s v="Good(&gt;=3)"/>
    <n v="14"/>
    <s v="Ultra_Long(&gt;10)"/>
    <n v="13"/>
    <x v="2"/>
    <n v="6"/>
    <s v="Not_Reasonable(&gt;3)"/>
  </r>
  <r>
    <x v="32"/>
    <s v="Middle_Age(30-50)"/>
    <x v="1"/>
    <s v="Frequently"/>
    <s v="Research &amp; Development"/>
    <n v="16"/>
    <s v="Far(&gt;=15)"/>
    <n v="1"/>
    <s v="Not_Satisfied(&lt;3)"/>
    <x v="1"/>
    <n v="2"/>
    <s v="Low"/>
    <n v="2"/>
    <x v="0"/>
    <x v="2"/>
    <n v="3"/>
    <s v="Satisfied(&gt;=3)"/>
    <x v="0"/>
    <n v="6"/>
    <s v="Y"/>
    <x v="1"/>
    <n v="14"/>
    <x v="0"/>
    <n v="10"/>
    <n v="3"/>
    <s v="Good(&gt;=3)"/>
    <n v="1"/>
    <s v="Short(&lt;=4)"/>
    <n v="0"/>
    <x v="0"/>
    <n v="0"/>
    <s v="Reasonable(&lt;=3)"/>
  </r>
  <r>
    <x v="7"/>
    <s v="Middle_Age(30-50)"/>
    <x v="1"/>
    <s v="Rarely"/>
    <s v="Research &amp; Development"/>
    <n v="2"/>
    <s v="Nearby(&lt;=5)"/>
    <n v="3"/>
    <s v="Satisfied(&gt;=3)"/>
    <x v="0"/>
    <n v="2"/>
    <s v="Low"/>
    <n v="2"/>
    <x v="0"/>
    <x v="3"/>
    <n v="4"/>
    <s v="Satisfied(&gt;=3)"/>
    <x v="0"/>
    <n v="5"/>
    <s v="Y"/>
    <x v="0"/>
    <n v="24"/>
    <x v="1"/>
    <n v="12"/>
    <n v="2"/>
    <s v="Poor(&lt;=2)"/>
    <n v="0"/>
    <s v="Short(&lt;=4)"/>
    <n v="0"/>
    <x v="0"/>
    <n v="0"/>
    <s v="Reasonable(&lt;=3)"/>
  </r>
  <r>
    <x v="28"/>
    <s v="Middle_Age(30-50)"/>
    <x v="1"/>
    <s v="Rarely"/>
    <s v="Research &amp; Development"/>
    <n v="2"/>
    <s v="Nearby(&lt;=5)"/>
    <n v="2"/>
    <s v="Not_Satisfied(&lt;3)"/>
    <x v="0"/>
    <n v="2"/>
    <s v="Low"/>
    <n v="1"/>
    <x v="0"/>
    <x v="1"/>
    <n v="3"/>
    <s v="Satisfied(&gt;=3)"/>
    <x v="0"/>
    <n v="1"/>
    <s v="Y"/>
    <x v="1"/>
    <n v="14"/>
    <x v="0"/>
    <n v="1"/>
    <n v="3"/>
    <s v="Good(&gt;=3)"/>
    <n v="1"/>
    <s v="Short(&lt;=4)"/>
    <n v="0"/>
    <x v="0"/>
    <n v="0"/>
    <s v="Reasonable(&lt;=3)"/>
  </r>
  <r>
    <x v="19"/>
    <s v="Middle_Age(30-50)"/>
    <x v="1"/>
    <s v="Rarely"/>
    <s v="Research &amp; Development"/>
    <n v="29"/>
    <s v="Far(&gt;=15)"/>
    <n v="2"/>
    <s v="Not_Satisfied(&lt;3)"/>
    <x v="1"/>
    <n v="3"/>
    <s v="Medium"/>
    <n v="2"/>
    <x v="0"/>
    <x v="3"/>
    <n v="2"/>
    <s v="Not_Satisfied(&lt;=2)"/>
    <x v="1"/>
    <n v="1"/>
    <s v="Y"/>
    <x v="1"/>
    <n v="13"/>
    <x v="0"/>
    <n v="10"/>
    <n v="2"/>
    <s v="Poor(&lt;=2)"/>
    <n v="9"/>
    <s v="Long(5-10)"/>
    <n v="8"/>
    <x v="1"/>
    <n v="7"/>
    <s v="Not_Reasonable(&gt;3)"/>
  </r>
  <r>
    <x v="8"/>
    <s v="Middle_Age(30-50)"/>
    <x v="1"/>
    <s v="Frequently"/>
    <s v="Research &amp; Development"/>
    <n v="12"/>
    <s v="Middistance(6-14)"/>
    <n v="1"/>
    <s v="Not_Satisfied(&lt;3)"/>
    <x v="1"/>
    <n v="2"/>
    <s v="Low"/>
    <n v="2"/>
    <x v="0"/>
    <x v="4"/>
    <n v="1"/>
    <s v="Not_Satisfied(&lt;=2)"/>
    <x v="2"/>
    <n v="2"/>
    <s v="Y"/>
    <x v="1"/>
    <n v="15"/>
    <x v="0"/>
    <n v="13"/>
    <n v="2"/>
    <s v="Poor(&lt;=2)"/>
    <n v="4"/>
    <s v="Short(&lt;=4)"/>
    <n v="3"/>
    <x v="0"/>
    <n v="1"/>
    <s v="Reasonable(&lt;=3)"/>
  </r>
  <r>
    <x v="13"/>
    <s v="Middle_Age(30-50)"/>
    <x v="1"/>
    <s v="Frequently"/>
    <s v="Research &amp; Development"/>
    <n v="16"/>
    <s v="Far(&gt;=15)"/>
    <n v="3"/>
    <s v="Satisfied(&gt;=3)"/>
    <x v="0"/>
    <n v="2"/>
    <s v="Low"/>
    <n v="1"/>
    <x v="0"/>
    <x v="1"/>
    <n v="4"/>
    <s v="Satisfied(&gt;=3)"/>
    <x v="0"/>
    <n v="1"/>
    <s v="Y"/>
    <x v="1"/>
    <n v="16"/>
    <x v="0"/>
    <n v="6"/>
    <n v="3"/>
    <s v="Good(&gt;=3)"/>
    <n v="5"/>
    <s v="Long(5-10)"/>
    <n v="2"/>
    <x v="0"/>
    <n v="1"/>
    <s v="Reasonable(&lt;=3)"/>
  </r>
  <r>
    <x v="1"/>
    <s v="Middle_Age(30-50)"/>
    <x v="0"/>
    <s v="Rarely"/>
    <s v="Sales"/>
    <n v="11"/>
    <s v="Middistance(6-14)"/>
    <n v="3"/>
    <s v="Satisfied(&gt;=3)"/>
    <x v="0"/>
    <n v="3"/>
    <s v="Medium"/>
    <n v="3"/>
    <x v="1"/>
    <x v="0"/>
    <n v="4"/>
    <s v="Satisfied(&gt;=3)"/>
    <x v="1"/>
    <n v="1"/>
    <s v="Y"/>
    <x v="1"/>
    <n v="18"/>
    <x v="0"/>
    <n v="9"/>
    <n v="4"/>
    <s v="Good(&gt;=3)"/>
    <n v="9"/>
    <s v="Long(5-10)"/>
    <n v="8"/>
    <x v="1"/>
    <n v="7"/>
    <s v="Not_Reasonable(&gt;3)"/>
  </r>
  <r>
    <x v="27"/>
    <s v="Old(&gt;50)"/>
    <x v="0"/>
    <s v="Rarely"/>
    <s v="Sales"/>
    <n v="2"/>
    <s v="Nearby(&lt;=5)"/>
    <n v="3"/>
    <s v="Satisfied(&gt;=3)"/>
    <x v="1"/>
    <n v="3"/>
    <s v="Medium"/>
    <n v="2"/>
    <x v="0"/>
    <x v="0"/>
    <n v="4"/>
    <s v="Satisfied(&gt;=3)"/>
    <x v="0"/>
    <n v="4"/>
    <s v="Y"/>
    <x v="1"/>
    <n v="16"/>
    <x v="0"/>
    <n v="12"/>
    <n v="2"/>
    <s v="Poor(&lt;=2)"/>
    <n v="9"/>
    <s v="Long(5-10)"/>
    <n v="7"/>
    <x v="1"/>
    <n v="7"/>
    <s v="Not_Reasonable(&gt;3)"/>
  </r>
  <r>
    <x v="23"/>
    <s v="Middle_Age(30-50)"/>
    <x v="1"/>
    <s v="Rarely"/>
    <s v="Research &amp; Development"/>
    <n v="14"/>
    <s v="Middistance(6-14)"/>
    <n v="2"/>
    <s v="Not_Satisfied(&lt;3)"/>
    <x v="1"/>
    <n v="3"/>
    <s v="Medium"/>
    <n v="4"/>
    <x v="2"/>
    <x v="7"/>
    <n v="1"/>
    <s v="Not_Satisfied(&lt;=2)"/>
    <x v="1"/>
    <n v="6"/>
    <s v="Y"/>
    <x v="1"/>
    <n v="24"/>
    <x v="1"/>
    <n v="22"/>
    <n v="3"/>
    <s v="Good(&gt;=3)"/>
    <n v="4"/>
    <s v="Short(&lt;=4)"/>
    <n v="1"/>
    <x v="0"/>
    <n v="1"/>
    <s v="Reasonable(&lt;=3)"/>
  </r>
  <r>
    <x v="4"/>
    <s v="Young(&lt;=29)"/>
    <x v="1"/>
    <s v="Rarely"/>
    <s v="Research &amp; Development"/>
    <n v="5"/>
    <s v="Nearby(&lt;=5)"/>
    <n v="3"/>
    <s v="Satisfied(&gt;=3)"/>
    <x v="1"/>
    <n v="2"/>
    <s v="Low"/>
    <n v="3"/>
    <x v="1"/>
    <x v="7"/>
    <n v="4"/>
    <s v="Satisfied(&gt;=3)"/>
    <x v="2"/>
    <n v="1"/>
    <s v="Y"/>
    <x v="0"/>
    <n v="16"/>
    <x v="0"/>
    <n v="9"/>
    <n v="3"/>
    <s v="Good(&gt;=3)"/>
    <n v="9"/>
    <s v="Long(5-10)"/>
    <n v="8"/>
    <x v="1"/>
    <n v="0"/>
    <s v="Reasonable(&lt;=3)"/>
  </r>
  <r>
    <x v="10"/>
    <s v="Middle_Age(30-50)"/>
    <x v="1"/>
    <s v="Rarely"/>
    <s v="Research &amp; Development"/>
    <n v="7"/>
    <s v="Middistance(6-14)"/>
    <n v="3"/>
    <s v="Satisfied(&gt;=3)"/>
    <x v="1"/>
    <n v="3"/>
    <s v="Medium"/>
    <n v="3"/>
    <x v="1"/>
    <x v="3"/>
    <n v="3"/>
    <s v="Satisfied(&gt;=3)"/>
    <x v="0"/>
    <n v="3"/>
    <s v="Y"/>
    <x v="1"/>
    <n v="21"/>
    <x v="1"/>
    <n v="17"/>
    <n v="4"/>
    <s v="Good(&gt;=3)"/>
    <n v="8"/>
    <s v="Long(5-10)"/>
    <n v="5"/>
    <x v="1"/>
    <n v="1"/>
    <s v="Reasonable(&lt;=3)"/>
  </r>
  <r>
    <x v="14"/>
    <s v="Young(&lt;=29)"/>
    <x v="1"/>
    <s v="Rarely"/>
    <s v="Sales"/>
    <n v="2"/>
    <s v="Nearby(&lt;=5)"/>
    <n v="2"/>
    <s v="Not_Satisfied(&lt;3)"/>
    <x v="0"/>
    <n v="3"/>
    <s v="Medium"/>
    <n v="2"/>
    <x v="0"/>
    <x v="0"/>
    <n v="2"/>
    <s v="Not_Satisfied(&lt;=2)"/>
    <x v="1"/>
    <n v="1"/>
    <s v="Y"/>
    <x v="0"/>
    <n v="20"/>
    <x v="1"/>
    <n v="8"/>
    <n v="3"/>
    <s v="Good(&gt;=3)"/>
    <n v="8"/>
    <s v="Long(5-10)"/>
    <n v="7"/>
    <x v="1"/>
    <n v="7"/>
    <s v="Not_Reasonable(&gt;3)"/>
  </r>
  <r>
    <x v="13"/>
    <s v="Middle_Age(30-50)"/>
    <x v="1"/>
    <s v="Rarely"/>
    <s v="Human Resources"/>
    <n v="3"/>
    <s v="Nearby(&lt;=5)"/>
    <n v="3"/>
    <s v="Satisfied(&gt;=3)"/>
    <x v="1"/>
    <n v="3"/>
    <s v="Medium"/>
    <n v="1"/>
    <x v="0"/>
    <x v="8"/>
    <n v="4"/>
    <s v="Satisfied(&gt;=3)"/>
    <x v="1"/>
    <n v="0"/>
    <s v="Y"/>
    <x v="1"/>
    <n v="19"/>
    <x v="0"/>
    <n v="4"/>
    <n v="1"/>
    <s v="Poor(&lt;=2)"/>
    <n v="3"/>
    <s v="Short(&lt;=4)"/>
    <n v="2"/>
    <x v="0"/>
    <n v="0"/>
    <s v="Reasonable(&lt;=3)"/>
  </r>
  <r>
    <x v="25"/>
    <s v="Young(&lt;=29)"/>
    <x v="0"/>
    <s v="Frequently"/>
    <s v="Research &amp; Development"/>
    <n v="5"/>
    <s v="Nearby(&lt;=5)"/>
    <n v="3"/>
    <s v="Satisfied(&gt;=3)"/>
    <x v="0"/>
    <n v="2"/>
    <s v="Low"/>
    <n v="1"/>
    <x v="0"/>
    <x v="1"/>
    <n v="3"/>
    <s v="Satisfied(&gt;=3)"/>
    <x v="1"/>
    <n v="1"/>
    <s v="Y"/>
    <x v="0"/>
    <n v="14"/>
    <x v="0"/>
    <n v="8"/>
    <n v="3"/>
    <s v="Good(&gt;=3)"/>
    <n v="8"/>
    <s v="Long(5-10)"/>
    <n v="7"/>
    <x v="1"/>
    <n v="1"/>
    <s v="Reasonable(&lt;=3)"/>
  </r>
  <r>
    <x v="4"/>
    <s v="Young(&lt;=29)"/>
    <x v="1"/>
    <s v="Rarely"/>
    <s v="Research &amp; Development"/>
    <n v="3"/>
    <s v="Nearby(&lt;=5)"/>
    <n v="4"/>
    <s v="Satisfied(&gt;=3)"/>
    <x v="1"/>
    <n v="3"/>
    <s v="Medium"/>
    <n v="1"/>
    <x v="0"/>
    <x v="1"/>
    <n v="4"/>
    <s v="Satisfied(&gt;=3)"/>
    <x v="1"/>
    <n v="1"/>
    <s v="Y"/>
    <x v="1"/>
    <n v="11"/>
    <x v="0"/>
    <n v="0"/>
    <n v="2"/>
    <s v="Poor(&lt;=2)"/>
    <n v="0"/>
    <s v="Short(&lt;=4)"/>
    <n v="0"/>
    <x v="0"/>
    <n v="0"/>
    <s v="Reasonable(&lt;=3)"/>
  </r>
  <r>
    <x v="31"/>
    <s v="Old(&gt;50)"/>
    <x v="1"/>
    <s v="Rarely"/>
    <s v="Sales"/>
    <n v="26"/>
    <s v="Far(&gt;=15)"/>
    <n v="1"/>
    <s v="Not_Satisfied(&lt;3)"/>
    <x v="0"/>
    <n v="3"/>
    <s v="Medium"/>
    <n v="4"/>
    <x v="2"/>
    <x v="5"/>
    <n v="3"/>
    <s v="Satisfied(&gt;=3)"/>
    <x v="1"/>
    <n v="2"/>
    <s v="Y"/>
    <x v="1"/>
    <n v="14"/>
    <x v="0"/>
    <n v="29"/>
    <n v="2"/>
    <s v="Poor(&lt;=2)"/>
    <n v="20"/>
    <s v="Ultra_Long(&gt;10)"/>
    <n v="6"/>
    <x v="1"/>
    <n v="4"/>
    <s v="Not_Reasonable(&gt;3)"/>
  </r>
  <r>
    <x v="20"/>
    <s v="Middle_Age(30-50)"/>
    <x v="1"/>
    <s v="Rarely"/>
    <s v="Research &amp; Development"/>
    <n v="4"/>
    <s v="Nearby(&lt;=5)"/>
    <n v="4"/>
    <s v="Satisfied(&gt;=3)"/>
    <x v="1"/>
    <n v="3"/>
    <s v="Medium"/>
    <n v="2"/>
    <x v="0"/>
    <x v="4"/>
    <n v="2"/>
    <s v="Not_Satisfied(&lt;=2)"/>
    <x v="0"/>
    <n v="9"/>
    <s v="Y"/>
    <x v="1"/>
    <n v="12"/>
    <x v="0"/>
    <n v="10"/>
    <n v="2"/>
    <s v="Poor(&lt;=2)"/>
    <n v="5"/>
    <s v="Long(5-10)"/>
    <n v="2"/>
    <x v="0"/>
    <n v="2"/>
    <s v="Reasonable(&lt;=3)"/>
  </r>
  <r>
    <x v="36"/>
    <s v="Young(&lt;=29)"/>
    <x v="1"/>
    <s v="Rarely"/>
    <s v="Research &amp; Development"/>
    <n v="2"/>
    <s v="Nearby(&lt;=5)"/>
    <n v="1"/>
    <s v="Not_Satisfied(&lt;3)"/>
    <x v="1"/>
    <n v="4"/>
    <s v="High"/>
    <n v="1"/>
    <x v="0"/>
    <x v="1"/>
    <n v="1"/>
    <s v="Not_Satisfied(&lt;=2)"/>
    <x v="0"/>
    <n v="7"/>
    <s v="Y"/>
    <x v="1"/>
    <n v="13"/>
    <x v="0"/>
    <n v="6"/>
    <n v="2"/>
    <s v="Poor(&lt;=2)"/>
    <n v="4"/>
    <s v="Short(&lt;=4)"/>
    <n v="3"/>
    <x v="0"/>
    <n v="0"/>
    <s v="Reasonable(&lt;=3)"/>
  </r>
  <r>
    <x v="3"/>
    <s v="Middle_Age(30-50)"/>
    <x v="1"/>
    <s v="Rarely"/>
    <s v="Sales"/>
    <n v="1"/>
    <s v="Nearby(&lt;=5)"/>
    <n v="1"/>
    <s v="Not_Satisfied(&lt;3)"/>
    <x v="1"/>
    <n v="4"/>
    <s v="High"/>
    <n v="2"/>
    <x v="0"/>
    <x v="0"/>
    <n v="1"/>
    <s v="Not_Satisfied(&lt;=2)"/>
    <x v="2"/>
    <n v="1"/>
    <s v="Y"/>
    <x v="1"/>
    <n v="22"/>
    <x v="1"/>
    <n v="9"/>
    <n v="3"/>
    <s v="Good(&gt;=3)"/>
    <n v="9"/>
    <s v="Long(5-10)"/>
    <n v="8"/>
    <x v="1"/>
    <n v="0"/>
    <s v="Reasonable(&lt;=3)"/>
  </r>
  <r>
    <x v="10"/>
    <s v="Middle_Age(30-50)"/>
    <x v="1"/>
    <s v="Rarely"/>
    <s v="Research &amp; Development"/>
    <n v="27"/>
    <s v="Far(&gt;=15)"/>
    <n v="3"/>
    <s v="Satisfied(&gt;=3)"/>
    <x v="0"/>
    <n v="2"/>
    <s v="Low"/>
    <n v="1"/>
    <x v="0"/>
    <x v="1"/>
    <n v="1"/>
    <s v="Not_Satisfied(&lt;=2)"/>
    <x v="0"/>
    <n v="1"/>
    <s v="Y"/>
    <x v="1"/>
    <n v="11"/>
    <x v="0"/>
    <n v="6"/>
    <n v="2"/>
    <s v="Poor(&lt;=2)"/>
    <n v="6"/>
    <s v="Long(5-10)"/>
    <n v="5"/>
    <x v="1"/>
    <n v="1"/>
    <s v="Reasonable(&lt;=3)"/>
  </r>
  <r>
    <x v="9"/>
    <s v="Middle_Age(30-50)"/>
    <x v="1"/>
    <s v="Rarely"/>
    <s v="Sales"/>
    <n v="1"/>
    <s v="Nearby(&lt;=5)"/>
    <n v="2"/>
    <s v="Not_Satisfied(&lt;3)"/>
    <x v="1"/>
    <n v="3"/>
    <s v="Medium"/>
    <n v="2"/>
    <x v="0"/>
    <x v="0"/>
    <n v="4"/>
    <s v="Satisfied(&gt;=3)"/>
    <x v="1"/>
    <n v="1"/>
    <s v="Y"/>
    <x v="0"/>
    <n v="14"/>
    <x v="0"/>
    <n v="18"/>
    <n v="2"/>
    <s v="Poor(&lt;=2)"/>
    <n v="18"/>
    <s v="Ultra_Long(&gt;10)"/>
    <n v="14"/>
    <x v="2"/>
    <n v="4"/>
    <s v="Not_Reasonable(&gt;3)"/>
  </r>
  <r>
    <x v="5"/>
    <s v="Middle_Age(30-50)"/>
    <x v="1"/>
    <s v="Rarely"/>
    <s v="Sales"/>
    <n v="13"/>
    <s v="Middistance(6-14)"/>
    <n v="2"/>
    <s v="Not_Satisfied(&lt;3)"/>
    <x v="1"/>
    <n v="3"/>
    <s v="Medium"/>
    <n v="2"/>
    <x v="0"/>
    <x v="0"/>
    <n v="4"/>
    <s v="Satisfied(&gt;=3)"/>
    <x v="2"/>
    <n v="2"/>
    <s v="Y"/>
    <x v="1"/>
    <n v="11"/>
    <x v="0"/>
    <n v="8"/>
    <n v="2"/>
    <s v="Poor(&lt;=2)"/>
    <n v="5"/>
    <s v="Long(5-10)"/>
    <n v="2"/>
    <x v="0"/>
    <n v="0"/>
    <s v="Reasonable(&lt;=3)"/>
  </r>
  <r>
    <x v="7"/>
    <s v="Middle_Age(30-50)"/>
    <x v="1"/>
    <s v="Frequently"/>
    <s v="Research &amp; Development"/>
    <n v="5"/>
    <s v="Nearby(&lt;=5)"/>
    <n v="2"/>
    <s v="Not_Satisfied(&lt;3)"/>
    <x v="1"/>
    <n v="2"/>
    <s v="Low"/>
    <n v="1"/>
    <x v="0"/>
    <x v="1"/>
    <n v="4"/>
    <s v="Satisfied(&gt;=3)"/>
    <x v="2"/>
    <n v="9"/>
    <s v="Y"/>
    <x v="1"/>
    <n v="12"/>
    <x v="0"/>
    <n v="10"/>
    <n v="2"/>
    <s v="Poor(&lt;=2)"/>
    <n v="5"/>
    <s v="Long(5-10)"/>
    <n v="4"/>
    <x v="0"/>
    <n v="0"/>
    <s v="Reasonable(&lt;=3)"/>
  </r>
  <r>
    <x v="16"/>
    <s v="Old(&gt;50)"/>
    <x v="1"/>
    <s v="Rarely"/>
    <s v="Sales"/>
    <n v="7"/>
    <s v="Middistance(6-14)"/>
    <n v="1"/>
    <s v="Not_Satisfied(&lt;3)"/>
    <x v="0"/>
    <n v="2"/>
    <s v="Low"/>
    <n v="3"/>
    <x v="1"/>
    <x v="0"/>
    <n v="4"/>
    <s v="Satisfied(&gt;=3)"/>
    <x v="1"/>
    <n v="7"/>
    <s v="Y"/>
    <x v="0"/>
    <n v="18"/>
    <x v="0"/>
    <n v="35"/>
    <n v="3"/>
    <s v="Good(&gt;=3)"/>
    <n v="5"/>
    <s v="Long(5-10)"/>
    <n v="2"/>
    <x v="0"/>
    <n v="0"/>
    <s v="Reasonable(&lt;=3)"/>
  </r>
  <r>
    <x v="28"/>
    <s v="Middle_Age(30-50)"/>
    <x v="1"/>
    <s v="Rarely"/>
    <s v="Sales"/>
    <n v="9"/>
    <s v="Middistance(6-14)"/>
    <n v="4"/>
    <s v="Satisfied(&gt;=3)"/>
    <x v="1"/>
    <n v="3"/>
    <s v="Medium"/>
    <n v="3"/>
    <x v="1"/>
    <x v="0"/>
    <n v="1"/>
    <s v="Not_Satisfied(&lt;=2)"/>
    <x v="2"/>
    <n v="4"/>
    <s v="Y"/>
    <x v="0"/>
    <n v="12"/>
    <x v="0"/>
    <n v="18"/>
    <n v="3"/>
    <s v="Good(&gt;=3)"/>
    <n v="5"/>
    <s v="Long(5-10)"/>
    <n v="4"/>
    <x v="0"/>
    <n v="0"/>
    <s v="Reasonable(&lt;=3)"/>
  </r>
  <r>
    <x v="5"/>
    <s v="Middle_Age(30-50)"/>
    <x v="1"/>
    <s v="Rarely"/>
    <s v="Research &amp; Development"/>
    <n v="8"/>
    <s v="Middistance(6-14)"/>
    <n v="3"/>
    <s v="Satisfied(&gt;=3)"/>
    <x v="0"/>
    <n v="4"/>
    <s v="High"/>
    <n v="2"/>
    <x v="0"/>
    <x v="1"/>
    <n v="3"/>
    <s v="Satisfied(&gt;=3)"/>
    <x v="1"/>
    <n v="5"/>
    <s v="Y"/>
    <x v="1"/>
    <n v="12"/>
    <x v="0"/>
    <n v="9"/>
    <n v="2"/>
    <s v="Poor(&lt;=2)"/>
    <n v="5"/>
    <s v="Long(5-10)"/>
    <n v="3"/>
    <x v="0"/>
    <n v="1"/>
    <s v="Reasonable(&lt;=3)"/>
  </r>
  <r>
    <x v="39"/>
    <s v="Old(&gt;50)"/>
    <x v="1"/>
    <s v="Frequently"/>
    <s v="Research &amp; Development"/>
    <n v="25"/>
    <s v="Far(&gt;=15)"/>
    <n v="3"/>
    <s v="Satisfied(&gt;=3)"/>
    <x v="0"/>
    <n v="2"/>
    <s v="Low"/>
    <n v="4"/>
    <x v="2"/>
    <x v="3"/>
    <n v="4"/>
    <s v="Satisfied(&gt;=3)"/>
    <x v="1"/>
    <n v="3"/>
    <s v="Y"/>
    <x v="1"/>
    <n v="22"/>
    <x v="1"/>
    <n v="31"/>
    <n v="3"/>
    <s v="Good(&gt;=3)"/>
    <n v="9"/>
    <s v="Long(5-10)"/>
    <n v="8"/>
    <x v="1"/>
    <n v="0"/>
    <s v="Reasonable(&lt;=3)"/>
  </r>
  <r>
    <x v="2"/>
    <s v="Middle_Age(30-50)"/>
    <x v="1"/>
    <s v="Rarely"/>
    <s v="Sales"/>
    <n v="16"/>
    <s v="Far(&gt;=15)"/>
    <n v="4"/>
    <s v="Satisfied(&gt;=3)"/>
    <x v="1"/>
    <n v="2"/>
    <s v="Low"/>
    <n v="2"/>
    <x v="0"/>
    <x v="0"/>
    <n v="3"/>
    <s v="Satisfied(&gt;=3)"/>
    <x v="2"/>
    <n v="4"/>
    <s v="Y"/>
    <x v="1"/>
    <n v="19"/>
    <x v="0"/>
    <n v="9"/>
    <n v="3"/>
    <s v="Good(&gt;=3)"/>
    <n v="1"/>
    <s v="Short(&lt;=4)"/>
    <n v="0"/>
    <x v="0"/>
    <n v="0"/>
    <s v="Reasonable(&lt;=3)"/>
  </r>
  <r>
    <x v="14"/>
    <s v="Young(&lt;=29)"/>
    <x v="1"/>
    <s v="Rarely"/>
    <s v="Human Resources"/>
    <n v="8"/>
    <s v="Middistance(6-14)"/>
    <n v="2"/>
    <s v="Not_Satisfied(&lt;3)"/>
    <x v="1"/>
    <n v="2"/>
    <s v="Low"/>
    <n v="1"/>
    <x v="0"/>
    <x v="8"/>
    <n v="4"/>
    <s v="Satisfied(&gt;=3)"/>
    <x v="2"/>
    <n v="1"/>
    <s v="Y"/>
    <x v="1"/>
    <n v="13"/>
    <x v="0"/>
    <n v="6"/>
    <n v="3"/>
    <s v="Good(&gt;=3)"/>
    <n v="5"/>
    <s v="Long(5-10)"/>
    <n v="1"/>
    <x v="0"/>
    <n v="0"/>
    <s v="Reasonable(&lt;=3)"/>
  </r>
  <r>
    <x v="15"/>
    <s v="Young(&lt;=29)"/>
    <x v="1"/>
    <s v="Rarely"/>
    <s v="Research &amp; Development"/>
    <n v="1"/>
    <s v="Nearby(&lt;=5)"/>
    <n v="4"/>
    <s v="Satisfied(&gt;=3)"/>
    <x v="1"/>
    <n v="2"/>
    <s v="Low"/>
    <n v="2"/>
    <x v="0"/>
    <x v="3"/>
    <n v="4"/>
    <s v="Satisfied(&gt;=3)"/>
    <x v="1"/>
    <n v="6"/>
    <s v="Y"/>
    <x v="1"/>
    <n v="22"/>
    <x v="1"/>
    <n v="4"/>
    <n v="1"/>
    <s v="Poor(&lt;=2)"/>
    <n v="2"/>
    <s v="Short(&lt;=4)"/>
    <n v="2"/>
    <x v="0"/>
    <n v="2"/>
    <s v="Reasonable(&lt;=3)"/>
  </r>
  <r>
    <x v="20"/>
    <s v="Middle_Age(30-50)"/>
    <x v="1"/>
    <s v="Rarely"/>
    <s v="Research &amp; Development"/>
    <n v="8"/>
    <s v="Middistance(6-14)"/>
    <n v="1"/>
    <s v="Not_Satisfied(&lt;3)"/>
    <x v="1"/>
    <n v="4"/>
    <s v="High"/>
    <n v="1"/>
    <x v="0"/>
    <x v="2"/>
    <n v="4"/>
    <s v="Satisfied(&gt;=3)"/>
    <x v="1"/>
    <n v="2"/>
    <s v="Y"/>
    <x v="0"/>
    <n v="24"/>
    <x v="1"/>
    <n v="10"/>
    <n v="2"/>
    <s v="Poor(&lt;=2)"/>
    <n v="3"/>
    <s v="Short(&lt;=4)"/>
    <n v="2"/>
    <x v="0"/>
    <n v="0"/>
    <s v="Reasonable(&lt;=3)"/>
  </r>
  <r>
    <x v="19"/>
    <s v="Middle_Age(30-50)"/>
    <x v="1"/>
    <s v="Frequently"/>
    <s v="Research &amp; Development"/>
    <n v="2"/>
    <s v="Nearby(&lt;=5)"/>
    <n v="2"/>
    <s v="Not_Satisfied(&lt;3)"/>
    <x v="1"/>
    <n v="3"/>
    <s v="Medium"/>
    <n v="1"/>
    <x v="0"/>
    <x v="1"/>
    <n v="4"/>
    <s v="Satisfied(&gt;=3)"/>
    <x v="0"/>
    <n v="5"/>
    <s v="Y"/>
    <x v="0"/>
    <n v="14"/>
    <x v="0"/>
    <n v="8"/>
    <n v="3"/>
    <s v="Good(&gt;=3)"/>
    <n v="2"/>
    <s v="Short(&lt;=4)"/>
    <n v="1"/>
    <x v="0"/>
    <n v="2"/>
    <s v="Reasonable(&lt;=3)"/>
  </r>
  <r>
    <x v="9"/>
    <s v="Middle_Age(30-50)"/>
    <x v="1"/>
    <s v="Rarely"/>
    <s v="Human Resources"/>
    <n v="8"/>
    <s v="Middistance(6-14)"/>
    <n v="1"/>
    <s v="Not_Satisfied(&lt;3)"/>
    <x v="1"/>
    <n v="2"/>
    <s v="Low"/>
    <n v="1"/>
    <x v="0"/>
    <x v="8"/>
    <n v="1"/>
    <s v="Not_Satisfied(&lt;=2)"/>
    <x v="1"/>
    <n v="0"/>
    <s v="Y"/>
    <x v="1"/>
    <n v="21"/>
    <x v="1"/>
    <n v="6"/>
    <n v="3"/>
    <s v="Good(&gt;=3)"/>
    <n v="5"/>
    <s v="Long(5-10)"/>
    <n v="4"/>
    <x v="0"/>
    <n v="0"/>
    <s v="Reasonable(&lt;=3)"/>
  </r>
  <r>
    <x v="36"/>
    <s v="Young(&lt;=29)"/>
    <x v="1"/>
    <s v="Rarely"/>
    <s v="Sales"/>
    <n v="3"/>
    <s v="Nearby(&lt;=5)"/>
    <n v="3"/>
    <s v="Satisfied(&gt;=3)"/>
    <x v="1"/>
    <n v="3"/>
    <s v="Medium"/>
    <n v="2"/>
    <x v="0"/>
    <x v="0"/>
    <n v="1"/>
    <s v="Not_Satisfied(&lt;=2)"/>
    <x v="1"/>
    <n v="1"/>
    <s v="Y"/>
    <x v="0"/>
    <n v="18"/>
    <x v="0"/>
    <n v="5"/>
    <n v="3"/>
    <s v="Good(&gt;=3)"/>
    <n v="5"/>
    <s v="Long(5-10)"/>
    <n v="3"/>
    <x v="0"/>
    <n v="0"/>
    <s v="Reasonable(&lt;=3)"/>
  </r>
  <r>
    <x v="10"/>
    <s v="Middle_Age(30-50)"/>
    <x v="1"/>
    <s v="Rarely"/>
    <s v="Research &amp; Development"/>
    <n v="9"/>
    <s v="Middistance(6-14)"/>
    <n v="4"/>
    <s v="Satisfied(&gt;=3)"/>
    <x v="0"/>
    <n v="2"/>
    <s v="Low"/>
    <n v="3"/>
    <x v="1"/>
    <x v="3"/>
    <n v="3"/>
    <s v="Satisfied(&gt;=3)"/>
    <x v="1"/>
    <n v="1"/>
    <s v="Y"/>
    <x v="0"/>
    <n v="20"/>
    <x v="1"/>
    <n v="17"/>
    <n v="3"/>
    <s v="Good(&gt;=3)"/>
    <n v="17"/>
    <s v="Ultra_Long(&gt;10)"/>
    <n v="14"/>
    <x v="2"/>
    <n v="5"/>
    <s v="Not_Reasonable(&gt;3)"/>
  </r>
  <r>
    <x v="10"/>
    <s v="Middle_Age(30-50)"/>
    <x v="0"/>
    <s v="Frequently"/>
    <s v="Research &amp; Development"/>
    <n v="25"/>
    <s v="Far(&gt;=15)"/>
    <n v="4"/>
    <s v="Satisfied(&gt;=3)"/>
    <x v="0"/>
    <n v="3"/>
    <s v="Medium"/>
    <n v="1"/>
    <x v="0"/>
    <x v="1"/>
    <n v="2"/>
    <s v="Not_Satisfied(&lt;=2)"/>
    <x v="2"/>
    <n v="1"/>
    <s v="Y"/>
    <x v="0"/>
    <n v="19"/>
    <x v="0"/>
    <n v="10"/>
    <n v="2"/>
    <s v="Poor(&lt;=2)"/>
    <n v="10"/>
    <s v="Long(5-10)"/>
    <n v="2"/>
    <x v="0"/>
    <n v="7"/>
    <s v="Not_Reasonable(&gt;3)"/>
  </r>
  <r>
    <x v="5"/>
    <s v="Middle_Age(30-50)"/>
    <x v="1"/>
    <s v="Rarely"/>
    <s v="Research &amp; Development"/>
    <n v="1"/>
    <s v="Nearby(&lt;=5)"/>
    <n v="4"/>
    <s v="Satisfied(&gt;=3)"/>
    <x v="1"/>
    <n v="3"/>
    <s v="Medium"/>
    <n v="1"/>
    <x v="0"/>
    <x v="2"/>
    <n v="4"/>
    <s v="Satisfied(&gt;=3)"/>
    <x v="2"/>
    <n v="0"/>
    <s v="Y"/>
    <x v="1"/>
    <n v="12"/>
    <x v="0"/>
    <n v="4"/>
    <n v="3"/>
    <s v="Good(&gt;=3)"/>
    <n v="3"/>
    <s v="Short(&lt;=4)"/>
    <n v="0"/>
    <x v="0"/>
    <n v="0"/>
    <s v="Reasonable(&lt;=3)"/>
  </r>
  <r>
    <x v="36"/>
    <s v="Young(&lt;=29)"/>
    <x v="1"/>
    <s v="Rarely"/>
    <s v="Sales"/>
    <n v="4"/>
    <s v="Nearby(&lt;=5)"/>
    <n v="3"/>
    <s v="Satisfied(&gt;=3)"/>
    <x v="1"/>
    <n v="2"/>
    <s v="Low"/>
    <n v="2"/>
    <x v="0"/>
    <x v="0"/>
    <n v="1"/>
    <s v="Not_Satisfied(&lt;=2)"/>
    <x v="1"/>
    <n v="1"/>
    <s v="Y"/>
    <x v="1"/>
    <n v="12"/>
    <x v="0"/>
    <n v="5"/>
    <n v="4"/>
    <s v="Good(&gt;=3)"/>
    <n v="5"/>
    <s v="Long(5-10)"/>
    <n v="2"/>
    <x v="0"/>
    <n v="0"/>
    <s v="Reasonable(&lt;=3)"/>
  </r>
  <r>
    <x v="1"/>
    <s v="Middle_Age(30-50)"/>
    <x v="1"/>
    <s v="Rarely"/>
    <s v="Research &amp; Development"/>
    <n v="1"/>
    <s v="Nearby(&lt;=5)"/>
    <n v="3"/>
    <s v="Satisfied(&gt;=3)"/>
    <x v="0"/>
    <n v="3"/>
    <s v="Medium"/>
    <n v="1"/>
    <x v="0"/>
    <x v="1"/>
    <n v="1"/>
    <s v="Not_Satisfied(&lt;=2)"/>
    <x v="1"/>
    <n v="2"/>
    <s v="Y"/>
    <x v="1"/>
    <n v="16"/>
    <x v="0"/>
    <n v="7"/>
    <n v="3"/>
    <s v="Good(&gt;=3)"/>
    <n v="4"/>
    <s v="Short(&lt;=4)"/>
    <n v="2"/>
    <x v="0"/>
    <n v="0"/>
    <s v="Reasonable(&lt;=3)"/>
  </r>
  <r>
    <x v="17"/>
    <s v="Young(&lt;=29)"/>
    <x v="1"/>
    <s v="Rarely"/>
    <s v="Research &amp; Development"/>
    <n v="4"/>
    <s v="Nearby(&lt;=5)"/>
    <n v="1"/>
    <s v="Not_Satisfied(&lt;3)"/>
    <x v="1"/>
    <n v="2"/>
    <s v="Low"/>
    <n v="1"/>
    <x v="0"/>
    <x v="2"/>
    <n v="4"/>
    <s v="Satisfied(&gt;=3)"/>
    <x v="1"/>
    <n v="0"/>
    <s v="Y"/>
    <x v="1"/>
    <n v="17"/>
    <x v="0"/>
    <n v="6"/>
    <n v="2"/>
    <s v="Poor(&lt;=2)"/>
    <n v="5"/>
    <s v="Long(5-10)"/>
    <n v="2"/>
    <x v="0"/>
    <n v="3"/>
    <s v="Reasonable(&lt;=3)"/>
  </r>
  <r>
    <x v="5"/>
    <s v="Middle_Age(30-50)"/>
    <x v="1"/>
    <s v="Frequently"/>
    <s v="Sales"/>
    <n v="5"/>
    <s v="Nearby(&lt;=5)"/>
    <n v="2"/>
    <s v="Not_Satisfied(&lt;3)"/>
    <x v="1"/>
    <n v="3"/>
    <s v="Medium"/>
    <n v="2"/>
    <x v="0"/>
    <x v="0"/>
    <n v="2"/>
    <s v="Not_Satisfied(&lt;=2)"/>
    <x v="1"/>
    <n v="1"/>
    <s v="Y"/>
    <x v="1"/>
    <n v="14"/>
    <x v="0"/>
    <n v="10"/>
    <n v="3"/>
    <s v="Good(&gt;=3)"/>
    <n v="10"/>
    <s v="Long(5-10)"/>
    <n v="8"/>
    <x v="1"/>
    <n v="5"/>
    <s v="Not_Reasonable(&gt;3)"/>
  </r>
  <r>
    <x v="8"/>
    <s v="Middle_Age(30-50)"/>
    <x v="1"/>
    <s v="Rarely"/>
    <s v="Sales"/>
    <n v="9"/>
    <s v="Middistance(6-14)"/>
    <n v="2"/>
    <s v="Not_Satisfied(&lt;3)"/>
    <x v="1"/>
    <n v="2"/>
    <s v="Low"/>
    <n v="1"/>
    <x v="0"/>
    <x v="6"/>
    <n v="2"/>
    <s v="Not_Satisfied(&lt;=2)"/>
    <x v="1"/>
    <n v="0"/>
    <s v="Y"/>
    <x v="1"/>
    <n v="19"/>
    <x v="0"/>
    <n v="3"/>
    <n v="3"/>
    <s v="Good(&gt;=3)"/>
    <n v="2"/>
    <s v="Short(&lt;=4)"/>
    <n v="2"/>
    <x v="0"/>
    <n v="1"/>
    <s v="Reasonable(&lt;=3)"/>
  </r>
  <r>
    <x v="19"/>
    <s v="Middle_Age(30-50)"/>
    <x v="1"/>
    <s v="Rarely"/>
    <s v="Research &amp; Development"/>
    <n v="3"/>
    <s v="Nearby(&lt;=5)"/>
    <n v="3"/>
    <s v="Satisfied(&gt;=3)"/>
    <x v="0"/>
    <n v="4"/>
    <s v="High"/>
    <n v="2"/>
    <x v="0"/>
    <x v="2"/>
    <n v="4"/>
    <s v="Satisfied(&gt;=3)"/>
    <x v="1"/>
    <n v="2"/>
    <s v="Y"/>
    <x v="0"/>
    <n v="13"/>
    <x v="0"/>
    <n v="17"/>
    <n v="2"/>
    <s v="Poor(&lt;=2)"/>
    <n v="5"/>
    <s v="Long(5-10)"/>
    <n v="3"/>
    <x v="0"/>
    <n v="1"/>
    <s v="Reasonable(&lt;=3)"/>
  </r>
  <r>
    <x v="12"/>
    <s v="Middle_Age(30-50)"/>
    <x v="1"/>
    <s v="Rarely"/>
    <s v="Research &amp; Development"/>
    <n v="11"/>
    <s v="Middistance(6-14)"/>
    <n v="4"/>
    <s v="Satisfied(&gt;=3)"/>
    <x v="1"/>
    <n v="3"/>
    <s v="Medium"/>
    <n v="1"/>
    <x v="0"/>
    <x v="1"/>
    <n v="4"/>
    <s v="Satisfied(&gt;=3)"/>
    <x v="1"/>
    <n v="3"/>
    <s v="Y"/>
    <x v="0"/>
    <n v="19"/>
    <x v="0"/>
    <n v="8"/>
    <n v="3"/>
    <s v="Good(&gt;=3)"/>
    <n v="6"/>
    <s v="Long(5-10)"/>
    <n v="4"/>
    <x v="0"/>
    <n v="0"/>
    <s v="Reasonable(&lt;=3)"/>
  </r>
  <r>
    <x v="11"/>
    <s v="Young(&lt;=29)"/>
    <x v="0"/>
    <s v="Rarely"/>
    <s v="Sales"/>
    <n v="1"/>
    <s v="Nearby(&lt;=5)"/>
    <n v="2"/>
    <s v="Not_Satisfied(&lt;3)"/>
    <x v="0"/>
    <n v="2"/>
    <s v="Low"/>
    <n v="1"/>
    <x v="0"/>
    <x v="6"/>
    <n v="3"/>
    <s v="Satisfied(&gt;=3)"/>
    <x v="2"/>
    <n v="6"/>
    <s v="Y"/>
    <x v="0"/>
    <n v="19"/>
    <x v="0"/>
    <n v="5"/>
    <n v="3"/>
    <s v="Good(&gt;=3)"/>
    <n v="3"/>
    <s v="Short(&lt;=4)"/>
    <n v="2"/>
    <x v="0"/>
    <n v="0"/>
    <s v="Reasonable(&lt;=3)"/>
  </r>
  <r>
    <x v="16"/>
    <s v="Old(&gt;50)"/>
    <x v="1"/>
    <s v="Rarely"/>
    <s v="Sales"/>
    <n v="8"/>
    <s v="Middistance(6-14)"/>
    <n v="1"/>
    <s v="Not_Satisfied(&lt;3)"/>
    <x v="1"/>
    <n v="3"/>
    <s v="Medium"/>
    <n v="4"/>
    <x v="2"/>
    <x v="0"/>
    <n v="4"/>
    <s v="Satisfied(&gt;=3)"/>
    <x v="1"/>
    <n v="5"/>
    <s v="Y"/>
    <x v="1"/>
    <n v="14"/>
    <x v="0"/>
    <n v="28"/>
    <n v="3"/>
    <s v="Good(&gt;=3)"/>
    <n v="2"/>
    <s v="Short(&lt;=4)"/>
    <n v="0"/>
    <x v="0"/>
    <n v="2"/>
    <s v="Reasonable(&lt;=3)"/>
  </r>
  <r>
    <x v="10"/>
    <s v="Middle_Age(30-50)"/>
    <x v="1"/>
    <s v="Rarely"/>
    <s v="Research &amp; Development"/>
    <n v="25"/>
    <s v="Far(&gt;=15)"/>
    <n v="4"/>
    <s v="Satisfied(&gt;=3)"/>
    <x v="1"/>
    <n v="2"/>
    <s v="Low"/>
    <n v="3"/>
    <x v="1"/>
    <x v="3"/>
    <n v="2"/>
    <s v="Not_Satisfied(&lt;=2)"/>
    <x v="1"/>
    <n v="3"/>
    <s v="Y"/>
    <x v="1"/>
    <n v="16"/>
    <x v="0"/>
    <n v="16"/>
    <n v="3"/>
    <s v="Good(&gt;=3)"/>
    <n v="13"/>
    <s v="Ultra_Long(&gt;10)"/>
    <n v="10"/>
    <x v="1"/>
    <n v="4"/>
    <s v="Not_Reasonable(&gt;3)"/>
  </r>
  <r>
    <x v="2"/>
    <s v="Middle_Age(30-50)"/>
    <x v="1"/>
    <s v="Frequently"/>
    <s v="Sales"/>
    <n v="21"/>
    <s v="Far(&gt;=15)"/>
    <n v="3"/>
    <s v="Satisfied(&gt;=3)"/>
    <x v="0"/>
    <n v="3"/>
    <s v="Medium"/>
    <n v="1"/>
    <x v="0"/>
    <x v="6"/>
    <n v="4"/>
    <s v="Satisfied(&gt;=3)"/>
    <x v="1"/>
    <n v="5"/>
    <s v="Y"/>
    <x v="1"/>
    <n v="15"/>
    <x v="0"/>
    <n v="10"/>
    <n v="3"/>
    <s v="Good(&gt;=3)"/>
    <n v="5"/>
    <s v="Long(5-10)"/>
    <n v="4"/>
    <x v="0"/>
    <n v="0"/>
    <s v="Reasonable(&lt;=3)"/>
  </r>
  <r>
    <x v="16"/>
    <s v="Old(&gt;50)"/>
    <x v="1"/>
    <s v="Rarely"/>
    <s v="Research &amp; Development"/>
    <n v="23"/>
    <s v="Far(&gt;=15)"/>
    <n v="4"/>
    <s v="Satisfied(&gt;=3)"/>
    <x v="0"/>
    <n v="3"/>
    <s v="Medium"/>
    <n v="4"/>
    <x v="2"/>
    <x v="7"/>
    <n v="4"/>
    <s v="Satisfied(&gt;=3)"/>
    <x v="0"/>
    <n v="6"/>
    <s v="Y"/>
    <x v="1"/>
    <n v="18"/>
    <x v="0"/>
    <n v="33"/>
    <n v="3"/>
    <s v="Good(&gt;=3)"/>
    <n v="12"/>
    <s v="Ultra_Long(&gt;10)"/>
    <n v="9"/>
    <x v="1"/>
    <n v="3"/>
    <s v="Reasonable(&lt;=3)"/>
  </r>
  <r>
    <x v="23"/>
    <s v="Middle_Age(30-50)"/>
    <x v="1"/>
    <s v="Frequently"/>
    <s v="Research &amp; Development"/>
    <n v="1"/>
    <s v="Nearby(&lt;=5)"/>
    <n v="4"/>
    <s v="Satisfied(&gt;=3)"/>
    <x v="0"/>
    <n v="3"/>
    <s v="Medium"/>
    <n v="2"/>
    <x v="0"/>
    <x v="4"/>
    <n v="4"/>
    <s v="Satisfied(&gt;=3)"/>
    <x v="1"/>
    <n v="4"/>
    <s v="Y"/>
    <x v="1"/>
    <n v="13"/>
    <x v="0"/>
    <n v="12"/>
    <n v="2"/>
    <s v="Poor(&lt;=2)"/>
    <n v="5"/>
    <s v="Long(5-10)"/>
    <n v="2"/>
    <x v="0"/>
    <n v="2"/>
    <s v="Reasonable(&lt;=3)"/>
  </r>
  <r>
    <x v="40"/>
    <s v="Middle_Age(30-50)"/>
    <x v="1"/>
    <s v="Rarely"/>
    <s v="Sales"/>
    <n v="2"/>
    <s v="Nearby(&lt;=5)"/>
    <n v="3"/>
    <s v="Satisfied(&gt;=3)"/>
    <x v="0"/>
    <n v="3"/>
    <s v="Medium"/>
    <n v="2"/>
    <x v="0"/>
    <x v="0"/>
    <n v="4"/>
    <s v="Satisfied(&gt;=3)"/>
    <x v="1"/>
    <n v="0"/>
    <s v="Y"/>
    <x v="0"/>
    <n v="22"/>
    <x v="1"/>
    <n v="8"/>
    <n v="3"/>
    <s v="Good(&gt;=3)"/>
    <n v="7"/>
    <s v="Long(5-10)"/>
    <n v="6"/>
    <x v="1"/>
    <n v="7"/>
    <s v="Not_Reasonable(&gt;3)"/>
  </r>
  <r>
    <x v="2"/>
    <s v="Middle_Age(30-50)"/>
    <x v="1"/>
    <s v="Rarely"/>
    <s v="Sales"/>
    <n v="19"/>
    <s v="Far(&gt;=15)"/>
    <n v="1"/>
    <s v="Not_Satisfied(&lt;3)"/>
    <x v="1"/>
    <n v="3"/>
    <s v="Medium"/>
    <n v="3"/>
    <x v="1"/>
    <x v="0"/>
    <n v="2"/>
    <s v="Not_Satisfied(&lt;=2)"/>
    <x v="0"/>
    <n v="1"/>
    <s v="Y"/>
    <x v="0"/>
    <n v="13"/>
    <x v="0"/>
    <n v="10"/>
    <n v="3"/>
    <s v="Good(&gt;=3)"/>
    <n v="10"/>
    <s v="Long(5-10)"/>
    <n v="0"/>
    <x v="0"/>
    <n v="0"/>
    <s v="Reasonable(&lt;=3)"/>
  </r>
  <r>
    <x v="24"/>
    <s v="Middle_Age(30-50)"/>
    <x v="1"/>
    <s v="Rarely"/>
    <s v="Research &amp; Development"/>
    <n v="2"/>
    <s v="Nearby(&lt;=5)"/>
    <n v="1"/>
    <s v="Not_Satisfied(&lt;3)"/>
    <x v="1"/>
    <n v="3"/>
    <s v="Medium"/>
    <n v="4"/>
    <x v="2"/>
    <x v="5"/>
    <n v="1"/>
    <s v="Not_Satisfied(&lt;=2)"/>
    <x v="2"/>
    <n v="1"/>
    <s v="Y"/>
    <x v="1"/>
    <n v="11"/>
    <x v="0"/>
    <n v="31"/>
    <n v="3"/>
    <s v="Good(&gt;=3)"/>
    <n v="31"/>
    <s v="Ultra_Long(&gt;10)"/>
    <n v="6"/>
    <x v="1"/>
    <n v="14"/>
    <s v="Not_Reasonable(&gt;3)"/>
  </r>
  <r>
    <x v="22"/>
    <s v="Middle_Age(30-50)"/>
    <x v="1"/>
    <s v="Rarely"/>
    <s v="Human Resources"/>
    <n v="2"/>
    <s v="Nearby(&lt;=5)"/>
    <n v="4"/>
    <s v="Satisfied(&gt;=3)"/>
    <x v="0"/>
    <n v="2"/>
    <s v="Low"/>
    <n v="2"/>
    <x v="0"/>
    <x v="8"/>
    <n v="4"/>
    <s v="Satisfied(&gt;=3)"/>
    <x v="1"/>
    <n v="8"/>
    <s v="Y"/>
    <x v="1"/>
    <n v="11"/>
    <x v="0"/>
    <n v="13"/>
    <n v="3"/>
    <s v="Good(&gt;=3)"/>
    <n v="5"/>
    <s v="Long(5-10)"/>
    <n v="4"/>
    <x v="0"/>
    <n v="0"/>
    <s v="Reasonable(&lt;=3)"/>
  </r>
  <r>
    <x v="3"/>
    <s v="Middle_Age(30-50)"/>
    <x v="1"/>
    <s v="Rarely"/>
    <s v="Human Resources"/>
    <n v="3"/>
    <s v="Nearby(&lt;=5)"/>
    <n v="4"/>
    <s v="Satisfied(&gt;=3)"/>
    <x v="1"/>
    <n v="3"/>
    <s v="Medium"/>
    <n v="1"/>
    <x v="0"/>
    <x v="8"/>
    <n v="2"/>
    <s v="Not_Satisfied(&lt;=2)"/>
    <x v="2"/>
    <n v="3"/>
    <s v="Y"/>
    <x v="0"/>
    <n v="11"/>
    <x v="0"/>
    <n v="7"/>
    <n v="4"/>
    <s v="Good(&gt;=3)"/>
    <n v="4"/>
    <s v="Short(&lt;=4)"/>
    <n v="3"/>
    <x v="0"/>
    <n v="0"/>
    <s v="Reasonable(&lt;=3)"/>
  </r>
  <r>
    <x v="5"/>
    <s v="Middle_Age(30-50)"/>
    <x v="0"/>
    <s v="Rarely"/>
    <s v="Research &amp; Development"/>
    <n v="25"/>
    <s v="Far(&gt;=15)"/>
    <n v="1"/>
    <s v="Not_Satisfied(&lt;3)"/>
    <x v="1"/>
    <n v="3"/>
    <s v="Medium"/>
    <n v="1"/>
    <x v="0"/>
    <x v="2"/>
    <n v="4"/>
    <s v="Satisfied(&gt;=3)"/>
    <x v="0"/>
    <n v="1"/>
    <s v="Y"/>
    <x v="0"/>
    <n v="24"/>
    <x v="1"/>
    <n v="1"/>
    <n v="1"/>
    <s v="Poor(&lt;=2)"/>
    <n v="1"/>
    <s v="Short(&lt;=4)"/>
    <n v="0"/>
    <x v="0"/>
    <n v="0"/>
    <s v="Reasonable(&lt;=3)"/>
  </r>
  <r>
    <x v="11"/>
    <s v="Young(&lt;=29)"/>
    <x v="1"/>
    <s v="Rarely"/>
    <s v="Research &amp; Development"/>
    <n v="7"/>
    <s v="Middistance(6-14)"/>
    <n v="1"/>
    <s v="Not_Satisfied(&lt;3)"/>
    <x v="0"/>
    <n v="2"/>
    <s v="Low"/>
    <n v="1"/>
    <x v="0"/>
    <x v="2"/>
    <n v="4"/>
    <s v="Satisfied(&gt;=3)"/>
    <x v="2"/>
    <n v="6"/>
    <s v="Y"/>
    <x v="1"/>
    <n v="14"/>
    <x v="0"/>
    <n v="8"/>
    <n v="3"/>
    <s v="Good(&gt;=3)"/>
    <n v="4"/>
    <s v="Short(&lt;=4)"/>
    <n v="3"/>
    <x v="0"/>
    <n v="0"/>
    <s v="Reasonable(&lt;=3)"/>
  </r>
  <r>
    <x v="20"/>
    <s v="Middle_Age(30-50)"/>
    <x v="1"/>
    <s v="Rarely"/>
    <s v="Research &amp; Development"/>
    <n v="9"/>
    <s v="Middistance(6-14)"/>
    <n v="2"/>
    <s v="Not_Satisfied(&lt;3)"/>
    <x v="1"/>
    <n v="3"/>
    <s v="Medium"/>
    <n v="1"/>
    <x v="0"/>
    <x v="1"/>
    <n v="1"/>
    <s v="Not_Satisfied(&lt;=2)"/>
    <x v="1"/>
    <n v="1"/>
    <s v="Y"/>
    <x v="0"/>
    <n v="13"/>
    <x v="0"/>
    <n v="8"/>
    <n v="3"/>
    <s v="Good(&gt;=3)"/>
    <n v="8"/>
    <s v="Long(5-10)"/>
    <n v="7"/>
    <x v="1"/>
    <n v="7"/>
    <s v="Not_Reasonable(&gt;3)"/>
  </r>
  <r>
    <x v="14"/>
    <s v="Young(&lt;=29)"/>
    <x v="1"/>
    <s v="Rarely"/>
    <s v="Sales"/>
    <n v="5"/>
    <s v="Nearby(&lt;=5)"/>
    <n v="1"/>
    <s v="Not_Satisfied(&lt;3)"/>
    <x v="1"/>
    <n v="3"/>
    <s v="Medium"/>
    <n v="2"/>
    <x v="0"/>
    <x v="0"/>
    <n v="4"/>
    <s v="Satisfied(&gt;=3)"/>
    <x v="0"/>
    <n v="1"/>
    <s v="Y"/>
    <x v="1"/>
    <n v="14"/>
    <x v="0"/>
    <n v="4"/>
    <n v="3"/>
    <s v="Good(&gt;=3)"/>
    <n v="4"/>
    <s v="Short(&lt;=4)"/>
    <n v="2"/>
    <x v="0"/>
    <n v="0"/>
    <s v="Reasonable(&lt;=3)"/>
  </r>
  <r>
    <x v="34"/>
    <s v="Old(&gt;50)"/>
    <x v="0"/>
    <s v="Frequently"/>
    <s v="Research &amp; Development"/>
    <n v="2"/>
    <s v="Nearby(&lt;=5)"/>
    <n v="4"/>
    <s v="Satisfied(&gt;=3)"/>
    <x v="1"/>
    <n v="2"/>
    <s v="Low"/>
    <n v="1"/>
    <x v="0"/>
    <x v="2"/>
    <n v="4"/>
    <s v="Satisfied(&gt;=3)"/>
    <x v="2"/>
    <n v="9"/>
    <s v="Y"/>
    <x v="0"/>
    <n v="14"/>
    <x v="0"/>
    <n v="3"/>
    <n v="2"/>
    <s v="Poor(&lt;=2)"/>
    <n v="1"/>
    <s v="Short(&lt;=4)"/>
    <n v="0"/>
    <x v="0"/>
    <n v="0"/>
    <s v="Reasonable(&lt;=3)"/>
  </r>
  <r>
    <x v="23"/>
    <s v="Middle_Age(30-50)"/>
    <x v="1"/>
    <s v="Rarely"/>
    <s v="Research &amp; Development"/>
    <n v="8"/>
    <s v="Middistance(6-14)"/>
    <n v="1"/>
    <s v="Not_Satisfied(&lt;3)"/>
    <x v="0"/>
    <n v="3"/>
    <s v="Medium"/>
    <n v="2"/>
    <x v="0"/>
    <x v="3"/>
    <n v="2"/>
    <s v="Not_Satisfied(&lt;=2)"/>
    <x v="2"/>
    <n v="4"/>
    <s v="Y"/>
    <x v="1"/>
    <n v="21"/>
    <x v="1"/>
    <n v="4"/>
    <n v="4"/>
    <s v="Good(&gt;=3)"/>
    <n v="1"/>
    <s v="Short(&lt;=4)"/>
    <n v="0"/>
    <x v="0"/>
    <n v="0"/>
    <s v="Reasonable(&lt;=3)"/>
  </r>
  <r>
    <x v="35"/>
    <s v="Young(&lt;=29)"/>
    <x v="0"/>
    <s v="Rarely"/>
    <s v="Sales"/>
    <n v="2"/>
    <s v="Nearby(&lt;=5)"/>
    <n v="3"/>
    <s v="Satisfied(&gt;=3)"/>
    <x v="0"/>
    <n v="2"/>
    <s v="Low"/>
    <n v="1"/>
    <x v="0"/>
    <x v="6"/>
    <n v="3"/>
    <s v="Satisfied(&gt;=3)"/>
    <x v="0"/>
    <n v="1"/>
    <s v="Y"/>
    <x v="1"/>
    <n v="13"/>
    <x v="0"/>
    <n v="2"/>
    <n v="2"/>
    <s v="Poor(&lt;=2)"/>
    <n v="2"/>
    <s v="Short(&lt;=4)"/>
    <n v="2"/>
    <x v="0"/>
    <n v="0"/>
    <s v="Reasonable(&lt;=3)"/>
  </r>
  <r>
    <x v="18"/>
    <s v="Young(&lt;=29)"/>
    <x v="0"/>
    <s v="Rarely"/>
    <s v="Research &amp; Development"/>
    <n v="18"/>
    <s v="Far(&gt;=15)"/>
    <n v="4"/>
    <s v="Satisfied(&gt;=3)"/>
    <x v="0"/>
    <n v="3"/>
    <s v="Medium"/>
    <n v="1"/>
    <x v="0"/>
    <x v="1"/>
    <n v="4"/>
    <s v="Satisfied(&gt;=3)"/>
    <x v="0"/>
    <n v="1"/>
    <s v="Y"/>
    <x v="1"/>
    <n v="19"/>
    <x v="0"/>
    <n v="1"/>
    <n v="2"/>
    <s v="Poor(&lt;=2)"/>
    <n v="1"/>
    <s v="Short(&lt;=4)"/>
    <n v="0"/>
    <x v="0"/>
    <n v="0"/>
    <s v="Reasonable(&lt;=3)"/>
  </r>
  <r>
    <x v="9"/>
    <s v="Middle_Age(30-50)"/>
    <x v="1"/>
    <s v="Rarely"/>
    <s v="Research &amp; Development"/>
    <n v="14"/>
    <s v="Middistance(6-14)"/>
    <n v="3"/>
    <s v="Satisfied(&gt;=3)"/>
    <x v="1"/>
    <n v="3"/>
    <s v="Medium"/>
    <n v="2"/>
    <x v="0"/>
    <x v="4"/>
    <n v="4"/>
    <s v="Satisfied(&gt;=3)"/>
    <x v="1"/>
    <n v="0"/>
    <s v="Y"/>
    <x v="0"/>
    <n v="17"/>
    <x v="0"/>
    <n v="17"/>
    <n v="2"/>
    <s v="Poor(&lt;=2)"/>
    <n v="16"/>
    <s v="Ultra_Long(&gt;10)"/>
    <n v="8"/>
    <x v="1"/>
    <n v="4"/>
    <s v="Not_Reasonable(&gt;3)"/>
  </r>
  <r>
    <x v="40"/>
    <s v="Middle_Age(30-50)"/>
    <x v="1"/>
    <s v="Rarely"/>
    <s v="Sales"/>
    <n v="2"/>
    <s v="Nearby(&lt;=5)"/>
    <n v="4"/>
    <s v="Satisfied(&gt;=3)"/>
    <x v="0"/>
    <n v="2"/>
    <s v="Low"/>
    <n v="1"/>
    <x v="0"/>
    <x v="6"/>
    <n v="4"/>
    <s v="Satisfied(&gt;=3)"/>
    <x v="0"/>
    <n v="1"/>
    <s v="Y"/>
    <x v="0"/>
    <n v="18"/>
    <x v="0"/>
    <n v="3"/>
    <n v="2"/>
    <s v="Poor(&lt;=2)"/>
    <n v="3"/>
    <s v="Short(&lt;=4)"/>
    <n v="2"/>
    <x v="0"/>
    <n v="1"/>
    <s v="Reasonable(&lt;=3)"/>
  </r>
  <r>
    <x v="15"/>
    <s v="Young(&lt;=29)"/>
    <x v="0"/>
    <s v="Rarely"/>
    <s v="Research &amp; Development"/>
    <n v="3"/>
    <s v="Nearby(&lt;=5)"/>
    <n v="2"/>
    <s v="Not_Satisfied(&lt;3)"/>
    <x v="0"/>
    <n v="3"/>
    <s v="Medium"/>
    <n v="2"/>
    <x v="0"/>
    <x v="3"/>
    <n v="3"/>
    <s v="Satisfied(&gt;=3)"/>
    <x v="1"/>
    <n v="0"/>
    <s v="Y"/>
    <x v="0"/>
    <n v="19"/>
    <x v="0"/>
    <n v="4"/>
    <n v="4"/>
    <s v="Good(&gt;=3)"/>
    <n v="3"/>
    <s v="Short(&lt;=4)"/>
    <n v="2"/>
    <x v="0"/>
    <n v="0"/>
    <s v="Reasonable(&lt;=3)"/>
  </r>
  <r>
    <x v="0"/>
    <s v="Middle_Age(30-50)"/>
    <x v="0"/>
    <s v="Rarely"/>
    <s v="Research &amp; Development"/>
    <n v="2"/>
    <s v="Nearby(&lt;=5)"/>
    <n v="2"/>
    <s v="Not_Satisfied(&lt;3)"/>
    <x v="0"/>
    <n v="1"/>
    <s v="Low"/>
    <n v="1"/>
    <x v="0"/>
    <x v="2"/>
    <n v="4"/>
    <s v="Satisfied(&gt;=3)"/>
    <x v="2"/>
    <n v="4"/>
    <s v="Y"/>
    <x v="0"/>
    <n v="13"/>
    <x v="0"/>
    <n v="10"/>
    <n v="2"/>
    <s v="Poor(&lt;=2)"/>
    <n v="7"/>
    <s v="Long(5-10)"/>
    <n v="7"/>
    <x v="1"/>
    <n v="1"/>
    <s v="Reasonable(&lt;=3)"/>
  </r>
  <r>
    <x v="14"/>
    <s v="Young(&lt;=29)"/>
    <x v="1"/>
    <s v="Rarely"/>
    <s v="Research &amp; Development"/>
    <n v="9"/>
    <s v="Middistance(6-14)"/>
    <n v="3"/>
    <s v="Satisfied(&gt;=3)"/>
    <x v="0"/>
    <n v="3"/>
    <s v="Medium"/>
    <n v="1"/>
    <x v="0"/>
    <x v="1"/>
    <n v="3"/>
    <s v="Satisfied(&gt;=3)"/>
    <x v="2"/>
    <n v="5"/>
    <s v="Y"/>
    <x v="1"/>
    <n v="18"/>
    <x v="0"/>
    <n v="6"/>
    <n v="3"/>
    <s v="Good(&gt;=3)"/>
    <n v="2"/>
    <s v="Short(&lt;=4)"/>
    <n v="2"/>
    <x v="0"/>
    <n v="2"/>
    <s v="Reasonable(&lt;=3)"/>
  </r>
  <r>
    <x v="22"/>
    <s v="Middle_Age(30-50)"/>
    <x v="0"/>
    <s v="Rarely"/>
    <s v="Research &amp; Development"/>
    <n v="6"/>
    <s v="Middistance(6-14)"/>
    <n v="4"/>
    <s v="Satisfied(&gt;=3)"/>
    <x v="1"/>
    <n v="3"/>
    <s v="Medium"/>
    <n v="1"/>
    <x v="0"/>
    <x v="2"/>
    <n v="1"/>
    <s v="Not_Satisfied(&lt;=2)"/>
    <x v="1"/>
    <n v="7"/>
    <s v="Y"/>
    <x v="0"/>
    <n v="21"/>
    <x v="1"/>
    <n v="8"/>
    <n v="1"/>
    <s v="Poor(&lt;=2)"/>
    <n v="2"/>
    <s v="Short(&lt;=4)"/>
    <n v="2"/>
    <x v="0"/>
    <n v="2"/>
    <s v="Reasonable(&lt;=3)"/>
  </r>
  <r>
    <x v="4"/>
    <s v="Young(&lt;=29)"/>
    <x v="1"/>
    <s v="Rarely"/>
    <s v="Research &amp; Development"/>
    <n v="4"/>
    <s v="Nearby(&lt;=5)"/>
    <n v="2"/>
    <s v="Not_Satisfied(&lt;3)"/>
    <x v="0"/>
    <n v="3"/>
    <s v="Medium"/>
    <n v="1"/>
    <x v="0"/>
    <x v="1"/>
    <n v="3"/>
    <s v="Satisfied(&gt;=3)"/>
    <x v="0"/>
    <n v="1"/>
    <s v="Y"/>
    <x v="1"/>
    <n v="19"/>
    <x v="0"/>
    <n v="1"/>
    <n v="3"/>
    <s v="Good(&gt;=3)"/>
    <n v="1"/>
    <s v="Short(&lt;=4)"/>
    <n v="1"/>
    <x v="0"/>
    <n v="0"/>
    <s v="Reasonable(&lt;=3)"/>
  </r>
  <r>
    <x v="13"/>
    <s v="Middle_Age(30-50)"/>
    <x v="1"/>
    <s v="Rarely"/>
    <s v="Research &amp; Development"/>
    <n v="10"/>
    <s v="Middistance(6-14)"/>
    <n v="2"/>
    <s v="Not_Satisfied(&lt;3)"/>
    <x v="1"/>
    <n v="3"/>
    <s v="Medium"/>
    <n v="1"/>
    <x v="0"/>
    <x v="2"/>
    <n v="2"/>
    <s v="Not_Satisfied(&lt;=2)"/>
    <x v="2"/>
    <n v="1"/>
    <s v="Y"/>
    <x v="1"/>
    <n v="14"/>
    <x v="0"/>
    <n v="1"/>
    <n v="3"/>
    <s v="Good(&gt;=3)"/>
    <n v="1"/>
    <s v="Short(&lt;=4)"/>
    <n v="0"/>
    <x v="0"/>
    <n v="1"/>
    <s v="Reasonable(&lt;=3)"/>
  </r>
  <r>
    <x v="19"/>
    <s v="Middle_Age(30-50)"/>
    <x v="1"/>
    <s v="Rarely"/>
    <s v="Sales"/>
    <n v="14"/>
    <s v="Middistance(6-14)"/>
    <n v="3"/>
    <s v="Satisfied(&gt;=3)"/>
    <x v="0"/>
    <n v="2"/>
    <s v="Low"/>
    <n v="2"/>
    <x v="0"/>
    <x v="0"/>
    <n v="3"/>
    <s v="Satisfied(&gt;=3)"/>
    <x v="0"/>
    <n v="7"/>
    <s v="Y"/>
    <x v="1"/>
    <n v="17"/>
    <x v="0"/>
    <n v="10"/>
    <n v="3"/>
    <s v="Good(&gt;=3)"/>
    <n v="5"/>
    <s v="Long(5-10)"/>
    <n v="4"/>
    <x v="0"/>
    <n v="0"/>
    <s v="Reasonable(&lt;=3)"/>
  </r>
  <r>
    <x v="3"/>
    <s v="Middle_Age(30-50)"/>
    <x v="1"/>
    <s v="Rarely"/>
    <s v="Research &amp; Development"/>
    <n v="1"/>
    <s v="Nearby(&lt;=5)"/>
    <n v="3"/>
    <s v="Satisfied(&gt;=3)"/>
    <x v="1"/>
    <n v="2"/>
    <s v="Low"/>
    <n v="1"/>
    <x v="0"/>
    <x v="1"/>
    <n v="1"/>
    <s v="Not_Satisfied(&lt;=2)"/>
    <x v="0"/>
    <n v="3"/>
    <s v="Y"/>
    <x v="0"/>
    <n v="11"/>
    <x v="0"/>
    <n v="6"/>
    <n v="3"/>
    <s v="Good(&gt;=3)"/>
    <n v="3"/>
    <s v="Short(&lt;=4)"/>
    <n v="2"/>
    <x v="0"/>
    <n v="0"/>
    <s v="Reasonable(&lt;=3)"/>
  </r>
  <r>
    <x v="34"/>
    <s v="Old(&gt;50)"/>
    <x v="1"/>
    <s v="Rarely"/>
    <s v="Research &amp; Development"/>
    <n v="5"/>
    <s v="Nearby(&lt;=5)"/>
    <n v="3"/>
    <s v="Satisfied(&gt;=3)"/>
    <x v="0"/>
    <n v="2"/>
    <s v="Low"/>
    <n v="3"/>
    <x v="1"/>
    <x v="4"/>
    <n v="2"/>
    <s v="Not_Satisfied(&lt;=2)"/>
    <x v="2"/>
    <n v="2"/>
    <s v="Y"/>
    <x v="0"/>
    <n v="13"/>
    <x v="0"/>
    <n v="24"/>
    <n v="3"/>
    <s v="Good(&gt;=3)"/>
    <n v="6"/>
    <s v="Long(5-10)"/>
    <n v="0"/>
    <x v="0"/>
    <n v="0"/>
    <s v="Reasonable(&lt;=3)"/>
  </r>
  <r>
    <x v="12"/>
    <s v="Middle_Age(30-50)"/>
    <x v="1"/>
    <s v="Rarely"/>
    <s v="Sales"/>
    <n v="7"/>
    <s v="Middistance(6-14)"/>
    <n v="2"/>
    <s v="Not_Satisfied(&lt;3)"/>
    <x v="1"/>
    <n v="2"/>
    <s v="Low"/>
    <n v="1"/>
    <x v="0"/>
    <x v="6"/>
    <n v="3"/>
    <s v="Satisfied(&gt;=3)"/>
    <x v="1"/>
    <n v="3"/>
    <s v="Y"/>
    <x v="1"/>
    <n v="15"/>
    <x v="0"/>
    <n v="13"/>
    <n v="4"/>
    <s v="Good(&gt;=3)"/>
    <n v="7"/>
    <s v="Long(5-10)"/>
    <n v="7"/>
    <x v="1"/>
    <n v="5"/>
    <s v="Not_Reasonable(&gt;3)"/>
  </r>
  <r>
    <x v="10"/>
    <s v="Middle_Age(30-50)"/>
    <x v="1"/>
    <s v="Rarely"/>
    <s v="Research &amp; Development"/>
    <n v="21"/>
    <s v="Far(&gt;=15)"/>
    <n v="4"/>
    <s v="Satisfied(&gt;=3)"/>
    <x v="0"/>
    <n v="3"/>
    <s v="Medium"/>
    <n v="2"/>
    <x v="0"/>
    <x v="4"/>
    <n v="4"/>
    <s v="Satisfied(&gt;=3)"/>
    <x v="1"/>
    <n v="1"/>
    <s v="Y"/>
    <x v="0"/>
    <n v="25"/>
    <x v="1"/>
    <n v="10"/>
    <n v="1"/>
    <s v="Poor(&lt;=2)"/>
    <n v="10"/>
    <s v="Long(5-10)"/>
    <n v="6"/>
    <x v="1"/>
    <n v="0"/>
    <s v="Reasonable(&lt;=3)"/>
  </r>
  <r>
    <x v="1"/>
    <s v="Middle_Age(30-50)"/>
    <x v="1"/>
    <s v="Rarely"/>
    <s v="Research &amp; Development"/>
    <n v="8"/>
    <s v="Middistance(6-14)"/>
    <n v="1"/>
    <s v="Not_Satisfied(&lt;3)"/>
    <x v="0"/>
    <n v="3"/>
    <s v="Medium"/>
    <n v="3"/>
    <x v="1"/>
    <x v="2"/>
    <n v="2"/>
    <s v="Not_Satisfied(&lt;=2)"/>
    <x v="1"/>
    <n v="4"/>
    <s v="Y"/>
    <x v="1"/>
    <n v="11"/>
    <x v="0"/>
    <n v="29"/>
    <n v="2"/>
    <s v="Poor(&lt;=2)"/>
    <n v="26"/>
    <s v="Ultra_Long(&gt;10)"/>
    <n v="9"/>
    <x v="1"/>
    <n v="1"/>
    <s v="Reasonable(&lt;=3)"/>
  </r>
  <r>
    <x v="26"/>
    <s v="Middle_Age(30-50)"/>
    <x v="1"/>
    <s v="Rarely"/>
    <s v="Research &amp; Development"/>
    <n v="20"/>
    <s v="Far(&gt;=15)"/>
    <n v="4"/>
    <s v="Satisfied(&gt;=3)"/>
    <x v="1"/>
    <n v="3"/>
    <s v="Medium"/>
    <n v="1"/>
    <x v="0"/>
    <x v="1"/>
    <n v="3"/>
    <s v="Satisfied(&gt;=3)"/>
    <x v="1"/>
    <n v="4"/>
    <s v="Y"/>
    <x v="1"/>
    <n v="17"/>
    <x v="0"/>
    <n v="13"/>
    <n v="2"/>
    <s v="Poor(&lt;=2)"/>
    <n v="0"/>
    <s v="Short(&lt;=4)"/>
    <n v="0"/>
    <x v="0"/>
    <n v="0"/>
    <s v="Reasonable(&lt;=3)"/>
  </r>
  <r>
    <x v="12"/>
    <s v="Middle_Age(30-50)"/>
    <x v="1"/>
    <s v="Rarely"/>
    <s v="Sales"/>
    <n v="20"/>
    <s v="Far(&gt;=15)"/>
    <n v="4"/>
    <s v="Satisfied(&gt;=3)"/>
    <x v="0"/>
    <n v="3"/>
    <s v="Medium"/>
    <n v="2"/>
    <x v="0"/>
    <x v="0"/>
    <n v="3"/>
    <s v="Satisfied(&gt;=3)"/>
    <x v="1"/>
    <n v="1"/>
    <s v="Y"/>
    <x v="1"/>
    <n v="13"/>
    <x v="0"/>
    <n v="9"/>
    <n v="2"/>
    <s v="Poor(&lt;=2)"/>
    <n v="9"/>
    <s v="Long(5-10)"/>
    <n v="8"/>
    <x v="1"/>
    <n v="0"/>
    <s v="Reasonable(&lt;=3)"/>
  </r>
  <r>
    <x v="9"/>
    <s v="Middle_Age(30-50)"/>
    <x v="1"/>
    <s v="Rarely"/>
    <s v="Research &amp; Development"/>
    <n v="7"/>
    <s v="Middistance(6-14)"/>
    <n v="2"/>
    <s v="Not_Satisfied(&lt;3)"/>
    <x v="1"/>
    <n v="3"/>
    <s v="Medium"/>
    <n v="1"/>
    <x v="0"/>
    <x v="1"/>
    <n v="4"/>
    <s v="Satisfied(&gt;=3)"/>
    <x v="0"/>
    <n v="2"/>
    <s v="Y"/>
    <x v="1"/>
    <n v="18"/>
    <x v="0"/>
    <n v="8"/>
    <n v="3"/>
    <s v="Good(&gt;=3)"/>
    <n v="6"/>
    <s v="Long(5-10)"/>
    <n v="2"/>
    <x v="0"/>
    <n v="0"/>
    <s v="Reasonable(&lt;=3)"/>
  </r>
  <r>
    <x v="8"/>
    <s v="Middle_Age(30-50)"/>
    <x v="1"/>
    <s v="Rarely"/>
    <s v="Research &amp; Development"/>
    <n v="1"/>
    <s v="Nearby(&lt;=5)"/>
    <n v="4"/>
    <s v="Satisfied(&gt;=3)"/>
    <x v="0"/>
    <n v="3"/>
    <s v="Medium"/>
    <n v="3"/>
    <x v="1"/>
    <x v="7"/>
    <n v="1"/>
    <s v="Not_Satisfied(&lt;=2)"/>
    <x v="1"/>
    <n v="1"/>
    <s v="Y"/>
    <x v="1"/>
    <n v="13"/>
    <x v="0"/>
    <n v="15"/>
    <n v="3"/>
    <s v="Good(&gt;=3)"/>
    <n v="15"/>
    <s v="Ultra_Long(&gt;10)"/>
    <n v="12"/>
    <x v="2"/>
    <n v="5"/>
    <s v="Not_Reasonable(&gt;3)"/>
  </r>
  <r>
    <x v="5"/>
    <s v="Middle_Age(30-50)"/>
    <x v="1"/>
    <s v="Rarely"/>
    <s v="Research &amp; Development"/>
    <n v="1"/>
    <s v="Nearby(&lt;=5)"/>
    <n v="3"/>
    <s v="Satisfied(&gt;=3)"/>
    <x v="0"/>
    <n v="2"/>
    <s v="Low"/>
    <n v="1"/>
    <x v="0"/>
    <x v="2"/>
    <n v="2"/>
    <s v="Not_Satisfied(&lt;=2)"/>
    <x v="1"/>
    <n v="6"/>
    <s v="Y"/>
    <x v="1"/>
    <n v="20"/>
    <x v="1"/>
    <n v="5"/>
    <n v="3"/>
    <s v="Good(&gt;=3)"/>
    <n v="3"/>
    <s v="Short(&lt;=4)"/>
    <n v="0"/>
    <x v="0"/>
    <n v="0"/>
    <s v="Reasonable(&lt;=3)"/>
  </r>
  <r>
    <x v="36"/>
    <s v="Young(&lt;=29)"/>
    <x v="0"/>
    <s v="Rarely"/>
    <s v="Sales"/>
    <n v="19"/>
    <s v="Far(&gt;=15)"/>
    <n v="3"/>
    <s v="Satisfied(&gt;=3)"/>
    <x v="1"/>
    <n v="2"/>
    <s v="Low"/>
    <n v="1"/>
    <x v="0"/>
    <x v="6"/>
    <n v="2"/>
    <s v="Not_Satisfied(&lt;=2)"/>
    <x v="1"/>
    <n v="1"/>
    <s v="Y"/>
    <x v="0"/>
    <n v="18"/>
    <x v="0"/>
    <n v="1"/>
    <n v="3"/>
    <s v="Good(&gt;=3)"/>
    <n v="1"/>
    <s v="Short(&lt;=4)"/>
    <n v="0"/>
    <x v="0"/>
    <n v="0"/>
    <s v="Reasonable(&lt;=3)"/>
  </r>
  <r>
    <x v="32"/>
    <s v="Middle_Age(30-50)"/>
    <x v="1"/>
    <s v="Rarely"/>
    <s v="Sales"/>
    <n v="10"/>
    <s v="Middistance(6-14)"/>
    <n v="1"/>
    <s v="Not_Satisfied(&lt;3)"/>
    <x v="1"/>
    <n v="2"/>
    <s v="Low"/>
    <n v="3"/>
    <x v="1"/>
    <x v="0"/>
    <n v="2"/>
    <s v="Not_Satisfied(&lt;=2)"/>
    <x v="2"/>
    <n v="2"/>
    <s v="Y"/>
    <x v="1"/>
    <n v="12"/>
    <x v="0"/>
    <n v="11"/>
    <n v="2"/>
    <s v="Poor(&lt;=2)"/>
    <n v="1"/>
    <s v="Short(&lt;=4)"/>
    <n v="0"/>
    <x v="0"/>
    <n v="0"/>
    <s v="Reasonable(&lt;=3)"/>
  </r>
  <r>
    <x v="25"/>
    <s v="Young(&lt;=29)"/>
    <x v="1"/>
    <s v="Frequently"/>
    <s v="Sales"/>
    <n v="1"/>
    <s v="Nearby(&lt;=5)"/>
    <n v="3"/>
    <s v="Satisfied(&gt;=3)"/>
    <x v="1"/>
    <n v="2"/>
    <s v="Low"/>
    <n v="2"/>
    <x v="0"/>
    <x v="0"/>
    <n v="1"/>
    <s v="Not_Satisfied(&lt;=2)"/>
    <x v="0"/>
    <n v="1"/>
    <s v="Y"/>
    <x v="1"/>
    <n v="12"/>
    <x v="0"/>
    <n v="7"/>
    <n v="3"/>
    <s v="Good(&gt;=3)"/>
    <n v="7"/>
    <s v="Long(5-10)"/>
    <n v="7"/>
    <x v="1"/>
    <n v="0"/>
    <s v="Reasonable(&lt;=3)"/>
  </r>
  <r>
    <x v="0"/>
    <s v="Middle_Age(30-50)"/>
    <x v="1"/>
    <s v="Rarely"/>
    <s v="Research &amp; Development"/>
    <n v="6"/>
    <s v="Middistance(6-14)"/>
    <n v="4"/>
    <s v="Satisfied(&gt;=3)"/>
    <x v="1"/>
    <n v="3"/>
    <s v="Medium"/>
    <n v="1"/>
    <x v="0"/>
    <x v="2"/>
    <n v="1"/>
    <s v="Not_Satisfied(&lt;=2)"/>
    <x v="0"/>
    <n v="2"/>
    <s v="Y"/>
    <x v="0"/>
    <n v="13"/>
    <x v="0"/>
    <n v="20"/>
    <n v="3"/>
    <s v="Good(&gt;=3)"/>
    <n v="18"/>
    <s v="Ultra_Long(&gt;10)"/>
    <n v="13"/>
    <x v="2"/>
    <n v="2"/>
    <s v="Reasonable(&lt;=3)"/>
  </r>
  <r>
    <x v="9"/>
    <s v="Middle_Age(30-50)"/>
    <x v="1"/>
    <s v="Rarely"/>
    <s v="Research &amp; Development"/>
    <n v="2"/>
    <s v="Nearby(&lt;=5)"/>
    <n v="3"/>
    <s v="Satisfied(&gt;=3)"/>
    <x v="1"/>
    <n v="3"/>
    <s v="Medium"/>
    <n v="1"/>
    <x v="0"/>
    <x v="2"/>
    <n v="3"/>
    <s v="Satisfied(&gt;=3)"/>
    <x v="0"/>
    <n v="4"/>
    <s v="Y"/>
    <x v="1"/>
    <n v="21"/>
    <x v="1"/>
    <n v="16"/>
    <n v="3"/>
    <s v="Good(&gt;=3)"/>
    <n v="11"/>
    <s v="Ultra_Long(&gt;10)"/>
    <n v="8"/>
    <x v="1"/>
    <n v="3"/>
    <s v="Reasonable(&lt;=3)"/>
  </r>
  <r>
    <x v="37"/>
    <s v="Young(&lt;=29)"/>
    <x v="0"/>
    <s v="Rarely"/>
    <s v="Sales"/>
    <n v="21"/>
    <s v="Far(&gt;=15)"/>
    <n v="4"/>
    <s v="Satisfied(&gt;=3)"/>
    <x v="1"/>
    <n v="2"/>
    <s v="Low"/>
    <n v="1"/>
    <x v="0"/>
    <x v="6"/>
    <n v="2"/>
    <s v="Not_Satisfied(&lt;=2)"/>
    <x v="0"/>
    <n v="1"/>
    <s v="Y"/>
    <x v="0"/>
    <n v="13"/>
    <x v="0"/>
    <n v="1"/>
    <n v="4"/>
    <s v="Good(&gt;=3)"/>
    <n v="1"/>
    <s v="Short(&lt;=4)"/>
    <n v="0"/>
    <x v="0"/>
    <n v="0"/>
    <s v="Reasonable(&lt;=3)"/>
  </r>
  <r>
    <x v="35"/>
    <s v="Young(&lt;=29)"/>
    <x v="0"/>
    <s v="Rarely"/>
    <s v="Research &amp; Development"/>
    <n v="4"/>
    <s v="Nearby(&lt;=5)"/>
    <n v="1"/>
    <s v="Not_Satisfied(&lt;3)"/>
    <x v="1"/>
    <n v="3"/>
    <s v="Medium"/>
    <n v="1"/>
    <x v="0"/>
    <x v="2"/>
    <n v="1"/>
    <s v="Not_Satisfied(&lt;=2)"/>
    <x v="0"/>
    <n v="1"/>
    <s v="Y"/>
    <x v="1"/>
    <n v="19"/>
    <x v="0"/>
    <n v="1"/>
    <n v="3"/>
    <s v="Good(&gt;=3)"/>
    <n v="1"/>
    <s v="Short(&lt;=4)"/>
    <n v="0"/>
    <x v="0"/>
    <n v="0"/>
    <s v="Reasonable(&lt;=3)"/>
  </r>
  <r>
    <x v="12"/>
    <s v="Middle_Age(30-50)"/>
    <x v="1"/>
    <s v="Rarely"/>
    <s v="Research &amp; Development"/>
    <n v="12"/>
    <s v="Middistance(6-14)"/>
    <n v="4"/>
    <s v="Satisfied(&gt;=3)"/>
    <x v="0"/>
    <n v="3"/>
    <s v="Medium"/>
    <n v="2"/>
    <x v="0"/>
    <x v="4"/>
    <n v="4"/>
    <s v="Satisfied(&gt;=3)"/>
    <x v="1"/>
    <n v="0"/>
    <s v="Y"/>
    <x v="0"/>
    <n v="11"/>
    <x v="0"/>
    <n v="10"/>
    <n v="1"/>
    <s v="Poor(&lt;=2)"/>
    <n v="9"/>
    <s v="Long(5-10)"/>
    <n v="7"/>
    <x v="1"/>
    <n v="8"/>
    <s v="Not_Reasonable(&gt;3)"/>
  </r>
  <r>
    <x v="32"/>
    <s v="Middle_Age(30-50)"/>
    <x v="1"/>
    <s v="Frequently"/>
    <s v="Research &amp; Development"/>
    <n v="9"/>
    <s v="Middistance(6-14)"/>
    <n v="4"/>
    <s v="Satisfied(&gt;=3)"/>
    <x v="1"/>
    <n v="3"/>
    <s v="Medium"/>
    <n v="1"/>
    <x v="0"/>
    <x v="1"/>
    <n v="2"/>
    <s v="Not_Satisfied(&lt;=2)"/>
    <x v="2"/>
    <n v="8"/>
    <s v="Y"/>
    <x v="0"/>
    <n v="14"/>
    <x v="0"/>
    <n v="3"/>
    <n v="3"/>
    <s v="Good(&gt;=3)"/>
    <n v="1"/>
    <s v="Short(&lt;=4)"/>
    <n v="1"/>
    <x v="0"/>
    <n v="0"/>
    <s v="Reasonable(&lt;=3)"/>
  </r>
  <r>
    <x v="5"/>
    <s v="Middle_Age(30-50)"/>
    <x v="1"/>
    <s v="Rarely"/>
    <s v="Research &amp; Development"/>
    <n v="3"/>
    <s v="Nearby(&lt;=5)"/>
    <n v="3"/>
    <s v="Satisfied(&gt;=3)"/>
    <x v="0"/>
    <n v="3"/>
    <s v="Medium"/>
    <n v="2"/>
    <x v="0"/>
    <x v="3"/>
    <n v="1"/>
    <s v="Not_Satisfied(&lt;=2)"/>
    <x v="1"/>
    <n v="1"/>
    <s v="Y"/>
    <x v="1"/>
    <n v="12"/>
    <x v="0"/>
    <n v="8"/>
    <n v="4"/>
    <s v="Good(&gt;=3)"/>
    <n v="8"/>
    <s v="Long(5-10)"/>
    <n v="7"/>
    <x v="1"/>
    <n v="6"/>
    <s v="Not_Reasonable(&gt;3)"/>
  </r>
  <r>
    <x v="9"/>
    <s v="Middle_Age(30-50)"/>
    <x v="0"/>
    <s v="Rarely"/>
    <s v="Sales"/>
    <n v="3"/>
    <s v="Nearby(&lt;=5)"/>
    <n v="3"/>
    <s v="Satisfied(&gt;=3)"/>
    <x v="1"/>
    <n v="2"/>
    <s v="Low"/>
    <n v="3"/>
    <x v="1"/>
    <x v="0"/>
    <n v="4"/>
    <s v="Satisfied(&gt;=3)"/>
    <x v="1"/>
    <n v="1"/>
    <s v="Y"/>
    <x v="0"/>
    <n v="11"/>
    <x v="0"/>
    <n v="16"/>
    <n v="3"/>
    <s v="Good(&gt;=3)"/>
    <n v="16"/>
    <s v="Ultra_Long(&gt;10)"/>
    <n v="7"/>
    <x v="1"/>
    <n v="3"/>
    <s v="Reasonable(&lt;=3)"/>
  </r>
  <r>
    <x v="3"/>
    <s v="Middle_Age(30-50)"/>
    <x v="1"/>
    <s v="Rarely"/>
    <s v="Research &amp; Development"/>
    <n v="1"/>
    <s v="Nearby(&lt;=5)"/>
    <n v="2"/>
    <s v="Not_Satisfied(&lt;3)"/>
    <x v="0"/>
    <n v="2"/>
    <s v="Low"/>
    <n v="2"/>
    <x v="0"/>
    <x v="4"/>
    <n v="4"/>
    <s v="Satisfied(&gt;=3)"/>
    <x v="0"/>
    <n v="0"/>
    <s v="Y"/>
    <x v="1"/>
    <n v="14"/>
    <x v="0"/>
    <n v="6"/>
    <n v="3"/>
    <s v="Good(&gt;=3)"/>
    <n v="5"/>
    <s v="Long(5-10)"/>
    <n v="0"/>
    <x v="0"/>
    <n v="1"/>
    <s v="Reasonable(&lt;=3)"/>
  </r>
  <r>
    <x v="2"/>
    <s v="Middle_Age(30-50)"/>
    <x v="0"/>
    <s v="Rarely"/>
    <s v="Sales"/>
    <n v="1"/>
    <s v="Nearby(&lt;=5)"/>
    <n v="1"/>
    <s v="Not_Satisfied(&lt;3)"/>
    <x v="1"/>
    <n v="2"/>
    <s v="Low"/>
    <n v="3"/>
    <x v="1"/>
    <x v="0"/>
    <n v="3"/>
    <s v="Satisfied(&gt;=3)"/>
    <x v="1"/>
    <n v="5"/>
    <s v="Y"/>
    <x v="1"/>
    <n v="11"/>
    <x v="0"/>
    <n v="17"/>
    <n v="1"/>
    <s v="Poor(&lt;=2)"/>
    <n v="14"/>
    <s v="Ultra_Long(&gt;10)"/>
    <n v="1"/>
    <x v="0"/>
    <n v="11"/>
    <s v="Not_Reasonable(&gt;3)"/>
  </r>
  <r>
    <x v="28"/>
    <s v="Middle_Age(30-50)"/>
    <x v="1"/>
    <s v="Rarely"/>
    <s v="Research &amp; Development"/>
    <n v="4"/>
    <s v="Nearby(&lt;=5)"/>
    <n v="3"/>
    <s v="Satisfied(&gt;=3)"/>
    <x v="1"/>
    <n v="3"/>
    <s v="Medium"/>
    <n v="2"/>
    <x v="0"/>
    <x v="2"/>
    <n v="2"/>
    <s v="Not_Satisfied(&lt;=2)"/>
    <x v="1"/>
    <n v="1"/>
    <s v="Y"/>
    <x v="1"/>
    <n v="12"/>
    <x v="0"/>
    <n v="9"/>
    <n v="2"/>
    <s v="Poor(&lt;=2)"/>
    <n v="9"/>
    <s v="Long(5-10)"/>
    <n v="7"/>
    <x v="1"/>
    <n v="0"/>
    <s v="Reasonable(&lt;=3)"/>
  </r>
  <r>
    <x v="11"/>
    <s v="Young(&lt;=29)"/>
    <x v="1"/>
    <s v="Frequently"/>
    <s v="Sales"/>
    <n v="20"/>
    <s v="Far(&gt;=15)"/>
    <n v="3"/>
    <s v="Satisfied(&gt;=3)"/>
    <x v="0"/>
    <n v="3"/>
    <s v="Medium"/>
    <n v="1"/>
    <x v="0"/>
    <x v="6"/>
    <n v="4"/>
    <s v="Satisfied(&gt;=3)"/>
    <x v="1"/>
    <n v="1"/>
    <s v="Y"/>
    <x v="1"/>
    <n v="15"/>
    <x v="0"/>
    <n v="3"/>
    <n v="3"/>
    <s v="Good(&gt;=3)"/>
    <n v="3"/>
    <s v="Short(&lt;=4)"/>
    <n v="1"/>
    <x v="0"/>
    <n v="0"/>
    <s v="Reasonable(&lt;=3)"/>
  </r>
  <r>
    <x v="10"/>
    <s v="Middle_Age(30-50)"/>
    <x v="1"/>
    <s v="Rarely"/>
    <s v="Sales"/>
    <n v="18"/>
    <s v="Far(&gt;=15)"/>
    <n v="3"/>
    <s v="Satisfied(&gt;=3)"/>
    <x v="0"/>
    <n v="3"/>
    <s v="Medium"/>
    <n v="2"/>
    <x v="0"/>
    <x v="0"/>
    <n v="3"/>
    <s v="Satisfied(&gt;=3)"/>
    <x v="1"/>
    <n v="1"/>
    <s v="Y"/>
    <x v="1"/>
    <n v="16"/>
    <x v="0"/>
    <n v="5"/>
    <n v="3"/>
    <s v="Good(&gt;=3)"/>
    <n v="5"/>
    <s v="Long(5-10)"/>
    <n v="2"/>
    <x v="0"/>
    <n v="1"/>
    <s v="Reasonable(&lt;=3)"/>
  </r>
  <r>
    <x v="39"/>
    <s v="Old(&gt;50)"/>
    <x v="1"/>
    <s v="Rarely"/>
    <s v="Research &amp; Development"/>
    <n v="1"/>
    <s v="Nearby(&lt;=5)"/>
    <n v="4"/>
    <s v="Satisfied(&gt;=3)"/>
    <x v="1"/>
    <n v="3"/>
    <s v="Medium"/>
    <n v="4"/>
    <x v="2"/>
    <x v="5"/>
    <n v="4"/>
    <s v="Satisfied(&gt;=3)"/>
    <x v="1"/>
    <n v="2"/>
    <s v="Y"/>
    <x v="1"/>
    <n v="15"/>
    <x v="0"/>
    <n v="26"/>
    <n v="2"/>
    <s v="Poor(&lt;=2)"/>
    <n v="9"/>
    <s v="Long(5-10)"/>
    <n v="8"/>
    <x v="1"/>
    <n v="7"/>
    <s v="Not_Reasonable(&gt;3)"/>
  </r>
  <r>
    <x v="34"/>
    <s v="Old(&gt;50)"/>
    <x v="0"/>
    <s v="Rarely"/>
    <s v="Research &amp; Development"/>
    <n v="2"/>
    <s v="Nearby(&lt;=5)"/>
    <n v="4"/>
    <s v="Satisfied(&gt;=3)"/>
    <x v="1"/>
    <n v="3"/>
    <s v="Medium"/>
    <n v="1"/>
    <x v="0"/>
    <x v="1"/>
    <n v="3"/>
    <s v="Satisfied(&gt;=3)"/>
    <x v="0"/>
    <n v="4"/>
    <s v="Y"/>
    <x v="1"/>
    <n v="24"/>
    <x v="1"/>
    <n v="7"/>
    <n v="3"/>
    <s v="Good(&gt;=3)"/>
    <n v="1"/>
    <s v="Short(&lt;=4)"/>
    <n v="0"/>
    <x v="0"/>
    <n v="0"/>
    <s v="Reasonable(&lt;=3)"/>
  </r>
  <r>
    <x v="16"/>
    <s v="Old(&gt;50)"/>
    <x v="1"/>
    <s v="Rarely"/>
    <s v="Sales"/>
    <n v="2"/>
    <s v="Nearby(&lt;=5)"/>
    <n v="3"/>
    <s v="Satisfied(&gt;=3)"/>
    <x v="1"/>
    <n v="3"/>
    <s v="Medium"/>
    <n v="4"/>
    <x v="2"/>
    <x v="5"/>
    <n v="3"/>
    <s v="Satisfied(&gt;=3)"/>
    <x v="2"/>
    <n v="6"/>
    <s v="Y"/>
    <x v="1"/>
    <n v="13"/>
    <x v="0"/>
    <n v="22"/>
    <n v="4"/>
    <s v="Good(&gt;=3)"/>
    <n v="17"/>
    <s v="Ultra_Long(&gt;10)"/>
    <n v="13"/>
    <x v="2"/>
    <n v="15"/>
    <s v="Not_Reasonable(&gt;3)"/>
  </r>
  <r>
    <x v="7"/>
    <s v="Middle_Age(30-50)"/>
    <x v="1"/>
    <s v="Rarely"/>
    <s v="Sales"/>
    <n v="8"/>
    <s v="Middistance(6-14)"/>
    <n v="3"/>
    <s v="Satisfied(&gt;=3)"/>
    <x v="1"/>
    <n v="3"/>
    <s v="Medium"/>
    <n v="3"/>
    <x v="1"/>
    <x v="0"/>
    <n v="3"/>
    <s v="Satisfied(&gt;=3)"/>
    <x v="2"/>
    <n v="5"/>
    <s v="Y"/>
    <x v="1"/>
    <n v="11"/>
    <x v="0"/>
    <n v="10"/>
    <n v="4"/>
    <s v="Good(&gt;=3)"/>
    <n v="8"/>
    <s v="Long(5-10)"/>
    <n v="4"/>
    <x v="0"/>
    <n v="7"/>
    <s v="Not_Reasonable(&gt;3)"/>
  </r>
  <r>
    <x v="8"/>
    <s v="Middle_Age(30-50)"/>
    <x v="1"/>
    <s v="Rarely"/>
    <s v="Sales"/>
    <n v="10"/>
    <s v="Middistance(6-14)"/>
    <n v="3"/>
    <s v="Satisfied(&gt;=3)"/>
    <x v="0"/>
    <n v="3"/>
    <s v="Medium"/>
    <n v="2"/>
    <x v="0"/>
    <x v="0"/>
    <n v="4"/>
    <s v="Satisfied(&gt;=3)"/>
    <x v="0"/>
    <n v="1"/>
    <s v="Y"/>
    <x v="0"/>
    <n v="13"/>
    <x v="0"/>
    <n v="6"/>
    <n v="3"/>
    <s v="Good(&gt;=3)"/>
    <n v="5"/>
    <s v="Long(5-10)"/>
    <n v="3"/>
    <x v="0"/>
    <n v="1"/>
    <s v="Reasonable(&lt;=3)"/>
  </r>
  <r>
    <x v="10"/>
    <s v="Middle_Age(30-50)"/>
    <x v="1"/>
    <s v="Rarely"/>
    <s v="Sales"/>
    <n v="3"/>
    <s v="Nearby(&lt;=5)"/>
    <n v="4"/>
    <s v="Satisfied(&gt;=3)"/>
    <x v="1"/>
    <n v="3"/>
    <s v="Medium"/>
    <n v="3"/>
    <x v="1"/>
    <x v="0"/>
    <n v="4"/>
    <s v="Satisfied(&gt;=3)"/>
    <x v="2"/>
    <n v="6"/>
    <s v="Y"/>
    <x v="1"/>
    <n v="13"/>
    <x v="0"/>
    <n v="12"/>
    <n v="3"/>
    <s v="Good(&gt;=3)"/>
    <n v="10"/>
    <s v="Long(5-10)"/>
    <n v="9"/>
    <x v="1"/>
    <n v="0"/>
    <s v="Reasonable(&lt;=3)"/>
  </r>
  <r>
    <x v="22"/>
    <s v="Middle_Age(30-50)"/>
    <x v="1"/>
    <s v="Rarely"/>
    <s v="Sales"/>
    <n v="2"/>
    <s v="Nearby(&lt;=5)"/>
    <n v="1"/>
    <s v="Not_Satisfied(&lt;3)"/>
    <x v="1"/>
    <n v="4"/>
    <s v="High"/>
    <n v="3"/>
    <x v="1"/>
    <x v="0"/>
    <n v="3"/>
    <s v="Satisfied(&gt;=3)"/>
    <x v="0"/>
    <n v="0"/>
    <s v="Y"/>
    <x v="1"/>
    <n v="18"/>
    <x v="0"/>
    <n v="9"/>
    <n v="3"/>
    <s v="Good(&gt;=3)"/>
    <n v="8"/>
    <s v="Long(5-10)"/>
    <n v="7"/>
    <x v="1"/>
    <n v="0"/>
    <s v="Reasonable(&lt;=3)"/>
  </r>
  <r>
    <x v="32"/>
    <s v="Middle_Age(30-50)"/>
    <x v="0"/>
    <s v="Rarely"/>
    <s v="Sales"/>
    <n v="24"/>
    <s v="Far(&gt;=15)"/>
    <n v="2"/>
    <s v="Not_Satisfied(&lt;3)"/>
    <x v="0"/>
    <n v="4"/>
    <s v="High"/>
    <n v="4"/>
    <x v="2"/>
    <x v="0"/>
    <n v="2"/>
    <s v="Not_Satisfied(&lt;=2)"/>
    <x v="0"/>
    <n v="4"/>
    <s v="Y"/>
    <x v="0"/>
    <n v="16"/>
    <x v="0"/>
    <n v="22"/>
    <n v="2"/>
    <s v="Poor(&lt;=2)"/>
    <n v="1"/>
    <s v="Short(&lt;=4)"/>
    <n v="0"/>
    <x v="0"/>
    <n v="0"/>
    <s v="Reasonable(&lt;=3)"/>
  </r>
  <r>
    <x v="40"/>
    <s v="Middle_Age(30-50)"/>
    <x v="1"/>
    <s v="Frequently"/>
    <s v="Research &amp; Development"/>
    <n v="16"/>
    <s v="Far(&gt;=15)"/>
    <n v="3"/>
    <s v="Satisfied(&gt;=3)"/>
    <x v="1"/>
    <n v="4"/>
    <s v="High"/>
    <n v="2"/>
    <x v="0"/>
    <x v="3"/>
    <n v="3"/>
    <s v="Satisfied(&gt;=3)"/>
    <x v="2"/>
    <n v="1"/>
    <s v="Y"/>
    <x v="0"/>
    <n v="19"/>
    <x v="0"/>
    <n v="20"/>
    <n v="4"/>
    <s v="Good(&gt;=3)"/>
    <n v="19"/>
    <s v="Ultra_Long(&gt;10)"/>
    <n v="10"/>
    <x v="1"/>
    <n v="2"/>
    <s v="Reasonable(&lt;=3)"/>
  </r>
  <r>
    <x v="9"/>
    <s v="Middle_Age(30-50)"/>
    <x v="1"/>
    <s v="Rarely"/>
    <s v="Sales"/>
    <n v="8"/>
    <s v="Middistance(6-14)"/>
    <n v="1"/>
    <s v="Not_Satisfied(&lt;3)"/>
    <x v="1"/>
    <n v="3"/>
    <s v="Medium"/>
    <n v="2"/>
    <x v="0"/>
    <x v="0"/>
    <n v="4"/>
    <s v="Satisfied(&gt;=3)"/>
    <x v="2"/>
    <n v="4"/>
    <s v="Y"/>
    <x v="1"/>
    <n v="13"/>
    <x v="0"/>
    <n v="12"/>
    <n v="3"/>
    <s v="Good(&gt;=3)"/>
    <n v="7"/>
    <s v="Long(5-10)"/>
    <n v="7"/>
    <x v="1"/>
    <n v="0"/>
    <s v="Reasonable(&lt;=3)"/>
  </r>
  <r>
    <x v="12"/>
    <s v="Middle_Age(30-50)"/>
    <x v="0"/>
    <s v="Rarely"/>
    <s v="Research &amp; Development"/>
    <n v="9"/>
    <s v="Middistance(6-14)"/>
    <n v="3"/>
    <s v="Satisfied(&gt;=3)"/>
    <x v="1"/>
    <n v="2"/>
    <s v="Low"/>
    <n v="1"/>
    <x v="0"/>
    <x v="1"/>
    <n v="1"/>
    <s v="Not_Satisfied(&lt;=2)"/>
    <x v="0"/>
    <n v="0"/>
    <s v="Y"/>
    <x v="0"/>
    <n v="22"/>
    <x v="1"/>
    <n v="4"/>
    <n v="3"/>
    <s v="Good(&gt;=3)"/>
    <n v="3"/>
    <s v="Short(&lt;=4)"/>
    <n v="2"/>
    <x v="0"/>
    <n v="1"/>
    <s v="Reasonable(&lt;=3)"/>
  </r>
  <r>
    <x v="3"/>
    <s v="Middle_Age(30-50)"/>
    <x v="1"/>
    <s v="Rarely"/>
    <s v="Sales"/>
    <n v="17"/>
    <s v="Far(&gt;=15)"/>
    <n v="4"/>
    <s v="Satisfied(&gt;=3)"/>
    <x v="1"/>
    <n v="3"/>
    <s v="Medium"/>
    <n v="4"/>
    <x v="2"/>
    <x v="5"/>
    <n v="3"/>
    <s v="Satisfied(&gt;=3)"/>
    <x v="0"/>
    <n v="1"/>
    <s v="Y"/>
    <x v="1"/>
    <n v="11"/>
    <x v="0"/>
    <n v="10"/>
    <n v="3"/>
    <s v="Good(&gt;=3)"/>
    <n v="10"/>
    <s v="Long(5-10)"/>
    <n v="8"/>
    <x v="1"/>
    <n v="6"/>
    <s v="Not_Reasonable(&gt;3)"/>
  </r>
  <r>
    <x v="11"/>
    <s v="Young(&lt;=29)"/>
    <x v="0"/>
    <s v="Rarely"/>
    <s v="Research &amp; Development"/>
    <n v="10"/>
    <s v="Middistance(6-14)"/>
    <n v="4"/>
    <s v="Satisfied(&gt;=3)"/>
    <x v="0"/>
    <n v="2"/>
    <s v="Low"/>
    <n v="1"/>
    <x v="0"/>
    <x v="1"/>
    <n v="1"/>
    <s v="Not_Satisfied(&lt;=2)"/>
    <x v="0"/>
    <n v="6"/>
    <s v="Y"/>
    <x v="0"/>
    <n v="20"/>
    <x v="1"/>
    <n v="3"/>
    <n v="3"/>
    <s v="Good(&gt;=3)"/>
    <n v="0"/>
    <s v="Short(&lt;=4)"/>
    <n v="0"/>
    <x v="0"/>
    <n v="0"/>
    <s v="Reasonable(&lt;=3)"/>
  </r>
  <r>
    <x v="3"/>
    <s v="Middle_Age(30-50)"/>
    <x v="1"/>
    <s v="Rarely"/>
    <s v="Research &amp; Development"/>
    <n v="13"/>
    <s v="Middistance(6-14)"/>
    <n v="2"/>
    <s v="Not_Satisfied(&lt;3)"/>
    <x v="0"/>
    <n v="3"/>
    <s v="Medium"/>
    <n v="1"/>
    <x v="0"/>
    <x v="1"/>
    <n v="4"/>
    <s v="Satisfied(&gt;=3)"/>
    <x v="0"/>
    <n v="3"/>
    <s v="Y"/>
    <x v="1"/>
    <n v="18"/>
    <x v="0"/>
    <n v="5"/>
    <n v="3"/>
    <s v="Good(&gt;=3)"/>
    <n v="3"/>
    <s v="Short(&lt;=4)"/>
    <n v="2"/>
    <x v="0"/>
    <n v="0"/>
    <s v="Reasonable(&lt;=3)"/>
  </r>
  <r>
    <x v="28"/>
    <s v="Middle_Age(30-50)"/>
    <x v="1"/>
    <s v="Rarely"/>
    <s v="Research &amp; Development"/>
    <n v="1"/>
    <s v="Nearby(&lt;=5)"/>
    <n v="4"/>
    <s v="Satisfied(&gt;=3)"/>
    <x v="0"/>
    <n v="3"/>
    <s v="Medium"/>
    <n v="1"/>
    <x v="0"/>
    <x v="2"/>
    <n v="4"/>
    <s v="Satisfied(&gt;=3)"/>
    <x v="2"/>
    <n v="3"/>
    <s v="Y"/>
    <x v="1"/>
    <n v="14"/>
    <x v="0"/>
    <n v="8"/>
    <n v="3"/>
    <s v="Good(&gt;=3)"/>
    <n v="5"/>
    <s v="Long(5-10)"/>
    <n v="3"/>
    <x v="0"/>
    <n v="0"/>
    <s v="Reasonable(&lt;=3)"/>
  </r>
  <r>
    <x v="24"/>
    <s v="Middle_Age(30-50)"/>
    <x v="1"/>
    <s v="Rarely"/>
    <s v="Research &amp; Development"/>
    <n v="1"/>
    <s v="Nearby(&lt;=5)"/>
    <n v="4"/>
    <s v="Satisfied(&gt;=3)"/>
    <x v="1"/>
    <n v="3"/>
    <s v="Medium"/>
    <n v="4"/>
    <x v="2"/>
    <x v="7"/>
    <n v="4"/>
    <s v="Satisfied(&gt;=3)"/>
    <x v="2"/>
    <n v="9"/>
    <s v="Y"/>
    <x v="1"/>
    <n v="22"/>
    <x v="1"/>
    <n v="32"/>
    <n v="2"/>
    <s v="Poor(&lt;=2)"/>
    <n v="5"/>
    <s v="Long(5-10)"/>
    <n v="4"/>
    <x v="0"/>
    <n v="1"/>
    <s v="Reasonable(&lt;=3)"/>
  </r>
  <r>
    <x v="3"/>
    <s v="Middle_Age(30-50)"/>
    <x v="1"/>
    <s v="Frequently"/>
    <s v="Research &amp; Development"/>
    <n v="1"/>
    <s v="Nearby(&lt;=5)"/>
    <n v="3"/>
    <s v="Satisfied(&gt;=3)"/>
    <x v="0"/>
    <n v="4"/>
    <s v="High"/>
    <n v="2"/>
    <x v="0"/>
    <x v="4"/>
    <n v="2"/>
    <s v="Not_Satisfied(&lt;=2)"/>
    <x v="1"/>
    <n v="1"/>
    <s v="Y"/>
    <x v="0"/>
    <n v="13"/>
    <x v="0"/>
    <n v="6"/>
    <n v="3"/>
    <s v="Good(&gt;=3)"/>
    <n v="6"/>
    <s v="Long(5-10)"/>
    <n v="5"/>
    <x v="1"/>
    <n v="1"/>
    <s v="Reasonable(&lt;=3)"/>
  </r>
  <r>
    <x v="0"/>
    <s v="Middle_Age(30-50)"/>
    <x v="1"/>
    <s v="Frequently"/>
    <s v="Research &amp; Development"/>
    <n v="9"/>
    <s v="Middistance(6-14)"/>
    <n v="1"/>
    <s v="Not_Satisfied(&lt;3)"/>
    <x v="1"/>
    <n v="3"/>
    <s v="Medium"/>
    <n v="5"/>
    <x v="2"/>
    <x v="7"/>
    <n v="3"/>
    <s v="Satisfied(&gt;=3)"/>
    <x v="2"/>
    <n v="2"/>
    <s v="Y"/>
    <x v="1"/>
    <n v="17"/>
    <x v="0"/>
    <n v="21"/>
    <n v="4"/>
    <s v="Good(&gt;=3)"/>
    <n v="18"/>
    <s v="Ultra_Long(&gt;10)"/>
    <n v="16"/>
    <x v="2"/>
    <n v="0"/>
    <s v="Reasonable(&lt;=3)"/>
  </r>
  <r>
    <x v="4"/>
    <s v="Young(&lt;=29)"/>
    <x v="1"/>
    <s v="Rarely"/>
    <s v="Research &amp; Development"/>
    <n v="16"/>
    <s v="Far(&gt;=15)"/>
    <n v="3"/>
    <s v="Satisfied(&gt;=3)"/>
    <x v="0"/>
    <n v="3"/>
    <s v="Medium"/>
    <n v="1"/>
    <x v="0"/>
    <x v="2"/>
    <n v="2"/>
    <s v="Not_Satisfied(&lt;=2)"/>
    <x v="1"/>
    <n v="9"/>
    <s v="Y"/>
    <x v="1"/>
    <n v="14"/>
    <x v="0"/>
    <n v="4"/>
    <n v="3"/>
    <s v="Good(&gt;=3)"/>
    <n v="2"/>
    <s v="Short(&lt;=4)"/>
    <n v="2"/>
    <x v="0"/>
    <n v="2"/>
    <s v="Reasonable(&lt;=3)"/>
  </r>
  <r>
    <x v="28"/>
    <s v="Middle_Age(30-50)"/>
    <x v="1"/>
    <s v="Rarely"/>
    <s v="Research &amp; Development"/>
    <n v="23"/>
    <s v="Far(&gt;=15)"/>
    <n v="4"/>
    <s v="Satisfied(&gt;=3)"/>
    <x v="1"/>
    <n v="3"/>
    <s v="Medium"/>
    <n v="2"/>
    <x v="0"/>
    <x v="2"/>
    <n v="1"/>
    <s v="Not_Satisfied(&lt;=2)"/>
    <x v="1"/>
    <n v="1"/>
    <s v="Y"/>
    <x v="0"/>
    <n v="15"/>
    <x v="0"/>
    <n v="9"/>
    <n v="3"/>
    <s v="Good(&gt;=3)"/>
    <n v="9"/>
    <s v="Long(5-10)"/>
    <n v="8"/>
    <x v="1"/>
    <n v="0"/>
    <s v="Reasonable(&lt;=3)"/>
  </r>
  <r>
    <x v="40"/>
    <s v="Middle_Age(30-50)"/>
    <x v="1"/>
    <s v="Rarely"/>
    <s v="Sales"/>
    <n v="4"/>
    <s v="Nearby(&lt;=5)"/>
    <n v="4"/>
    <s v="Satisfied(&gt;=3)"/>
    <x v="0"/>
    <n v="3"/>
    <s v="Medium"/>
    <n v="2"/>
    <x v="0"/>
    <x v="0"/>
    <n v="4"/>
    <s v="Satisfied(&gt;=3)"/>
    <x v="0"/>
    <n v="1"/>
    <s v="Y"/>
    <x v="0"/>
    <n v="17"/>
    <x v="0"/>
    <n v="9"/>
    <n v="3"/>
    <s v="Good(&gt;=3)"/>
    <n v="9"/>
    <s v="Long(5-10)"/>
    <n v="0"/>
    <x v="0"/>
    <n v="0"/>
    <s v="Reasonable(&lt;=3)"/>
  </r>
  <r>
    <x v="7"/>
    <s v="Middle_Age(30-50)"/>
    <x v="0"/>
    <s v="Rarely"/>
    <s v="Research &amp; Development"/>
    <n v="22"/>
    <s v="Far(&gt;=15)"/>
    <n v="1"/>
    <s v="Not_Satisfied(&lt;3)"/>
    <x v="0"/>
    <n v="3"/>
    <s v="Medium"/>
    <n v="1"/>
    <x v="0"/>
    <x v="1"/>
    <n v="3"/>
    <s v="Satisfied(&gt;=3)"/>
    <x v="1"/>
    <n v="4"/>
    <s v="Y"/>
    <x v="0"/>
    <n v="11"/>
    <x v="0"/>
    <n v="7"/>
    <n v="3"/>
    <s v="Good(&gt;=3)"/>
    <n v="5"/>
    <s v="Long(5-10)"/>
    <n v="2"/>
    <x v="0"/>
    <n v="0"/>
    <s v="Reasonable(&lt;=3)"/>
  </r>
  <r>
    <x v="24"/>
    <s v="Middle_Age(30-50)"/>
    <x v="1"/>
    <s v="Rarely"/>
    <s v="Research &amp; Development"/>
    <n v="24"/>
    <s v="Far(&gt;=15)"/>
    <n v="4"/>
    <s v="Satisfied(&gt;=3)"/>
    <x v="1"/>
    <n v="3"/>
    <s v="Medium"/>
    <n v="4"/>
    <x v="2"/>
    <x v="3"/>
    <n v="3"/>
    <s v="Satisfied(&gt;=3)"/>
    <x v="1"/>
    <n v="3"/>
    <s v="Y"/>
    <x v="0"/>
    <n v="18"/>
    <x v="0"/>
    <n v="22"/>
    <n v="3"/>
    <s v="Good(&gt;=3)"/>
    <n v="12"/>
    <s v="Ultra_Long(&gt;10)"/>
    <n v="11"/>
    <x v="2"/>
    <n v="1"/>
    <s v="Reasonable(&lt;=3)"/>
  </r>
  <r>
    <x v="8"/>
    <s v="Middle_Age(30-50)"/>
    <x v="1"/>
    <s v="Frequently"/>
    <s v="Research &amp; Development"/>
    <n v="10"/>
    <s v="Middistance(6-14)"/>
    <n v="3"/>
    <s v="Satisfied(&gt;=3)"/>
    <x v="1"/>
    <n v="3"/>
    <s v="Medium"/>
    <n v="1"/>
    <x v="0"/>
    <x v="1"/>
    <n v="3"/>
    <s v="Satisfied(&gt;=3)"/>
    <x v="1"/>
    <n v="0"/>
    <s v="Y"/>
    <x v="1"/>
    <n v="17"/>
    <x v="0"/>
    <n v="3"/>
    <n v="2"/>
    <s v="Poor(&lt;=2)"/>
    <n v="2"/>
    <s v="Short(&lt;=4)"/>
    <n v="1"/>
    <x v="0"/>
    <n v="0"/>
    <s v="Reasonable(&lt;=3)"/>
  </r>
  <r>
    <x v="21"/>
    <s v="Middle_Age(30-50)"/>
    <x v="1"/>
    <s v="Rarely"/>
    <s v="Research &amp; Development"/>
    <n v="7"/>
    <s v="Middistance(6-14)"/>
    <n v="4"/>
    <s v="Satisfied(&gt;=3)"/>
    <x v="1"/>
    <n v="3"/>
    <s v="Medium"/>
    <n v="3"/>
    <x v="1"/>
    <x v="3"/>
    <n v="3"/>
    <s v="Satisfied(&gt;=3)"/>
    <x v="2"/>
    <n v="6"/>
    <s v="Y"/>
    <x v="1"/>
    <n v="13"/>
    <x v="0"/>
    <n v="13"/>
    <n v="3"/>
    <s v="Good(&gt;=3)"/>
    <n v="8"/>
    <s v="Long(5-10)"/>
    <n v="7"/>
    <x v="1"/>
    <n v="0"/>
    <s v="Reasonable(&lt;=3)"/>
  </r>
  <r>
    <x v="17"/>
    <s v="Young(&lt;=29)"/>
    <x v="1"/>
    <s v="Rarely"/>
    <s v="Research &amp; Development"/>
    <n v="17"/>
    <s v="Far(&gt;=15)"/>
    <n v="4"/>
    <s v="Satisfied(&gt;=3)"/>
    <x v="0"/>
    <n v="2"/>
    <s v="Low"/>
    <n v="2"/>
    <x v="0"/>
    <x v="3"/>
    <n v="3"/>
    <s v="Satisfied(&gt;=3)"/>
    <x v="2"/>
    <n v="1"/>
    <s v="Y"/>
    <x v="1"/>
    <n v="15"/>
    <x v="0"/>
    <n v="5"/>
    <n v="3"/>
    <s v="Good(&gt;=3)"/>
    <n v="4"/>
    <s v="Short(&lt;=4)"/>
    <n v="2"/>
    <x v="0"/>
    <n v="3"/>
    <s v="Reasonable(&lt;=3)"/>
  </r>
  <r>
    <x v="10"/>
    <s v="Middle_Age(30-50)"/>
    <x v="0"/>
    <s v="Rarely"/>
    <s v="Research &amp; Development"/>
    <n v="14"/>
    <s v="Middistance(6-14)"/>
    <n v="3"/>
    <s v="Satisfied(&gt;=3)"/>
    <x v="1"/>
    <n v="2"/>
    <s v="Low"/>
    <n v="1"/>
    <x v="0"/>
    <x v="2"/>
    <n v="2"/>
    <s v="Not_Satisfied(&lt;=2)"/>
    <x v="2"/>
    <n v="1"/>
    <s v="Y"/>
    <x v="0"/>
    <n v="24"/>
    <x v="1"/>
    <n v="5"/>
    <n v="1"/>
    <s v="Poor(&lt;=2)"/>
    <n v="4"/>
    <s v="Short(&lt;=4)"/>
    <n v="2"/>
    <x v="0"/>
    <n v="0"/>
    <s v="Reasonable(&lt;=3)"/>
  </r>
  <r>
    <x v="12"/>
    <s v="Middle_Age(30-50)"/>
    <x v="1"/>
    <s v="Frequently"/>
    <s v="Research &amp; Development"/>
    <n v="1"/>
    <s v="Nearby(&lt;=5)"/>
    <n v="3"/>
    <s v="Satisfied(&gt;=3)"/>
    <x v="0"/>
    <n v="3"/>
    <s v="Medium"/>
    <n v="2"/>
    <x v="0"/>
    <x v="3"/>
    <n v="1"/>
    <s v="Not_Satisfied(&lt;=2)"/>
    <x v="1"/>
    <n v="1"/>
    <s v="Y"/>
    <x v="1"/>
    <n v="12"/>
    <x v="0"/>
    <n v="4"/>
    <n v="3"/>
    <s v="Good(&gt;=3)"/>
    <n v="4"/>
    <s v="Short(&lt;=4)"/>
    <n v="3"/>
    <x v="0"/>
    <n v="0"/>
    <s v="Reasonable(&lt;=3)"/>
  </r>
  <r>
    <x v="41"/>
    <s v="Young(&lt;=29)"/>
    <x v="1"/>
    <s v="Rarely"/>
    <s v="Research &amp; Development"/>
    <n v="5"/>
    <s v="Nearby(&lt;=5)"/>
    <n v="2"/>
    <s v="Not_Satisfied(&lt;3)"/>
    <x v="1"/>
    <n v="3"/>
    <s v="Medium"/>
    <n v="1"/>
    <x v="0"/>
    <x v="1"/>
    <n v="4"/>
    <s v="Satisfied(&gt;=3)"/>
    <x v="0"/>
    <n v="1"/>
    <s v="Y"/>
    <x v="1"/>
    <n v="15"/>
    <x v="0"/>
    <n v="0"/>
    <n v="3"/>
    <s v="Good(&gt;=3)"/>
    <n v="0"/>
    <s v="Short(&lt;=4)"/>
    <n v="0"/>
    <x v="0"/>
    <n v="0"/>
    <s v="Reasonable(&lt;=3)"/>
  </r>
  <r>
    <x v="33"/>
    <s v="Old(&gt;50)"/>
    <x v="1"/>
    <s v="Rarely"/>
    <s v="Research &amp; Development"/>
    <n v="17"/>
    <s v="Far(&gt;=15)"/>
    <n v="3"/>
    <s v="Satisfied(&gt;=3)"/>
    <x v="0"/>
    <n v="3"/>
    <s v="Medium"/>
    <n v="3"/>
    <x v="1"/>
    <x v="3"/>
    <n v="3"/>
    <s v="Satisfied(&gt;=3)"/>
    <x v="1"/>
    <n v="8"/>
    <s v="Y"/>
    <x v="1"/>
    <n v="11"/>
    <x v="0"/>
    <n v="22"/>
    <n v="3"/>
    <s v="Good(&gt;=3)"/>
    <n v="10"/>
    <s v="Long(5-10)"/>
    <n v="7"/>
    <x v="1"/>
    <n v="0"/>
    <s v="Reasonable(&lt;=3)"/>
  </r>
  <r>
    <x v="10"/>
    <s v="Middle_Age(30-50)"/>
    <x v="1"/>
    <s v="Rarely"/>
    <s v="Research &amp; Development"/>
    <n v="25"/>
    <s v="Far(&gt;=15)"/>
    <n v="3"/>
    <s v="Satisfied(&gt;=3)"/>
    <x v="0"/>
    <n v="3"/>
    <s v="Medium"/>
    <n v="3"/>
    <x v="1"/>
    <x v="4"/>
    <n v="3"/>
    <s v="Satisfied(&gt;=3)"/>
    <x v="2"/>
    <n v="1"/>
    <s v="Y"/>
    <x v="0"/>
    <n v="11"/>
    <x v="0"/>
    <n v="16"/>
    <n v="2"/>
    <s v="Poor(&lt;=2)"/>
    <n v="16"/>
    <s v="Ultra_Long(&gt;10)"/>
    <n v="10"/>
    <x v="1"/>
    <n v="10"/>
    <s v="Not_Reasonable(&gt;3)"/>
  </r>
  <r>
    <x v="7"/>
    <s v="Middle_Age(30-50)"/>
    <x v="1"/>
    <s v="Rarely"/>
    <s v="Research &amp; Development"/>
    <n v="8"/>
    <s v="Middistance(6-14)"/>
    <n v="2"/>
    <s v="Not_Satisfied(&lt;3)"/>
    <x v="0"/>
    <n v="4"/>
    <s v="High"/>
    <n v="3"/>
    <x v="1"/>
    <x v="7"/>
    <n v="1"/>
    <s v="Not_Satisfied(&lt;=2)"/>
    <x v="1"/>
    <n v="0"/>
    <s v="Y"/>
    <x v="0"/>
    <n v="12"/>
    <x v="0"/>
    <n v="9"/>
    <n v="2"/>
    <s v="Poor(&lt;=2)"/>
    <n v="8"/>
    <s v="Long(5-10)"/>
    <n v="7"/>
    <x v="1"/>
    <n v="1"/>
    <s v="Reasonable(&lt;=3)"/>
  </r>
  <r>
    <x v="35"/>
    <s v="Young(&lt;=29)"/>
    <x v="0"/>
    <s v="Rarely"/>
    <s v="Research &amp; Development"/>
    <n v="11"/>
    <s v="Middistance(6-14)"/>
    <n v="4"/>
    <s v="Satisfied(&gt;=3)"/>
    <x v="0"/>
    <n v="2"/>
    <s v="Low"/>
    <n v="1"/>
    <x v="0"/>
    <x v="1"/>
    <n v="1"/>
    <s v="Not_Satisfied(&lt;=2)"/>
    <x v="0"/>
    <n v="1"/>
    <s v="Y"/>
    <x v="0"/>
    <n v="15"/>
    <x v="0"/>
    <n v="1"/>
    <n v="3"/>
    <s v="Good(&gt;=3)"/>
    <n v="1"/>
    <s v="Short(&lt;=4)"/>
    <n v="0"/>
    <x v="0"/>
    <n v="0"/>
    <s v="Reasonable(&lt;=3)"/>
  </r>
  <r>
    <x v="7"/>
    <s v="Middle_Age(30-50)"/>
    <x v="0"/>
    <s v="Frequently"/>
    <s v="Research &amp; Development"/>
    <n v="5"/>
    <s v="Nearby(&lt;=5)"/>
    <n v="2"/>
    <s v="Not_Satisfied(&lt;3)"/>
    <x v="0"/>
    <n v="3"/>
    <s v="Medium"/>
    <n v="1"/>
    <x v="0"/>
    <x v="2"/>
    <n v="2"/>
    <s v="Not_Satisfied(&lt;=2)"/>
    <x v="0"/>
    <n v="0"/>
    <s v="Y"/>
    <x v="1"/>
    <n v="17"/>
    <x v="0"/>
    <n v="4"/>
    <n v="3"/>
    <s v="Good(&gt;=3)"/>
    <n v="3"/>
    <s v="Short(&lt;=4)"/>
    <n v="2"/>
    <x v="0"/>
    <n v="1"/>
    <s v="Reasonable(&lt;=3)"/>
  </r>
  <r>
    <x v="25"/>
    <s v="Young(&lt;=29)"/>
    <x v="1"/>
    <s v="Rarely"/>
    <s v="Research &amp; Development"/>
    <n v="2"/>
    <s v="Nearby(&lt;=5)"/>
    <n v="4"/>
    <s v="Satisfied(&gt;=3)"/>
    <x v="1"/>
    <n v="4"/>
    <s v="High"/>
    <n v="2"/>
    <x v="0"/>
    <x v="3"/>
    <n v="4"/>
    <s v="Satisfied(&gt;=3)"/>
    <x v="1"/>
    <n v="1"/>
    <s v="Y"/>
    <x v="1"/>
    <n v="12"/>
    <x v="0"/>
    <n v="8"/>
    <n v="3"/>
    <s v="Good(&gt;=3)"/>
    <n v="8"/>
    <s v="Long(5-10)"/>
    <n v="7"/>
    <x v="1"/>
    <n v="1"/>
    <s v="Reasonable(&lt;=3)"/>
  </r>
  <r>
    <x v="15"/>
    <s v="Young(&lt;=29)"/>
    <x v="1"/>
    <s v="Rarely"/>
    <s v="Research &amp; Development"/>
    <n v="8"/>
    <s v="Middistance(6-14)"/>
    <n v="2"/>
    <s v="Not_Satisfied(&lt;3)"/>
    <x v="1"/>
    <n v="1"/>
    <s v="Low"/>
    <n v="1"/>
    <x v="0"/>
    <x v="2"/>
    <n v="1"/>
    <s v="Not_Satisfied(&lt;=2)"/>
    <x v="1"/>
    <n v="1"/>
    <s v="Y"/>
    <x v="1"/>
    <n v="15"/>
    <x v="0"/>
    <n v="4"/>
    <n v="2"/>
    <s v="Poor(&lt;=2)"/>
    <n v="4"/>
    <s v="Short(&lt;=4)"/>
    <n v="3"/>
    <x v="0"/>
    <n v="1"/>
    <s v="Reasonable(&lt;=3)"/>
  </r>
  <r>
    <x v="26"/>
    <s v="Middle_Age(30-50)"/>
    <x v="1"/>
    <s v="Rarely"/>
    <s v="Research &amp; Development"/>
    <n v="6"/>
    <s v="Middistance(6-14)"/>
    <n v="1"/>
    <s v="Not_Satisfied(&lt;3)"/>
    <x v="1"/>
    <n v="2"/>
    <s v="Low"/>
    <n v="2"/>
    <x v="0"/>
    <x v="4"/>
    <n v="3"/>
    <s v="Satisfied(&gt;=3)"/>
    <x v="0"/>
    <n v="2"/>
    <s v="Y"/>
    <x v="1"/>
    <n v="13"/>
    <x v="0"/>
    <n v="19"/>
    <n v="3"/>
    <s v="Good(&gt;=3)"/>
    <n v="2"/>
    <s v="Short(&lt;=4)"/>
    <n v="2"/>
    <x v="0"/>
    <n v="2"/>
    <s v="Reasonable(&lt;=3)"/>
  </r>
  <r>
    <x v="26"/>
    <s v="Middle_Age(30-50)"/>
    <x v="1"/>
    <s v="Rarely"/>
    <s v="Research &amp; Development"/>
    <n v="4"/>
    <s v="Nearby(&lt;=5)"/>
    <n v="3"/>
    <s v="Satisfied(&gt;=3)"/>
    <x v="1"/>
    <n v="2"/>
    <s v="Low"/>
    <n v="3"/>
    <x v="1"/>
    <x v="4"/>
    <n v="3"/>
    <s v="Satisfied(&gt;=3)"/>
    <x v="0"/>
    <n v="7"/>
    <s v="Y"/>
    <x v="1"/>
    <n v="14"/>
    <x v="0"/>
    <n v="27"/>
    <n v="3"/>
    <s v="Good(&gt;=3)"/>
    <n v="15"/>
    <s v="Ultra_Long(&gt;10)"/>
    <n v="11"/>
    <x v="2"/>
    <n v="4"/>
    <s v="Not_Reasonable(&gt;3)"/>
  </r>
  <r>
    <x v="0"/>
    <s v="Middle_Age(30-50)"/>
    <x v="1"/>
    <s v="Rarely"/>
    <s v="Research &amp; Development"/>
    <n v="7"/>
    <s v="Middistance(6-14)"/>
    <n v="4"/>
    <s v="Satisfied(&gt;=3)"/>
    <x v="0"/>
    <n v="3"/>
    <s v="Medium"/>
    <n v="2"/>
    <x v="0"/>
    <x v="3"/>
    <n v="3"/>
    <s v="Satisfied(&gt;=3)"/>
    <x v="0"/>
    <n v="6"/>
    <s v="Y"/>
    <x v="1"/>
    <n v="14"/>
    <x v="0"/>
    <n v="8"/>
    <n v="3"/>
    <s v="Good(&gt;=3)"/>
    <n v="2"/>
    <s v="Short(&lt;=4)"/>
    <n v="2"/>
    <x v="0"/>
    <n v="2"/>
    <s v="Reasonable(&lt;=3)"/>
  </r>
  <r>
    <x v="22"/>
    <s v="Middle_Age(30-50)"/>
    <x v="1"/>
    <s v="Rarely"/>
    <s v="Research &amp; Development"/>
    <n v="1"/>
    <s v="Nearby(&lt;=5)"/>
    <n v="4"/>
    <s v="Satisfied(&gt;=3)"/>
    <x v="0"/>
    <n v="2"/>
    <s v="Low"/>
    <n v="4"/>
    <x v="2"/>
    <x v="3"/>
    <n v="4"/>
    <s v="Satisfied(&gt;=3)"/>
    <x v="1"/>
    <n v="1"/>
    <s v="Y"/>
    <x v="1"/>
    <n v="16"/>
    <x v="0"/>
    <n v="21"/>
    <n v="3"/>
    <s v="Good(&gt;=3)"/>
    <n v="21"/>
    <s v="Ultra_Long(&gt;10)"/>
    <n v="6"/>
    <x v="1"/>
    <n v="11"/>
    <s v="Not_Reasonable(&gt;3)"/>
  </r>
  <r>
    <x v="4"/>
    <s v="Young(&lt;=29)"/>
    <x v="1"/>
    <s v="Rarely"/>
    <s v="Research &amp; Development"/>
    <n v="2"/>
    <s v="Nearby(&lt;=5)"/>
    <n v="1"/>
    <s v="Not_Satisfied(&lt;3)"/>
    <x v="0"/>
    <n v="3"/>
    <s v="Medium"/>
    <n v="2"/>
    <x v="0"/>
    <x v="3"/>
    <n v="4"/>
    <s v="Satisfied(&gt;=3)"/>
    <x v="1"/>
    <n v="0"/>
    <s v="Y"/>
    <x v="1"/>
    <n v="18"/>
    <x v="0"/>
    <n v="4"/>
    <n v="3"/>
    <s v="Good(&gt;=3)"/>
    <n v="3"/>
    <s v="Short(&lt;=4)"/>
    <n v="2"/>
    <x v="0"/>
    <n v="2"/>
    <s v="Reasonable(&lt;=3)"/>
  </r>
  <r>
    <x v="10"/>
    <s v="Middle_Age(30-50)"/>
    <x v="1"/>
    <s v="Rarely"/>
    <s v="Research &amp; Development"/>
    <n v="10"/>
    <s v="Middistance(6-14)"/>
    <n v="2"/>
    <s v="Not_Satisfied(&lt;3)"/>
    <x v="1"/>
    <n v="3"/>
    <s v="Medium"/>
    <n v="1"/>
    <x v="0"/>
    <x v="2"/>
    <n v="4"/>
    <s v="Satisfied(&gt;=3)"/>
    <x v="2"/>
    <n v="1"/>
    <s v="Y"/>
    <x v="1"/>
    <n v="20"/>
    <x v="1"/>
    <n v="3"/>
    <n v="2"/>
    <s v="Poor(&lt;=2)"/>
    <n v="3"/>
    <s v="Short(&lt;=4)"/>
    <n v="2"/>
    <x v="0"/>
    <n v="1"/>
    <s v="Reasonable(&lt;=3)"/>
  </r>
  <r>
    <x v="19"/>
    <s v="Middle_Age(30-50)"/>
    <x v="1"/>
    <s v="Rarely"/>
    <s v="Sales"/>
    <n v="5"/>
    <s v="Nearby(&lt;=5)"/>
    <n v="4"/>
    <s v="Satisfied(&gt;=3)"/>
    <x v="1"/>
    <n v="3"/>
    <s v="Medium"/>
    <n v="5"/>
    <x v="2"/>
    <x v="5"/>
    <n v="3"/>
    <s v="Satisfied(&gt;=3)"/>
    <x v="1"/>
    <n v="6"/>
    <s v="Y"/>
    <x v="1"/>
    <n v="13"/>
    <x v="0"/>
    <n v="21"/>
    <n v="4"/>
    <s v="Good(&gt;=3)"/>
    <n v="1"/>
    <s v="Short(&lt;=4)"/>
    <n v="0"/>
    <x v="0"/>
    <n v="0"/>
    <s v="Reasonable(&lt;=3)"/>
  </r>
  <r>
    <x v="24"/>
    <s v="Middle_Age(30-50)"/>
    <x v="1"/>
    <s v="Rarely"/>
    <s v="Research &amp; Development"/>
    <n v="9"/>
    <s v="Middistance(6-14)"/>
    <n v="1"/>
    <s v="Not_Satisfied(&lt;3)"/>
    <x v="1"/>
    <n v="3"/>
    <s v="Medium"/>
    <n v="1"/>
    <x v="0"/>
    <x v="2"/>
    <n v="4"/>
    <s v="Satisfied(&gt;=3)"/>
    <x v="1"/>
    <n v="4"/>
    <s v="Y"/>
    <x v="1"/>
    <n v="18"/>
    <x v="0"/>
    <n v="8"/>
    <n v="3"/>
    <s v="Good(&gt;=3)"/>
    <n v="1"/>
    <s v="Short(&lt;=4)"/>
    <n v="0"/>
    <x v="0"/>
    <n v="0"/>
    <s v="Reasonable(&lt;=3)"/>
  </r>
  <r>
    <x v="6"/>
    <s v="Old(&gt;50)"/>
    <x v="1"/>
    <s v="Rarely"/>
    <s v="Research &amp; Development"/>
    <n v="2"/>
    <s v="Nearby(&lt;=5)"/>
    <n v="3"/>
    <s v="Satisfied(&gt;=3)"/>
    <x v="0"/>
    <n v="2"/>
    <s v="Low"/>
    <n v="4"/>
    <x v="2"/>
    <x v="3"/>
    <n v="4"/>
    <s v="Satisfied(&gt;=3)"/>
    <x v="0"/>
    <n v="3"/>
    <s v="Y"/>
    <x v="0"/>
    <n v="13"/>
    <x v="0"/>
    <n v="30"/>
    <n v="3"/>
    <s v="Good(&gt;=3)"/>
    <n v="5"/>
    <s v="Long(5-10)"/>
    <n v="3"/>
    <x v="0"/>
    <n v="4"/>
    <s v="Not_Reasonable(&gt;3)"/>
  </r>
  <r>
    <x v="2"/>
    <s v="Middle_Age(30-50)"/>
    <x v="0"/>
    <s v="Rarely"/>
    <s v="Research &amp; Development"/>
    <n v="11"/>
    <s v="Middistance(6-14)"/>
    <n v="1"/>
    <s v="Not_Satisfied(&lt;3)"/>
    <x v="0"/>
    <n v="1"/>
    <s v="Low"/>
    <n v="2"/>
    <x v="0"/>
    <x v="4"/>
    <n v="2"/>
    <s v="Not_Satisfied(&lt;=2)"/>
    <x v="1"/>
    <n v="5"/>
    <s v="Y"/>
    <x v="1"/>
    <n v="15"/>
    <x v="0"/>
    <n v="15"/>
    <n v="1"/>
    <s v="Poor(&lt;=2)"/>
    <n v="1"/>
    <s v="Short(&lt;=4)"/>
    <n v="0"/>
    <x v="0"/>
    <n v="0"/>
    <s v="Reasonable(&lt;=3)"/>
  </r>
  <r>
    <x v="27"/>
    <s v="Old(&gt;50)"/>
    <x v="1"/>
    <s v="Frequently"/>
    <s v="Research &amp; Development"/>
    <n v="18"/>
    <s v="Far(&gt;=15)"/>
    <n v="3"/>
    <s v="Satisfied(&gt;=3)"/>
    <x v="1"/>
    <n v="3"/>
    <s v="Medium"/>
    <n v="2"/>
    <x v="0"/>
    <x v="4"/>
    <n v="2"/>
    <s v="Not_Satisfied(&lt;=2)"/>
    <x v="1"/>
    <n v="3"/>
    <s v="Y"/>
    <x v="0"/>
    <n v="14"/>
    <x v="0"/>
    <n v="17"/>
    <n v="3"/>
    <s v="Good(&gt;=3)"/>
    <n v="8"/>
    <s v="Long(5-10)"/>
    <n v="7"/>
    <x v="1"/>
    <n v="6"/>
    <s v="Not_Reasonable(&gt;3)"/>
  </r>
  <r>
    <x v="0"/>
    <s v="Middle_Age(30-50)"/>
    <x v="1"/>
    <s v="Rarely"/>
    <s v="Research &amp; Development"/>
    <n v="7"/>
    <s v="Middistance(6-14)"/>
    <n v="2"/>
    <s v="Not_Satisfied(&lt;3)"/>
    <x v="0"/>
    <n v="1"/>
    <s v="Low"/>
    <n v="5"/>
    <x v="2"/>
    <x v="7"/>
    <n v="3"/>
    <s v="Satisfied(&gt;=3)"/>
    <x v="2"/>
    <n v="1"/>
    <s v="Y"/>
    <x v="1"/>
    <n v="22"/>
    <x v="1"/>
    <n v="21"/>
    <n v="3"/>
    <s v="Good(&gt;=3)"/>
    <n v="21"/>
    <s v="Ultra_Long(&gt;10)"/>
    <n v="16"/>
    <x v="2"/>
    <n v="5"/>
    <s v="Not_Reasonable(&gt;3)"/>
  </r>
  <r>
    <x v="8"/>
    <s v="Middle_Age(30-50)"/>
    <x v="1"/>
    <s v="Rarely"/>
    <s v="Sales"/>
    <n v="3"/>
    <s v="Nearby(&lt;=5)"/>
    <n v="2"/>
    <s v="Not_Satisfied(&lt;3)"/>
    <x v="1"/>
    <n v="3"/>
    <s v="Medium"/>
    <n v="2"/>
    <x v="0"/>
    <x v="0"/>
    <n v="4"/>
    <s v="Satisfied(&gt;=3)"/>
    <x v="0"/>
    <n v="8"/>
    <s v="Y"/>
    <x v="0"/>
    <n v="12"/>
    <x v="0"/>
    <n v="19"/>
    <n v="3"/>
    <s v="Good(&gt;=3)"/>
    <n v="1"/>
    <s v="Short(&lt;=4)"/>
    <n v="0"/>
    <x v="0"/>
    <n v="0"/>
    <s v="Reasonable(&lt;=3)"/>
  </r>
  <r>
    <x v="25"/>
    <s v="Young(&lt;=29)"/>
    <x v="0"/>
    <s v="Rarely"/>
    <s v="Sales"/>
    <n v="29"/>
    <s v="Far(&gt;=15)"/>
    <n v="2"/>
    <s v="Not_Satisfied(&lt;3)"/>
    <x v="1"/>
    <n v="1"/>
    <s v="Low"/>
    <n v="2"/>
    <x v="0"/>
    <x v="0"/>
    <n v="1"/>
    <s v="Not_Satisfied(&lt;=2)"/>
    <x v="0"/>
    <n v="8"/>
    <s v="Y"/>
    <x v="1"/>
    <n v="18"/>
    <x v="0"/>
    <n v="7"/>
    <n v="3"/>
    <s v="Good(&gt;=3)"/>
    <n v="2"/>
    <s v="Short(&lt;=4)"/>
    <n v="2"/>
    <x v="0"/>
    <n v="2"/>
    <s v="Reasonable(&lt;=3)"/>
  </r>
  <r>
    <x v="39"/>
    <s v="Old(&gt;50)"/>
    <x v="0"/>
    <s v="Rarely"/>
    <s v="Sales"/>
    <n v="2"/>
    <s v="Nearby(&lt;=5)"/>
    <n v="1"/>
    <s v="Not_Satisfied(&lt;3)"/>
    <x v="0"/>
    <n v="1"/>
    <s v="Low"/>
    <n v="5"/>
    <x v="2"/>
    <x v="5"/>
    <n v="4"/>
    <s v="Satisfied(&gt;=3)"/>
    <x v="1"/>
    <n v="1"/>
    <s v="Y"/>
    <x v="1"/>
    <n v="15"/>
    <x v="0"/>
    <n v="33"/>
    <n v="3"/>
    <s v="Good(&gt;=3)"/>
    <n v="32"/>
    <s v="Ultra_Long(&gt;10)"/>
    <n v="14"/>
    <x v="2"/>
    <n v="6"/>
    <s v="Not_Reasonable(&gt;3)"/>
  </r>
  <r>
    <x v="20"/>
    <s v="Middle_Age(30-50)"/>
    <x v="1"/>
    <s v="Rarely"/>
    <s v="Sales"/>
    <n v="28"/>
    <s v="Far(&gt;=15)"/>
    <n v="4"/>
    <s v="Satisfied(&gt;=3)"/>
    <x v="0"/>
    <n v="4"/>
    <s v="High"/>
    <n v="4"/>
    <x v="2"/>
    <x v="0"/>
    <n v="4"/>
    <s v="Satisfied(&gt;=3)"/>
    <x v="1"/>
    <n v="3"/>
    <s v="Y"/>
    <x v="0"/>
    <n v="18"/>
    <x v="0"/>
    <n v="23"/>
    <n v="3"/>
    <s v="Good(&gt;=3)"/>
    <n v="12"/>
    <s v="Ultra_Long(&gt;10)"/>
    <n v="11"/>
    <x v="2"/>
    <n v="11"/>
    <s v="Not_Reasonable(&gt;3)"/>
  </r>
  <r>
    <x v="24"/>
    <s v="Middle_Age(30-50)"/>
    <x v="1"/>
    <s v="Rarely"/>
    <s v="Sales"/>
    <n v="1"/>
    <s v="Nearby(&lt;=5)"/>
    <n v="4"/>
    <s v="Satisfied(&gt;=3)"/>
    <x v="0"/>
    <n v="3"/>
    <s v="Medium"/>
    <n v="2"/>
    <x v="0"/>
    <x v="0"/>
    <n v="3"/>
    <s v="Satisfied(&gt;=3)"/>
    <x v="1"/>
    <n v="0"/>
    <s v="Y"/>
    <x v="1"/>
    <n v="12"/>
    <x v="0"/>
    <n v="19"/>
    <n v="3"/>
    <s v="Good(&gt;=3)"/>
    <n v="18"/>
    <s v="Ultra_Long(&gt;10)"/>
    <n v="7"/>
    <x v="1"/>
    <n v="0"/>
    <s v="Reasonable(&lt;=3)"/>
  </r>
  <r>
    <x v="9"/>
    <s v="Middle_Age(30-50)"/>
    <x v="0"/>
    <s v="Rarely"/>
    <s v="Research &amp; Development"/>
    <n v="16"/>
    <s v="Far(&gt;=15)"/>
    <n v="3"/>
    <s v="Satisfied(&gt;=3)"/>
    <x v="0"/>
    <n v="4"/>
    <s v="High"/>
    <n v="1"/>
    <x v="0"/>
    <x v="2"/>
    <n v="1"/>
    <s v="Not_Satisfied(&lt;=2)"/>
    <x v="0"/>
    <n v="1"/>
    <s v="Y"/>
    <x v="1"/>
    <n v="16"/>
    <x v="0"/>
    <n v="18"/>
    <n v="3"/>
    <s v="Good(&gt;=3)"/>
    <n v="17"/>
    <s v="Ultra_Long(&gt;10)"/>
    <n v="13"/>
    <x v="2"/>
    <n v="15"/>
    <s v="Not_Reasonable(&gt;3)"/>
  </r>
  <r>
    <x v="22"/>
    <s v="Middle_Age(30-50)"/>
    <x v="1"/>
    <s v="Frequently"/>
    <s v="Research &amp; Development"/>
    <n v="22"/>
    <s v="Far(&gt;=15)"/>
    <n v="4"/>
    <s v="Satisfied(&gt;=3)"/>
    <x v="0"/>
    <n v="3"/>
    <s v="Medium"/>
    <n v="3"/>
    <x v="1"/>
    <x v="3"/>
    <n v="1"/>
    <s v="Not_Satisfied(&lt;=2)"/>
    <x v="0"/>
    <n v="1"/>
    <s v="Y"/>
    <x v="0"/>
    <n v="13"/>
    <x v="0"/>
    <n v="21"/>
    <n v="3"/>
    <s v="Good(&gt;=3)"/>
    <n v="21"/>
    <s v="Ultra_Long(&gt;10)"/>
    <n v="6"/>
    <x v="1"/>
    <n v="2"/>
    <s v="Reasonable(&lt;=3)"/>
  </r>
  <r>
    <x v="3"/>
    <s v="Middle_Age(30-50)"/>
    <x v="1"/>
    <s v="Rarely"/>
    <s v="Sales"/>
    <n v="8"/>
    <s v="Middistance(6-14)"/>
    <n v="2"/>
    <s v="Not_Satisfied(&lt;3)"/>
    <x v="0"/>
    <n v="2"/>
    <s v="Low"/>
    <n v="1"/>
    <x v="0"/>
    <x v="6"/>
    <n v="4"/>
    <s v="Satisfied(&gt;=3)"/>
    <x v="0"/>
    <n v="0"/>
    <s v="Y"/>
    <x v="1"/>
    <n v="19"/>
    <x v="0"/>
    <n v="3"/>
    <n v="2"/>
    <s v="Poor(&lt;=2)"/>
    <n v="2"/>
    <s v="Short(&lt;=4)"/>
    <n v="2"/>
    <x v="0"/>
    <n v="2"/>
    <s v="Reasonable(&lt;=3)"/>
  </r>
  <r>
    <x v="28"/>
    <s v="Middle_Age(30-50)"/>
    <x v="1"/>
    <s v="Rarely"/>
    <s v="Sales"/>
    <n v="11"/>
    <s v="Middistance(6-14)"/>
    <n v="4"/>
    <s v="Satisfied(&gt;=3)"/>
    <x v="0"/>
    <n v="3"/>
    <s v="Medium"/>
    <n v="4"/>
    <x v="2"/>
    <x v="5"/>
    <n v="4"/>
    <s v="Satisfied(&gt;=3)"/>
    <x v="1"/>
    <n v="3"/>
    <s v="Y"/>
    <x v="1"/>
    <n v="13"/>
    <x v="0"/>
    <n v="26"/>
    <n v="4"/>
    <s v="Good(&gt;=3)"/>
    <n v="9"/>
    <s v="Long(5-10)"/>
    <n v="3"/>
    <x v="0"/>
    <n v="1"/>
    <s v="Reasonable(&lt;=3)"/>
  </r>
  <r>
    <x v="5"/>
    <s v="Middle_Age(30-50)"/>
    <x v="1"/>
    <s v="Rarely"/>
    <s v="Research &amp; Development"/>
    <n v="29"/>
    <s v="Far(&gt;=15)"/>
    <n v="4"/>
    <s v="Satisfied(&gt;=3)"/>
    <x v="0"/>
    <n v="3"/>
    <s v="Medium"/>
    <n v="1"/>
    <x v="0"/>
    <x v="2"/>
    <n v="3"/>
    <s v="Satisfied(&gt;=3)"/>
    <x v="0"/>
    <n v="9"/>
    <s v="Y"/>
    <x v="1"/>
    <n v="12"/>
    <x v="0"/>
    <n v="10"/>
    <n v="3"/>
    <s v="Good(&gt;=3)"/>
    <n v="8"/>
    <s v="Long(5-10)"/>
    <n v="7"/>
    <x v="1"/>
    <n v="7"/>
    <s v="Not_Reasonable(&gt;3)"/>
  </r>
  <r>
    <x v="13"/>
    <s v="Middle_Age(30-50)"/>
    <x v="1"/>
    <s v="Rarely"/>
    <s v="Sales"/>
    <n v="1"/>
    <s v="Nearby(&lt;=5)"/>
    <n v="2"/>
    <s v="Not_Satisfied(&lt;3)"/>
    <x v="1"/>
    <n v="4"/>
    <s v="High"/>
    <n v="2"/>
    <x v="0"/>
    <x v="0"/>
    <n v="4"/>
    <s v="Satisfied(&gt;=3)"/>
    <x v="2"/>
    <n v="0"/>
    <s v="Y"/>
    <x v="1"/>
    <n v="11"/>
    <x v="0"/>
    <n v="16"/>
    <n v="2"/>
    <s v="Poor(&lt;=2)"/>
    <n v="15"/>
    <s v="Ultra_Long(&gt;10)"/>
    <n v="1"/>
    <x v="0"/>
    <n v="0"/>
    <s v="Reasonable(&lt;=3)"/>
  </r>
  <r>
    <x v="6"/>
    <s v="Old(&gt;50)"/>
    <x v="1"/>
    <s v="Rarely"/>
    <s v="Sales"/>
    <n v="1"/>
    <s v="Nearby(&lt;=5)"/>
    <n v="2"/>
    <s v="Not_Satisfied(&lt;3)"/>
    <x v="1"/>
    <n v="3"/>
    <s v="Medium"/>
    <n v="3"/>
    <x v="1"/>
    <x v="5"/>
    <n v="4"/>
    <s v="Satisfied(&gt;=3)"/>
    <x v="1"/>
    <n v="3"/>
    <s v="Y"/>
    <x v="0"/>
    <n v="14"/>
    <x v="0"/>
    <n v="14"/>
    <n v="1"/>
    <s v="Poor(&lt;=2)"/>
    <n v="6"/>
    <s v="Long(5-10)"/>
    <n v="4"/>
    <x v="0"/>
    <n v="0"/>
    <s v="Reasonable(&lt;=3)"/>
  </r>
  <r>
    <x v="28"/>
    <s v="Middle_Age(30-50)"/>
    <x v="1"/>
    <s v="Rarely"/>
    <s v="Human Resources"/>
    <n v="24"/>
    <s v="Far(&gt;=15)"/>
    <n v="2"/>
    <s v="Not_Satisfied(&lt;3)"/>
    <x v="1"/>
    <n v="3"/>
    <s v="Medium"/>
    <n v="1"/>
    <x v="0"/>
    <x v="8"/>
    <n v="2"/>
    <s v="Not_Satisfied(&lt;=2)"/>
    <x v="0"/>
    <n v="1"/>
    <s v="Y"/>
    <x v="1"/>
    <n v="16"/>
    <x v="0"/>
    <n v="6"/>
    <n v="3"/>
    <s v="Good(&gt;=3)"/>
    <n v="6"/>
    <s v="Long(5-10)"/>
    <n v="3"/>
    <x v="0"/>
    <n v="0"/>
    <s v="Reasonable(&lt;=3)"/>
  </r>
  <r>
    <x v="16"/>
    <s v="Old(&gt;50)"/>
    <x v="1"/>
    <s v="Frequently"/>
    <s v="Sales"/>
    <n v="2"/>
    <s v="Nearby(&lt;=5)"/>
    <n v="3"/>
    <s v="Satisfied(&gt;=3)"/>
    <x v="0"/>
    <n v="2"/>
    <s v="Low"/>
    <n v="3"/>
    <x v="1"/>
    <x v="0"/>
    <n v="2"/>
    <s v="Not_Satisfied(&lt;=2)"/>
    <x v="1"/>
    <n v="2"/>
    <s v="Y"/>
    <x v="1"/>
    <n v="12"/>
    <x v="0"/>
    <n v="30"/>
    <n v="3"/>
    <s v="Good(&gt;=3)"/>
    <n v="15"/>
    <s v="Ultra_Long(&gt;10)"/>
    <n v="7"/>
    <x v="1"/>
    <n v="6"/>
    <s v="Not_Reasonable(&gt;3)"/>
  </r>
  <r>
    <x v="9"/>
    <s v="Middle_Age(30-50)"/>
    <x v="0"/>
    <s v="Rarely"/>
    <s v="Research &amp; Development"/>
    <n v="15"/>
    <s v="Far(&gt;=15)"/>
    <n v="1"/>
    <s v="Not_Satisfied(&lt;3)"/>
    <x v="1"/>
    <n v="3"/>
    <s v="Medium"/>
    <n v="2"/>
    <x v="0"/>
    <x v="2"/>
    <n v="3"/>
    <s v="Satisfied(&gt;=3)"/>
    <x v="2"/>
    <n v="7"/>
    <s v="Y"/>
    <x v="1"/>
    <n v="14"/>
    <x v="0"/>
    <n v="9"/>
    <n v="2"/>
    <s v="Poor(&lt;=2)"/>
    <n v="1"/>
    <s v="Short(&lt;=4)"/>
    <n v="0"/>
    <x v="0"/>
    <n v="0"/>
    <s v="Reasonable(&lt;=3)"/>
  </r>
  <r>
    <x v="25"/>
    <s v="Young(&lt;=29)"/>
    <x v="0"/>
    <s v="Frequently"/>
    <s v="Research &amp; Development"/>
    <n v="2"/>
    <s v="Nearby(&lt;=5)"/>
    <n v="1"/>
    <s v="Not_Satisfied(&lt;3)"/>
    <x v="1"/>
    <n v="3"/>
    <s v="Medium"/>
    <n v="1"/>
    <x v="0"/>
    <x v="1"/>
    <n v="1"/>
    <s v="Not_Satisfied(&lt;=2)"/>
    <x v="1"/>
    <n v="6"/>
    <s v="Y"/>
    <x v="0"/>
    <n v="14"/>
    <x v="0"/>
    <n v="6"/>
    <n v="3"/>
    <s v="Good(&gt;=3)"/>
    <n v="3"/>
    <s v="Short(&lt;=4)"/>
    <n v="2"/>
    <x v="0"/>
    <n v="1"/>
    <s v="Reasonable(&lt;=3)"/>
  </r>
  <r>
    <x v="13"/>
    <s v="Middle_Age(30-50)"/>
    <x v="1"/>
    <s v="Rarely"/>
    <s v="Sales"/>
    <n v="10"/>
    <s v="Middistance(6-14)"/>
    <n v="3"/>
    <s v="Satisfied(&gt;=3)"/>
    <x v="0"/>
    <n v="3"/>
    <s v="Medium"/>
    <n v="1"/>
    <x v="0"/>
    <x v="6"/>
    <n v="3"/>
    <s v="Satisfied(&gt;=3)"/>
    <x v="1"/>
    <n v="1"/>
    <s v="Y"/>
    <x v="0"/>
    <n v="19"/>
    <x v="0"/>
    <n v="1"/>
    <n v="3"/>
    <s v="Good(&gt;=3)"/>
    <n v="1"/>
    <s v="Short(&lt;=4)"/>
    <n v="1"/>
    <x v="0"/>
    <n v="0"/>
    <s v="Reasonable(&lt;=3)"/>
  </r>
  <r>
    <x v="14"/>
    <s v="Young(&lt;=29)"/>
    <x v="1"/>
    <s v="Rarely"/>
    <s v="Sales"/>
    <n v="10"/>
    <s v="Middistance(6-14)"/>
    <n v="4"/>
    <s v="Satisfied(&gt;=3)"/>
    <x v="1"/>
    <n v="3"/>
    <s v="Medium"/>
    <n v="1"/>
    <x v="0"/>
    <x v="6"/>
    <n v="2"/>
    <s v="Not_Satisfied(&lt;=2)"/>
    <x v="1"/>
    <n v="1"/>
    <s v="Y"/>
    <x v="1"/>
    <n v="22"/>
    <x v="1"/>
    <n v="1"/>
    <n v="3"/>
    <s v="Good(&gt;=3)"/>
    <n v="1"/>
    <s v="Short(&lt;=4)"/>
    <n v="0"/>
    <x v="0"/>
    <n v="0"/>
    <s v="Reasonable(&lt;=3)"/>
  </r>
  <r>
    <x v="8"/>
    <s v="Middle_Age(30-50)"/>
    <x v="1"/>
    <s v="Frequently"/>
    <s v="Research &amp; Development"/>
    <n v="3"/>
    <s v="Nearby(&lt;=5)"/>
    <n v="3"/>
    <s v="Satisfied(&gt;=3)"/>
    <x v="1"/>
    <n v="3"/>
    <s v="Medium"/>
    <n v="1"/>
    <x v="0"/>
    <x v="1"/>
    <n v="3"/>
    <s v="Satisfied(&gt;=3)"/>
    <x v="1"/>
    <n v="3"/>
    <s v="Y"/>
    <x v="1"/>
    <n v="16"/>
    <x v="0"/>
    <n v="8"/>
    <n v="3"/>
    <s v="Good(&gt;=3)"/>
    <n v="2"/>
    <s v="Short(&lt;=4)"/>
    <n v="2"/>
    <x v="0"/>
    <n v="2"/>
    <s v="Reasonable(&lt;=3)"/>
  </r>
  <r>
    <x v="24"/>
    <s v="Middle_Age(30-50)"/>
    <x v="1"/>
    <s v="Rarely"/>
    <s v="Research &amp; Development"/>
    <n v="2"/>
    <s v="Nearby(&lt;=5)"/>
    <n v="2"/>
    <s v="Not_Satisfied(&lt;3)"/>
    <x v="1"/>
    <n v="3"/>
    <s v="Medium"/>
    <n v="5"/>
    <x v="2"/>
    <x v="7"/>
    <n v="3"/>
    <s v="Satisfied(&gt;=3)"/>
    <x v="1"/>
    <n v="2"/>
    <s v="Y"/>
    <x v="0"/>
    <n v="11"/>
    <x v="0"/>
    <n v="29"/>
    <n v="2"/>
    <s v="Poor(&lt;=2)"/>
    <n v="8"/>
    <s v="Long(5-10)"/>
    <n v="1"/>
    <x v="0"/>
    <n v="7"/>
    <s v="Not_Reasonable(&gt;3)"/>
  </r>
  <r>
    <x v="2"/>
    <s v="Middle_Age(30-50)"/>
    <x v="1"/>
    <s v="Rarely"/>
    <s v="Research &amp; Development"/>
    <n v="3"/>
    <s v="Nearby(&lt;=5)"/>
    <n v="4"/>
    <s v="Satisfied(&gt;=3)"/>
    <x v="0"/>
    <n v="3"/>
    <s v="Medium"/>
    <n v="2"/>
    <x v="0"/>
    <x v="4"/>
    <n v="2"/>
    <s v="Not_Satisfied(&lt;=2)"/>
    <x v="0"/>
    <n v="3"/>
    <s v="Y"/>
    <x v="1"/>
    <n v="15"/>
    <x v="0"/>
    <n v="8"/>
    <n v="2"/>
    <s v="Poor(&lt;=2)"/>
    <n v="4"/>
    <s v="Short(&lt;=4)"/>
    <n v="3"/>
    <x v="0"/>
    <n v="0"/>
    <s v="Reasonable(&lt;=3)"/>
  </r>
  <r>
    <x v="32"/>
    <s v="Middle_Age(30-50)"/>
    <x v="1"/>
    <s v="Rarely"/>
    <s v="Sales"/>
    <n v="26"/>
    <s v="Far(&gt;=15)"/>
    <n v="3"/>
    <s v="Satisfied(&gt;=3)"/>
    <x v="1"/>
    <n v="3"/>
    <s v="Medium"/>
    <n v="2"/>
    <x v="0"/>
    <x v="0"/>
    <n v="1"/>
    <s v="Not_Satisfied(&lt;=2)"/>
    <x v="1"/>
    <n v="1"/>
    <s v="Y"/>
    <x v="1"/>
    <n v="14"/>
    <x v="0"/>
    <n v="8"/>
    <n v="2"/>
    <s v="Poor(&lt;=2)"/>
    <n v="7"/>
    <s v="Long(5-10)"/>
    <n v="7"/>
    <x v="1"/>
    <n v="7"/>
    <s v="Not_Reasonable(&gt;3)"/>
  </r>
  <r>
    <x v="25"/>
    <s v="Young(&lt;=29)"/>
    <x v="1"/>
    <s v="Frequently"/>
    <s v="Research &amp; Development"/>
    <n v="1"/>
    <s v="Nearby(&lt;=5)"/>
    <n v="1"/>
    <s v="Not_Satisfied(&lt;3)"/>
    <x v="0"/>
    <n v="2"/>
    <s v="Low"/>
    <n v="1"/>
    <x v="0"/>
    <x v="1"/>
    <n v="3"/>
    <s v="Satisfied(&gt;=3)"/>
    <x v="2"/>
    <n v="1"/>
    <s v="Y"/>
    <x v="1"/>
    <n v="13"/>
    <x v="0"/>
    <n v="5"/>
    <n v="3"/>
    <s v="Good(&gt;=3)"/>
    <n v="5"/>
    <s v="Long(5-10)"/>
    <n v="3"/>
    <x v="0"/>
    <n v="1"/>
    <s v="Reasonable(&lt;=3)"/>
  </r>
  <r>
    <x v="21"/>
    <s v="Middle_Age(30-50)"/>
    <x v="1"/>
    <s v="Rarely"/>
    <s v="Research &amp; Development"/>
    <n v="1"/>
    <s v="Nearby(&lt;=5)"/>
    <n v="4"/>
    <s v="Satisfied(&gt;=3)"/>
    <x v="1"/>
    <n v="3"/>
    <s v="Medium"/>
    <n v="5"/>
    <x v="2"/>
    <x v="7"/>
    <n v="4"/>
    <s v="Satisfied(&gt;=3)"/>
    <x v="2"/>
    <n v="9"/>
    <s v="Y"/>
    <x v="1"/>
    <n v="17"/>
    <x v="0"/>
    <n v="23"/>
    <n v="3"/>
    <s v="Good(&gt;=3)"/>
    <n v="2"/>
    <s v="Short(&lt;=4)"/>
    <n v="2"/>
    <x v="0"/>
    <n v="2"/>
    <s v="Reasonable(&lt;=3)"/>
  </r>
  <r>
    <x v="33"/>
    <s v="Old(&gt;50)"/>
    <x v="1"/>
    <s v="Rarely"/>
    <s v="Sales"/>
    <n v="2"/>
    <s v="Nearby(&lt;=5)"/>
    <n v="3"/>
    <s v="Satisfied(&gt;=3)"/>
    <x v="0"/>
    <n v="2"/>
    <s v="Low"/>
    <n v="3"/>
    <x v="1"/>
    <x v="0"/>
    <n v="3"/>
    <s v="Satisfied(&gt;=3)"/>
    <x v="1"/>
    <n v="6"/>
    <s v="Y"/>
    <x v="1"/>
    <n v="11"/>
    <x v="0"/>
    <n v="13"/>
    <n v="3"/>
    <s v="Good(&gt;=3)"/>
    <n v="9"/>
    <s v="Long(5-10)"/>
    <n v="4"/>
    <x v="0"/>
    <n v="7"/>
    <s v="Not_Reasonable(&gt;3)"/>
  </r>
  <r>
    <x v="29"/>
    <s v="Old(&gt;50)"/>
    <x v="1"/>
    <s v="Frequently"/>
    <s v="Research &amp; Development"/>
    <n v="9"/>
    <s v="Middistance(6-14)"/>
    <n v="1"/>
    <s v="Not_Satisfied(&lt;3)"/>
    <x v="0"/>
    <n v="3"/>
    <s v="Medium"/>
    <n v="1"/>
    <x v="0"/>
    <x v="1"/>
    <n v="3"/>
    <s v="Satisfied(&gt;=3)"/>
    <x v="1"/>
    <n v="2"/>
    <s v="Y"/>
    <x v="1"/>
    <n v="19"/>
    <x v="0"/>
    <n v="18"/>
    <n v="3"/>
    <s v="Good(&gt;=3)"/>
    <n v="5"/>
    <s v="Long(5-10)"/>
    <n v="4"/>
    <x v="0"/>
    <n v="0"/>
    <s v="Reasonable(&lt;=3)"/>
  </r>
  <r>
    <x v="9"/>
    <s v="Middle_Age(30-50)"/>
    <x v="1"/>
    <s v="Rarely"/>
    <s v="Research &amp; Development"/>
    <n v="12"/>
    <s v="Middistance(6-14)"/>
    <n v="4"/>
    <s v="Satisfied(&gt;=3)"/>
    <x v="0"/>
    <n v="2"/>
    <s v="Low"/>
    <n v="3"/>
    <x v="1"/>
    <x v="3"/>
    <n v="4"/>
    <s v="Satisfied(&gt;=3)"/>
    <x v="0"/>
    <n v="0"/>
    <s v="Y"/>
    <x v="1"/>
    <n v="11"/>
    <x v="0"/>
    <n v="15"/>
    <n v="2"/>
    <s v="Poor(&lt;=2)"/>
    <n v="14"/>
    <s v="Ultra_Long(&gt;10)"/>
    <n v="8"/>
    <x v="1"/>
    <n v="7"/>
    <s v="Not_Reasonable(&gt;3)"/>
  </r>
  <r>
    <x v="27"/>
    <s v="Old(&gt;50)"/>
    <x v="1"/>
    <s v="Rarely"/>
    <s v="Research &amp; Development"/>
    <n v="2"/>
    <s v="Nearby(&lt;=5)"/>
    <n v="3"/>
    <s v="Satisfied(&gt;=3)"/>
    <x v="1"/>
    <n v="2"/>
    <s v="Low"/>
    <n v="4"/>
    <x v="2"/>
    <x v="5"/>
    <n v="1"/>
    <s v="Not_Satisfied(&lt;=2)"/>
    <x v="0"/>
    <n v="7"/>
    <s v="Y"/>
    <x v="1"/>
    <n v="15"/>
    <x v="0"/>
    <n v="31"/>
    <n v="4"/>
    <s v="Good(&gt;=3)"/>
    <n v="9"/>
    <s v="Long(5-10)"/>
    <n v="7"/>
    <x v="1"/>
    <n v="6"/>
    <s v="Not_Reasonable(&gt;3)"/>
  </r>
  <r>
    <x v="23"/>
    <s v="Middle_Age(30-50)"/>
    <x v="1"/>
    <s v="Rarely"/>
    <s v="Sales"/>
    <n v="25"/>
    <s v="Far(&gt;=15)"/>
    <n v="3"/>
    <s v="Satisfied(&gt;=3)"/>
    <x v="1"/>
    <n v="2"/>
    <s v="Low"/>
    <n v="3"/>
    <x v="1"/>
    <x v="0"/>
    <n v="4"/>
    <s v="Satisfied(&gt;=3)"/>
    <x v="2"/>
    <n v="5"/>
    <s v="Y"/>
    <x v="1"/>
    <n v="13"/>
    <x v="0"/>
    <n v="18"/>
    <n v="3"/>
    <s v="Good(&gt;=3)"/>
    <n v="1"/>
    <s v="Short(&lt;=4)"/>
    <n v="0"/>
    <x v="0"/>
    <n v="0"/>
    <s v="Reasonable(&lt;=3)"/>
  </r>
  <r>
    <x v="35"/>
    <s v="Young(&lt;=29)"/>
    <x v="0"/>
    <s v="Frequently"/>
    <s v="Sales"/>
    <n v="9"/>
    <s v="Middistance(6-14)"/>
    <n v="4"/>
    <s v="Satisfied(&gt;=3)"/>
    <x v="0"/>
    <n v="3"/>
    <s v="Medium"/>
    <n v="1"/>
    <x v="0"/>
    <x v="6"/>
    <n v="4"/>
    <s v="Satisfied(&gt;=3)"/>
    <x v="0"/>
    <n v="1"/>
    <s v="Y"/>
    <x v="0"/>
    <n v="14"/>
    <x v="0"/>
    <n v="2"/>
    <n v="3"/>
    <s v="Good(&gt;=3)"/>
    <n v="2"/>
    <s v="Short(&lt;=4)"/>
    <n v="2"/>
    <x v="0"/>
    <n v="0"/>
    <s v="Reasonable(&lt;=3)"/>
  </r>
  <r>
    <x v="18"/>
    <s v="Young(&lt;=29)"/>
    <x v="0"/>
    <s v="Rarely"/>
    <s v="Research &amp; Development"/>
    <n v="10"/>
    <s v="Middistance(6-14)"/>
    <n v="3"/>
    <s v="Satisfied(&gt;=3)"/>
    <x v="0"/>
    <n v="2"/>
    <s v="Low"/>
    <n v="1"/>
    <x v="0"/>
    <x v="2"/>
    <n v="1"/>
    <s v="Not_Satisfied(&lt;=2)"/>
    <x v="0"/>
    <n v="1"/>
    <s v="Y"/>
    <x v="1"/>
    <n v="13"/>
    <x v="0"/>
    <n v="1"/>
    <n v="2"/>
    <s v="Poor(&lt;=2)"/>
    <n v="1"/>
    <s v="Short(&lt;=4)"/>
    <n v="0"/>
    <x v="0"/>
    <n v="1"/>
    <s v="Reasonable(&lt;=3)"/>
  </r>
  <r>
    <x v="21"/>
    <s v="Middle_Age(30-50)"/>
    <x v="1"/>
    <s v="Rarely"/>
    <s v="Research &amp; Development"/>
    <n v="8"/>
    <s v="Middistance(6-14)"/>
    <n v="4"/>
    <s v="Satisfied(&gt;=3)"/>
    <x v="0"/>
    <n v="2"/>
    <s v="Low"/>
    <n v="2"/>
    <x v="0"/>
    <x v="1"/>
    <n v="1"/>
    <s v="Not_Satisfied(&lt;=2)"/>
    <x v="2"/>
    <n v="8"/>
    <s v="Y"/>
    <x v="0"/>
    <n v="23"/>
    <x v="1"/>
    <n v="19"/>
    <n v="3"/>
    <s v="Good(&gt;=3)"/>
    <n v="16"/>
    <s v="Ultra_Long(&gt;10)"/>
    <n v="13"/>
    <x v="2"/>
    <n v="1"/>
    <s v="Reasonable(&lt;=3)"/>
  </r>
  <r>
    <x v="31"/>
    <s v="Old(&gt;50)"/>
    <x v="0"/>
    <s v="Rarely"/>
    <s v="Research &amp; Development"/>
    <n v="4"/>
    <s v="Nearby(&lt;=5)"/>
    <n v="1"/>
    <s v="Not_Satisfied(&lt;3)"/>
    <x v="1"/>
    <n v="3"/>
    <s v="Medium"/>
    <n v="1"/>
    <x v="0"/>
    <x v="1"/>
    <n v="3"/>
    <s v="Satisfied(&gt;=3)"/>
    <x v="1"/>
    <n v="9"/>
    <s v="Y"/>
    <x v="0"/>
    <n v="12"/>
    <x v="0"/>
    <n v="18"/>
    <n v="4"/>
    <s v="Good(&gt;=3)"/>
    <n v="10"/>
    <s v="Long(5-10)"/>
    <n v="0"/>
    <x v="0"/>
    <n v="2"/>
    <s v="Reasonable(&lt;=3)"/>
  </r>
  <r>
    <x v="14"/>
    <s v="Young(&lt;=29)"/>
    <x v="0"/>
    <s v="Rarely"/>
    <s v="Research &amp; Development"/>
    <n v="24"/>
    <s v="Far(&gt;=15)"/>
    <n v="2"/>
    <s v="Not_Satisfied(&lt;3)"/>
    <x v="1"/>
    <n v="2"/>
    <s v="Low"/>
    <n v="3"/>
    <x v="1"/>
    <x v="4"/>
    <n v="1"/>
    <s v="Not_Satisfied(&lt;=2)"/>
    <x v="0"/>
    <n v="1"/>
    <s v="Y"/>
    <x v="1"/>
    <n v="12"/>
    <x v="0"/>
    <n v="10"/>
    <n v="2"/>
    <s v="Poor(&lt;=2)"/>
    <n v="10"/>
    <s v="Long(5-10)"/>
    <n v="7"/>
    <x v="1"/>
    <n v="1"/>
    <s v="Reasonable(&lt;=3)"/>
  </r>
  <r>
    <x v="25"/>
    <s v="Young(&lt;=29)"/>
    <x v="1"/>
    <s v="Rarely"/>
    <s v="Research &amp; Development"/>
    <n v="1"/>
    <s v="Nearby(&lt;=5)"/>
    <n v="1"/>
    <s v="Not_Satisfied(&lt;3)"/>
    <x v="1"/>
    <n v="2"/>
    <s v="Low"/>
    <n v="1"/>
    <x v="0"/>
    <x v="2"/>
    <n v="1"/>
    <s v="Not_Satisfied(&lt;=2)"/>
    <x v="1"/>
    <n v="1"/>
    <s v="Y"/>
    <x v="1"/>
    <n v="16"/>
    <x v="0"/>
    <n v="6"/>
    <n v="3"/>
    <s v="Good(&gt;=3)"/>
    <n v="5"/>
    <s v="Long(5-10)"/>
    <n v="3"/>
    <x v="0"/>
    <n v="1"/>
    <s v="Reasonable(&lt;=3)"/>
  </r>
  <r>
    <x v="7"/>
    <s v="Middle_Age(30-50)"/>
    <x v="1"/>
    <s v="Rarely"/>
    <s v="Research &amp; Development"/>
    <n v="20"/>
    <s v="Far(&gt;=15)"/>
    <n v="3"/>
    <s v="Satisfied(&gt;=3)"/>
    <x v="1"/>
    <n v="3"/>
    <s v="Medium"/>
    <n v="2"/>
    <x v="0"/>
    <x v="3"/>
    <n v="1"/>
    <s v="Not_Satisfied(&lt;=2)"/>
    <x v="1"/>
    <n v="0"/>
    <s v="Y"/>
    <x v="1"/>
    <n v="15"/>
    <x v="0"/>
    <n v="7"/>
    <n v="2"/>
    <s v="Poor(&lt;=2)"/>
    <n v="6"/>
    <s v="Long(5-10)"/>
    <n v="2"/>
    <x v="0"/>
    <n v="0"/>
    <s v="Reasonable(&lt;=3)"/>
  </r>
  <r>
    <x v="0"/>
    <s v="Middle_Age(30-50)"/>
    <x v="1"/>
    <s v="Rarely"/>
    <s v="Research &amp; Development"/>
    <n v="7"/>
    <s v="Middistance(6-14)"/>
    <n v="2"/>
    <s v="Not_Satisfied(&lt;3)"/>
    <x v="0"/>
    <n v="4"/>
    <s v="High"/>
    <n v="1"/>
    <x v="0"/>
    <x v="1"/>
    <n v="3"/>
    <s v="Satisfied(&gt;=3)"/>
    <x v="1"/>
    <n v="1"/>
    <s v="Y"/>
    <x v="1"/>
    <n v="13"/>
    <x v="0"/>
    <n v="10"/>
    <n v="3"/>
    <s v="Good(&gt;=3)"/>
    <n v="10"/>
    <s v="Long(5-10)"/>
    <n v="6"/>
    <x v="1"/>
    <n v="0"/>
    <s v="Reasonable(&lt;=3)"/>
  </r>
  <r>
    <x v="8"/>
    <s v="Middle_Age(30-50)"/>
    <x v="1"/>
    <s v="Rarely"/>
    <s v="Research &amp; Development"/>
    <n v="17"/>
    <s v="Far(&gt;=15)"/>
    <n v="3"/>
    <s v="Satisfied(&gt;=3)"/>
    <x v="0"/>
    <n v="2"/>
    <s v="Low"/>
    <n v="3"/>
    <x v="1"/>
    <x v="4"/>
    <n v="3"/>
    <s v="Satisfied(&gt;=3)"/>
    <x v="1"/>
    <n v="0"/>
    <s v="Y"/>
    <x v="1"/>
    <n v="18"/>
    <x v="0"/>
    <n v="20"/>
    <n v="2"/>
    <s v="Poor(&lt;=2)"/>
    <n v="19"/>
    <s v="Ultra_Long(&gt;10)"/>
    <n v="9"/>
    <x v="1"/>
    <n v="1"/>
    <s v="Reasonable(&lt;=3)"/>
  </r>
  <r>
    <x v="32"/>
    <s v="Middle_Age(30-50)"/>
    <x v="1"/>
    <s v="Rarely"/>
    <s v="Research &amp; Development"/>
    <n v="20"/>
    <s v="Far(&gt;=15)"/>
    <n v="1"/>
    <s v="Not_Satisfied(&lt;3)"/>
    <x v="1"/>
    <n v="3"/>
    <s v="Medium"/>
    <n v="3"/>
    <x v="1"/>
    <x v="4"/>
    <n v="4"/>
    <s v="Satisfied(&gt;=3)"/>
    <x v="1"/>
    <n v="4"/>
    <s v="Y"/>
    <x v="1"/>
    <n v="20"/>
    <x v="1"/>
    <n v="14"/>
    <n v="3"/>
    <s v="Good(&gt;=3)"/>
    <n v="11"/>
    <s v="Ultra_Long(&gt;10)"/>
    <n v="10"/>
    <x v="1"/>
    <n v="11"/>
    <s v="Not_Reasonable(&gt;3)"/>
  </r>
  <r>
    <x v="4"/>
    <s v="Young(&lt;=29)"/>
    <x v="1"/>
    <s v="Rarely"/>
    <s v="Research &amp; Development"/>
    <n v="8"/>
    <s v="Middistance(6-14)"/>
    <n v="1"/>
    <s v="Not_Satisfied(&lt;3)"/>
    <x v="1"/>
    <n v="1"/>
    <s v="Low"/>
    <n v="1"/>
    <x v="0"/>
    <x v="2"/>
    <n v="3"/>
    <s v="Satisfied(&gt;=3)"/>
    <x v="1"/>
    <n v="1"/>
    <s v="Y"/>
    <x v="1"/>
    <n v="19"/>
    <x v="0"/>
    <n v="3"/>
    <n v="3"/>
    <s v="Good(&gt;=3)"/>
    <n v="3"/>
    <s v="Short(&lt;=4)"/>
    <n v="2"/>
    <x v="0"/>
    <n v="1"/>
    <s v="Reasonable(&lt;=3)"/>
  </r>
  <r>
    <x v="27"/>
    <s v="Old(&gt;50)"/>
    <x v="1"/>
    <s v="Frequently"/>
    <s v="Research &amp; Development"/>
    <n v="2"/>
    <s v="Nearby(&lt;=5)"/>
    <n v="4"/>
    <s v="Satisfied(&gt;=3)"/>
    <x v="1"/>
    <n v="3"/>
    <s v="Medium"/>
    <n v="3"/>
    <x v="1"/>
    <x v="3"/>
    <n v="2"/>
    <s v="Not_Satisfied(&lt;=2)"/>
    <x v="1"/>
    <n v="3"/>
    <s v="Y"/>
    <x v="1"/>
    <n v="18"/>
    <x v="0"/>
    <n v="23"/>
    <n v="3"/>
    <s v="Good(&gt;=3)"/>
    <n v="3"/>
    <s v="Short(&lt;=4)"/>
    <n v="2"/>
    <x v="0"/>
    <n v="1"/>
    <s v="Reasonable(&lt;=3)"/>
  </r>
  <r>
    <x v="14"/>
    <s v="Young(&lt;=29)"/>
    <x v="1"/>
    <s v="Rarely"/>
    <s v="Research &amp; Development"/>
    <n v="10"/>
    <s v="Middistance(6-14)"/>
    <n v="3"/>
    <s v="Satisfied(&gt;=3)"/>
    <x v="0"/>
    <n v="3"/>
    <s v="Medium"/>
    <n v="2"/>
    <x v="0"/>
    <x v="1"/>
    <n v="3"/>
    <s v="Satisfied(&gt;=3)"/>
    <x v="0"/>
    <n v="3"/>
    <s v="Y"/>
    <x v="1"/>
    <n v="13"/>
    <x v="0"/>
    <n v="10"/>
    <n v="4"/>
    <s v="Good(&gt;=3)"/>
    <n v="8"/>
    <s v="Long(5-10)"/>
    <n v="7"/>
    <x v="1"/>
    <n v="1"/>
    <s v="Reasonable(&lt;=3)"/>
  </r>
  <r>
    <x v="20"/>
    <s v="Middle_Age(30-50)"/>
    <x v="0"/>
    <s v="Rarely"/>
    <s v="Human Resources"/>
    <n v="1"/>
    <s v="Nearby(&lt;=5)"/>
    <n v="2"/>
    <s v="Not_Satisfied(&lt;3)"/>
    <x v="1"/>
    <n v="2"/>
    <s v="Low"/>
    <n v="3"/>
    <x v="1"/>
    <x v="8"/>
    <n v="1"/>
    <s v="Not_Satisfied(&lt;=2)"/>
    <x v="1"/>
    <n v="9"/>
    <s v="Y"/>
    <x v="1"/>
    <n v="14"/>
    <x v="0"/>
    <n v="24"/>
    <n v="3"/>
    <s v="Good(&gt;=3)"/>
    <n v="20"/>
    <s v="Ultra_Long(&gt;10)"/>
    <n v="6"/>
    <x v="1"/>
    <n v="3"/>
    <s v="Reasonable(&lt;=3)"/>
  </r>
  <r>
    <x v="3"/>
    <s v="Middle_Age(30-50)"/>
    <x v="1"/>
    <s v="Rarely"/>
    <s v="Research &amp; Development"/>
    <n v="5"/>
    <s v="Nearby(&lt;=5)"/>
    <n v="4"/>
    <s v="Satisfied(&gt;=3)"/>
    <x v="1"/>
    <n v="2"/>
    <s v="Low"/>
    <n v="3"/>
    <x v="1"/>
    <x v="4"/>
    <n v="4"/>
    <s v="Satisfied(&gt;=3)"/>
    <x v="2"/>
    <n v="4"/>
    <s v="Y"/>
    <x v="1"/>
    <n v="15"/>
    <x v="0"/>
    <n v="9"/>
    <n v="3"/>
    <s v="Good(&gt;=3)"/>
    <n v="3"/>
    <s v="Short(&lt;=4)"/>
    <n v="2"/>
    <x v="0"/>
    <n v="1"/>
    <s v="Reasonable(&lt;=3)"/>
  </r>
  <r>
    <x v="10"/>
    <s v="Middle_Age(30-50)"/>
    <x v="0"/>
    <s v="Rarely"/>
    <s v="Sales"/>
    <n v="4"/>
    <s v="Nearby(&lt;=5)"/>
    <n v="4"/>
    <s v="Satisfied(&gt;=3)"/>
    <x v="1"/>
    <n v="3"/>
    <s v="Medium"/>
    <n v="3"/>
    <x v="1"/>
    <x v="0"/>
    <n v="1"/>
    <s v="Not_Satisfied(&lt;=2)"/>
    <x v="0"/>
    <n v="0"/>
    <s v="Y"/>
    <x v="0"/>
    <n v="22"/>
    <x v="1"/>
    <n v="9"/>
    <n v="3"/>
    <s v="Good(&gt;=3)"/>
    <n v="8"/>
    <s v="Long(5-10)"/>
    <n v="7"/>
    <x v="1"/>
    <n v="4"/>
    <s v="Not_Reasonable(&gt;3)"/>
  </r>
  <r>
    <x v="3"/>
    <s v="Middle_Age(30-50)"/>
    <x v="0"/>
    <s v="Frequently"/>
    <s v="Research &amp; Development"/>
    <n v="29"/>
    <s v="Far(&gt;=15)"/>
    <n v="1"/>
    <s v="Not_Satisfied(&lt;3)"/>
    <x v="0"/>
    <n v="2"/>
    <s v="Low"/>
    <n v="2"/>
    <x v="0"/>
    <x v="1"/>
    <n v="3"/>
    <s v="Satisfied(&gt;=3)"/>
    <x v="0"/>
    <n v="1"/>
    <s v="Y"/>
    <x v="1"/>
    <n v="22"/>
    <x v="1"/>
    <n v="14"/>
    <n v="3"/>
    <s v="Good(&gt;=3)"/>
    <n v="13"/>
    <s v="Ultra_Long(&gt;10)"/>
    <n v="7"/>
    <x v="1"/>
    <n v="3"/>
    <s v="Reasonable(&lt;=3)"/>
  </r>
  <r>
    <x v="14"/>
    <s v="Young(&lt;=29)"/>
    <x v="1"/>
    <s v="Rarely"/>
    <s v="Research &amp; Development"/>
    <n v="15"/>
    <s v="Far(&gt;=15)"/>
    <n v="1"/>
    <s v="Not_Satisfied(&lt;3)"/>
    <x v="1"/>
    <n v="3"/>
    <s v="Medium"/>
    <n v="1"/>
    <x v="0"/>
    <x v="2"/>
    <n v="3"/>
    <s v="Satisfied(&gt;=3)"/>
    <x v="2"/>
    <n v="1"/>
    <s v="Y"/>
    <x v="1"/>
    <n v="16"/>
    <x v="0"/>
    <n v="4"/>
    <n v="2"/>
    <s v="Poor(&lt;=2)"/>
    <n v="4"/>
    <s v="Short(&lt;=4)"/>
    <n v="2"/>
    <x v="0"/>
    <n v="2"/>
    <s v="Reasonable(&lt;=3)"/>
  </r>
  <r>
    <x v="13"/>
    <s v="Middle_Age(30-50)"/>
    <x v="1"/>
    <s v="Frequently"/>
    <s v="Research &amp; Development"/>
    <n v="3"/>
    <s v="Nearby(&lt;=5)"/>
    <n v="1"/>
    <s v="Not_Satisfied(&lt;3)"/>
    <x v="1"/>
    <n v="3"/>
    <s v="Medium"/>
    <n v="2"/>
    <x v="0"/>
    <x v="4"/>
    <n v="4"/>
    <s v="Satisfied(&gt;=3)"/>
    <x v="0"/>
    <n v="0"/>
    <s v="Y"/>
    <x v="1"/>
    <n v="17"/>
    <x v="0"/>
    <n v="7"/>
    <n v="2"/>
    <s v="Poor(&lt;=2)"/>
    <n v="6"/>
    <s v="Long(5-10)"/>
    <n v="2"/>
    <x v="0"/>
    <n v="0"/>
    <s v="Reasonable(&lt;=3)"/>
  </r>
  <r>
    <x v="2"/>
    <s v="Middle_Age(30-50)"/>
    <x v="1"/>
    <s v="Rarely"/>
    <s v="Sales"/>
    <n v="10"/>
    <s v="Middistance(6-14)"/>
    <n v="4"/>
    <s v="Satisfied(&gt;=3)"/>
    <x v="0"/>
    <n v="2"/>
    <s v="Low"/>
    <n v="2"/>
    <x v="0"/>
    <x v="0"/>
    <n v="4"/>
    <s v="Satisfied(&gt;=3)"/>
    <x v="2"/>
    <n v="2"/>
    <s v="Y"/>
    <x v="0"/>
    <n v="14"/>
    <x v="0"/>
    <n v="8"/>
    <n v="3"/>
    <s v="Good(&gt;=3)"/>
    <n v="1"/>
    <s v="Short(&lt;=4)"/>
    <n v="0"/>
    <x v="0"/>
    <n v="0"/>
    <s v="Reasonable(&lt;=3)"/>
  </r>
  <r>
    <x v="36"/>
    <s v="Young(&lt;=29)"/>
    <x v="0"/>
    <s v="Rarely"/>
    <s v="Research &amp; Development"/>
    <n v="4"/>
    <s v="Nearby(&lt;=5)"/>
    <n v="4"/>
    <s v="Satisfied(&gt;=3)"/>
    <x v="1"/>
    <n v="3"/>
    <s v="Medium"/>
    <n v="1"/>
    <x v="0"/>
    <x v="2"/>
    <n v="4"/>
    <s v="Satisfied(&gt;=3)"/>
    <x v="1"/>
    <n v="1"/>
    <s v="Y"/>
    <x v="0"/>
    <n v="15"/>
    <x v="0"/>
    <n v="7"/>
    <n v="4"/>
    <s v="Good(&gt;=3)"/>
    <n v="7"/>
    <s v="Long(5-10)"/>
    <n v="7"/>
    <x v="1"/>
    <n v="5"/>
    <s v="Not_Reasonable(&gt;3)"/>
  </r>
  <r>
    <x v="25"/>
    <s v="Young(&lt;=29)"/>
    <x v="0"/>
    <s v="Rarely"/>
    <s v="Research &amp; Development"/>
    <n v="21"/>
    <s v="Far(&gt;=15)"/>
    <n v="1"/>
    <s v="Not_Satisfied(&lt;3)"/>
    <x v="1"/>
    <n v="3"/>
    <s v="Medium"/>
    <n v="1"/>
    <x v="0"/>
    <x v="2"/>
    <n v="3"/>
    <s v="Satisfied(&gt;=3)"/>
    <x v="2"/>
    <n v="1"/>
    <s v="Y"/>
    <x v="1"/>
    <n v="20"/>
    <x v="1"/>
    <n v="1"/>
    <n v="2"/>
    <s v="Poor(&lt;=2)"/>
    <n v="1"/>
    <s v="Short(&lt;=4)"/>
    <n v="1"/>
    <x v="0"/>
    <n v="0"/>
    <s v="Reasonable(&lt;=3)"/>
  </r>
  <r>
    <x v="3"/>
    <s v="Middle_Age(30-50)"/>
    <x v="0"/>
    <s v="Rarely"/>
    <s v="Research &amp; Development"/>
    <n v="25"/>
    <s v="Far(&gt;=15)"/>
    <n v="1"/>
    <s v="Not_Satisfied(&lt;3)"/>
    <x v="1"/>
    <n v="2"/>
    <s v="Low"/>
    <n v="1"/>
    <x v="0"/>
    <x v="1"/>
    <n v="2"/>
    <s v="Not_Satisfied(&lt;=2)"/>
    <x v="0"/>
    <n v="4"/>
    <s v="Y"/>
    <x v="0"/>
    <n v="20"/>
    <x v="1"/>
    <n v="5"/>
    <n v="3"/>
    <s v="Good(&gt;=3)"/>
    <n v="2"/>
    <s v="Short(&lt;=4)"/>
    <n v="2"/>
    <x v="0"/>
    <n v="2"/>
    <s v="Reasonable(&lt;=3)"/>
  </r>
  <r>
    <x v="19"/>
    <s v="Middle_Age(30-50)"/>
    <x v="1"/>
    <s v="Rarely"/>
    <s v="Research &amp; Development"/>
    <n v="2"/>
    <s v="Nearby(&lt;=5)"/>
    <n v="4"/>
    <s v="Satisfied(&gt;=3)"/>
    <x v="1"/>
    <n v="3"/>
    <s v="Medium"/>
    <n v="4"/>
    <x v="2"/>
    <x v="5"/>
    <n v="1"/>
    <s v="Not_Satisfied(&lt;=2)"/>
    <x v="1"/>
    <n v="0"/>
    <s v="Y"/>
    <x v="1"/>
    <n v="17"/>
    <x v="0"/>
    <n v="23"/>
    <n v="3"/>
    <s v="Good(&gt;=3)"/>
    <n v="22"/>
    <s v="Ultra_Long(&gt;10)"/>
    <n v="6"/>
    <x v="1"/>
    <n v="13"/>
    <s v="Not_Reasonable(&gt;3)"/>
  </r>
  <r>
    <x v="14"/>
    <s v="Young(&lt;=29)"/>
    <x v="0"/>
    <s v="Frequently"/>
    <s v="Research &amp; Development"/>
    <n v="1"/>
    <s v="Nearby(&lt;=5)"/>
    <n v="1"/>
    <s v="Not_Satisfied(&lt;3)"/>
    <x v="1"/>
    <n v="2"/>
    <s v="Low"/>
    <n v="1"/>
    <x v="0"/>
    <x v="2"/>
    <n v="2"/>
    <s v="Not_Satisfied(&lt;=2)"/>
    <x v="2"/>
    <n v="1"/>
    <s v="Y"/>
    <x v="1"/>
    <n v="15"/>
    <x v="0"/>
    <n v="1"/>
    <n v="3"/>
    <s v="Good(&gt;=3)"/>
    <n v="1"/>
    <s v="Short(&lt;=4)"/>
    <n v="0"/>
    <x v="0"/>
    <n v="0"/>
    <s v="Reasonable(&lt;=3)"/>
  </r>
  <r>
    <x v="24"/>
    <s v="Middle_Age(30-50)"/>
    <x v="0"/>
    <s v="Frequently"/>
    <s v="Sales"/>
    <n v="1"/>
    <s v="Nearby(&lt;=5)"/>
    <n v="4"/>
    <s v="Satisfied(&gt;=3)"/>
    <x v="1"/>
    <n v="3"/>
    <s v="Medium"/>
    <n v="2"/>
    <x v="0"/>
    <x v="0"/>
    <n v="3"/>
    <s v="Satisfied(&gt;=3)"/>
    <x v="0"/>
    <n v="3"/>
    <s v="Y"/>
    <x v="0"/>
    <n v="14"/>
    <x v="0"/>
    <n v="5"/>
    <n v="3"/>
    <s v="Good(&gt;=3)"/>
    <n v="0"/>
    <s v="Short(&lt;=4)"/>
    <n v="0"/>
    <x v="0"/>
    <n v="0"/>
    <s v="Reasonable(&lt;=3)"/>
  </r>
  <r>
    <x v="3"/>
    <s v="Middle_Age(30-50)"/>
    <x v="1"/>
    <s v="Frequently"/>
    <s v="Sales"/>
    <n v="7"/>
    <s v="Middistance(6-14)"/>
    <n v="4"/>
    <s v="Satisfied(&gt;=3)"/>
    <x v="0"/>
    <n v="3"/>
    <s v="Medium"/>
    <n v="2"/>
    <x v="0"/>
    <x v="0"/>
    <n v="2"/>
    <s v="Not_Satisfied(&lt;=2)"/>
    <x v="1"/>
    <n v="0"/>
    <s v="Y"/>
    <x v="1"/>
    <n v="17"/>
    <x v="0"/>
    <n v="4"/>
    <n v="3"/>
    <s v="Good(&gt;=3)"/>
    <n v="3"/>
    <s v="Short(&lt;=4)"/>
    <n v="2"/>
    <x v="0"/>
    <n v="0"/>
    <s v="Reasonable(&lt;=3)"/>
  </r>
  <r>
    <x v="13"/>
    <s v="Middle_Age(30-50)"/>
    <x v="1"/>
    <s v="Rarely"/>
    <s v="Research &amp; Development"/>
    <n v="3"/>
    <s v="Nearby(&lt;=5)"/>
    <n v="3"/>
    <s v="Satisfied(&gt;=3)"/>
    <x v="1"/>
    <n v="2"/>
    <s v="Low"/>
    <n v="1"/>
    <x v="0"/>
    <x v="1"/>
    <n v="4"/>
    <s v="Satisfied(&gt;=3)"/>
    <x v="1"/>
    <n v="3"/>
    <s v="Y"/>
    <x v="1"/>
    <n v="17"/>
    <x v="0"/>
    <n v="6"/>
    <n v="3"/>
    <s v="Good(&gt;=3)"/>
    <n v="0"/>
    <s v="Short(&lt;=4)"/>
    <n v="0"/>
    <x v="0"/>
    <n v="0"/>
    <s v="Reasonable(&lt;=3)"/>
  </r>
  <r>
    <x v="26"/>
    <s v="Middle_Age(30-50)"/>
    <x v="1"/>
    <s v="Rarely"/>
    <s v="Research &amp; Development"/>
    <n v="1"/>
    <s v="Nearby(&lt;=5)"/>
    <n v="1"/>
    <s v="Not_Satisfied(&lt;3)"/>
    <x v="1"/>
    <n v="4"/>
    <s v="High"/>
    <n v="4"/>
    <x v="2"/>
    <x v="5"/>
    <n v="4"/>
    <s v="Satisfied(&gt;=3)"/>
    <x v="0"/>
    <n v="2"/>
    <s v="Y"/>
    <x v="1"/>
    <n v="22"/>
    <x v="1"/>
    <n v="27"/>
    <n v="2"/>
    <s v="Poor(&lt;=2)"/>
    <n v="5"/>
    <s v="Long(5-10)"/>
    <n v="4"/>
    <x v="0"/>
    <n v="2"/>
    <s v="Reasonable(&lt;=3)"/>
  </r>
  <r>
    <x v="28"/>
    <s v="Middle_Age(30-50)"/>
    <x v="1"/>
    <s v="Rarely"/>
    <s v="Sales"/>
    <n v="9"/>
    <s v="Middistance(6-14)"/>
    <n v="2"/>
    <s v="Not_Satisfied(&lt;3)"/>
    <x v="0"/>
    <n v="2"/>
    <s v="Low"/>
    <n v="2"/>
    <x v="0"/>
    <x v="0"/>
    <n v="3"/>
    <s v="Satisfied(&gt;=3)"/>
    <x v="1"/>
    <n v="1"/>
    <s v="Y"/>
    <x v="1"/>
    <n v="13"/>
    <x v="0"/>
    <n v="15"/>
    <n v="3"/>
    <s v="Good(&gt;=3)"/>
    <n v="15"/>
    <s v="Ultra_Long(&gt;10)"/>
    <n v="10"/>
    <x v="1"/>
    <n v="4"/>
    <s v="Not_Reasonable(&gt;3)"/>
  </r>
  <r>
    <x v="39"/>
    <s v="Old(&gt;50)"/>
    <x v="1"/>
    <s v="Rarely"/>
    <s v="Research &amp; Development"/>
    <n v="7"/>
    <s v="Middistance(6-14)"/>
    <n v="2"/>
    <s v="Not_Satisfied(&lt;3)"/>
    <x v="1"/>
    <n v="3"/>
    <s v="Medium"/>
    <n v="3"/>
    <x v="1"/>
    <x v="4"/>
    <n v="2"/>
    <s v="Not_Satisfied(&lt;=2)"/>
    <x v="0"/>
    <n v="7"/>
    <s v="Y"/>
    <x v="1"/>
    <n v="19"/>
    <x v="0"/>
    <n v="18"/>
    <n v="3"/>
    <s v="Good(&gt;=3)"/>
    <n v="8"/>
    <s v="Long(5-10)"/>
    <n v="6"/>
    <x v="1"/>
    <n v="4"/>
    <s v="Not_Reasonable(&gt;3)"/>
  </r>
  <r>
    <x v="8"/>
    <s v="Middle_Age(30-50)"/>
    <x v="1"/>
    <s v="Rarely"/>
    <s v="Sales"/>
    <n v="10"/>
    <s v="Middistance(6-14)"/>
    <n v="3"/>
    <s v="Satisfied(&gt;=3)"/>
    <x v="1"/>
    <n v="2"/>
    <s v="Low"/>
    <n v="3"/>
    <x v="1"/>
    <x v="0"/>
    <n v="3"/>
    <s v="Satisfied(&gt;=3)"/>
    <x v="2"/>
    <n v="0"/>
    <s v="Y"/>
    <x v="0"/>
    <n v="14"/>
    <x v="0"/>
    <n v="9"/>
    <n v="3"/>
    <s v="Good(&gt;=3)"/>
    <n v="8"/>
    <s v="Long(5-10)"/>
    <n v="7"/>
    <x v="1"/>
    <n v="2"/>
    <s v="Reasonable(&lt;=3)"/>
  </r>
  <r>
    <x v="11"/>
    <s v="Young(&lt;=29)"/>
    <x v="1"/>
    <s v="Rarely"/>
    <s v="Research &amp; Development"/>
    <n v="28"/>
    <s v="Far(&gt;=15)"/>
    <n v="3"/>
    <s v="Satisfied(&gt;=3)"/>
    <x v="0"/>
    <n v="3"/>
    <s v="Medium"/>
    <n v="1"/>
    <x v="0"/>
    <x v="1"/>
    <n v="4"/>
    <s v="Satisfied(&gt;=3)"/>
    <x v="2"/>
    <n v="4"/>
    <s v="Y"/>
    <x v="1"/>
    <n v="22"/>
    <x v="1"/>
    <n v="11"/>
    <n v="3"/>
    <s v="Good(&gt;=3)"/>
    <n v="7"/>
    <s v="Long(5-10)"/>
    <n v="5"/>
    <x v="1"/>
    <n v="1"/>
    <s v="Reasonable(&lt;=3)"/>
  </r>
  <r>
    <x v="14"/>
    <s v="Young(&lt;=29)"/>
    <x v="1"/>
    <s v="Rarely"/>
    <s v="Research &amp; Development"/>
    <n v="3"/>
    <s v="Nearby(&lt;=5)"/>
    <n v="4"/>
    <s v="Satisfied(&gt;=3)"/>
    <x v="0"/>
    <n v="3"/>
    <s v="Medium"/>
    <n v="3"/>
    <x v="1"/>
    <x v="3"/>
    <n v="2"/>
    <s v="Not_Satisfied(&lt;=2)"/>
    <x v="2"/>
    <n v="0"/>
    <s v="Y"/>
    <x v="1"/>
    <n v="17"/>
    <x v="0"/>
    <n v="10"/>
    <n v="2"/>
    <s v="Poor(&lt;=2)"/>
    <n v="9"/>
    <s v="Long(5-10)"/>
    <n v="7"/>
    <x v="1"/>
    <n v="1"/>
    <s v="Reasonable(&lt;=3)"/>
  </r>
  <r>
    <x v="21"/>
    <s v="Middle_Age(30-50)"/>
    <x v="1"/>
    <s v="Rarely"/>
    <s v="Sales"/>
    <n v="3"/>
    <s v="Nearby(&lt;=5)"/>
    <n v="1"/>
    <s v="Not_Satisfied(&lt;3)"/>
    <x v="1"/>
    <n v="3"/>
    <s v="Medium"/>
    <n v="4"/>
    <x v="2"/>
    <x v="5"/>
    <n v="3"/>
    <s v="Satisfied(&gt;=3)"/>
    <x v="1"/>
    <n v="3"/>
    <s v="Y"/>
    <x v="1"/>
    <n v="12"/>
    <x v="0"/>
    <n v="23"/>
    <n v="3"/>
    <s v="Good(&gt;=3)"/>
    <n v="12"/>
    <s v="Ultra_Long(&gt;10)"/>
    <n v="9"/>
    <x v="1"/>
    <n v="4"/>
    <s v="Not_Reasonable(&gt;3)"/>
  </r>
  <r>
    <x v="8"/>
    <s v="Middle_Age(30-50)"/>
    <x v="1"/>
    <s v="Rarely"/>
    <s v="Sales"/>
    <n v="2"/>
    <s v="Nearby(&lt;=5)"/>
    <n v="4"/>
    <s v="Satisfied(&gt;=3)"/>
    <x v="1"/>
    <n v="3"/>
    <s v="Medium"/>
    <n v="3"/>
    <x v="1"/>
    <x v="0"/>
    <n v="2"/>
    <s v="Not_Satisfied(&lt;=2)"/>
    <x v="0"/>
    <n v="7"/>
    <s v="Y"/>
    <x v="1"/>
    <n v="16"/>
    <x v="0"/>
    <n v="10"/>
    <n v="3"/>
    <s v="Good(&gt;=3)"/>
    <n v="1"/>
    <s v="Short(&lt;=4)"/>
    <n v="0"/>
    <x v="0"/>
    <n v="0"/>
    <s v="Reasonable(&lt;=3)"/>
  </r>
  <r>
    <x v="23"/>
    <s v="Middle_Age(30-50)"/>
    <x v="1"/>
    <s v="Frequently"/>
    <s v="Research &amp; Development"/>
    <n v="27"/>
    <s v="Far(&gt;=15)"/>
    <n v="3"/>
    <s v="Satisfied(&gt;=3)"/>
    <x v="0"/>
    <n v="3"/>
    <s v="Medium"/>
    <n v="3"/>
    <x v="1"/>
    <x v="3"/>
    <n v="1"/>
    <s v="Not_Satisfied(&lt;=2)"/>
    <x v="1"/>
    <n v="8"/>
    <s v="Y"/>
    <x v="1"/>
    <n v="11"/>
    <x v="0"/>
    <n v="18"/>
    <n v="3"/>
    <s v="Good(&gt;=3)"/>
    <n v="8"/>
    <s v="Long(5-10)"/>
    <n v="7"/>
    <x v="1"/>
    <n v="0"/>
    <s v="Reasonable(&lt;=3)"/>
  </r>
  <r>
    <x v="22"/>
    <s v="Middle_Age(30-50)"/>
    <x v="0"/>
    <s v="Frequently"/>
    <s v="Research &amp; Development"/>
    <n v="2"/>
    <s v="Nearby(&lt;=5)"/>
    <n v="1"/>
    <s v="Not_Satisfied(&lt;3)"/>
    <x v="1"/>
    <n v="3"/>
    <s v="Medium"/>
    <n v="4"/>
    <x v="2"/>
    <x v="4"/>
    <n v="4"/>
    <s v="Satisfied(&gt;=3)"/>
    <x v="2"/>
    <n v="7"/>
    <s v="Y"/>
    <x v="1"/>
    <n v="11"/>
    <x v="0"/>
    <n v="21"/>
    <n v="3"/>
    <s v="Good(&gt;=3)"/>
    <n v="18"/>
    <s v="Ultra_Long(&gt;10)"/>
    <n v="7"/>
    <x v="1"/>
    <n v="11"/>
    <s v="Not_Reasonable(&gt;3)"/>
  </r>
  <r>
    <x v="32"/>
    <s v="Middle_Age(30-50)"/>
    <x v="1"/>
    <s v="Rarely"/>
    <s v="Research &amp; Development"/>
    <n v="14"/>
    <s v="Middistance(6-14)"/>
    <n v="3"/>
    <s v="Satisfied(&gt;=3)"/>
    <x v="1"/>
    <n v="2"/>
    <s v="Low"/>
    <n v="5"/>
    <x v="2"/>
    <x v="7"/>
    <n v="3"/>
    <s v="Satisfied(&gt;=3)"/>
    <x v="0"/>
    <n v="1"/>
    <s v="Y"/>
    <x v="1"/>
    <n v="14"/>
    <x v="0"/>
    <n v="21"/>
    <n v="4"/>
    <s v="Good(&gt;=3)"/>
    <n v="20"/>
    <s v="Ultra_Long(&gt;10)"/>
    <n v="7"/>
    <x v="1"/>
    <n v="4"/>
    <s v="Not_Reasonable(&gt;3)"/>
  </r>
  <r>
    <x v="18"/>
    <s v="Young(&lt;=29)"/>
    <x v="1"/>
    <s v="Rarely"/>
    <s v="Research &amp; Development"/>
    <n v="1"/>
    <s v="Nearby(&lt;=5)"/>
    <n v="4"/>
    <s v="Satisfied(&gt;=3)"/>
    <x v="0"/>
    <n v="2"/>
    <s v="Low"/>
    <n v="1"/>
    <x v="0"/>
    <x v="1"/>
    <n v="2"/>
    <s v="Not_Satisfied(&lt;=2)"/>
    <x v="0"/>
    <n v="1"/>
    <s v="Y"/>
    <x v="0"/>
    <n v="11"/>
    <x v="0"/>
    <n v="2"/>
    <n v="4"/>
    <s v="Good(&gt;=3)"/>
    <n v="2"/>
    <s v="Short(&lt;=4)"/>
    <n v="2"/>
    <x v="0"/>
    <n v="2"/>
    <s v="Reasonable(&lt;=3)"/>
  </r>
  <r>
    <x v="22"/>
    <s v="Middle_Age(30-50)"/>
    <x v="1"/>
    <s v="Rarely"/>
    <s v="Research &amp; Development"/>
    <n v="9"/>
    <s v="Middistance(6-14)"/>
    <n v="3"/>
    <s v="Satisfied(&gt;=3)"/>
    <x v="1"/>
    <n v="3"/>
    <s v="Medium"/>
    <n v="2"/>
    <x v="0"/>
    <x v="2"/>
    <n v="2"/>
    <s v="Not_Satisfied(&lt;=2)"/>
    <x v="0"/>
    <n v="9"/>
    <s v="Y"/>
    <x v="1"/>
    <n v="15"/>
    <x v="0"/>
    <n v="9"/>
    <n v="2"/>
    <s v="Poor(&lt;=2)"/>
    <n v="5"/>
    <s v="Long(5-10)"/>
    <n v="4"/>
    <x v="0"/>
    <n v="0"/>
    <s v="Reasonable(&lt;=3)"/>
  </r>
  <r>
    <x v="9"/>
    <s v="Middle_Age(30-50)"/>
    <x v="1"/>
    <s v="Rarely"/>
    <s v="Research &amp; Development"/>
    <n v="18"/>
    <s v="Far(&gt;=15)"/>
    <n v="1"/>
    <s v="Not_Satisfied(&lt;3)"/>
    <x v="1"/>
    <n v="3"/>
    <s v="Medium"/>
    <n v="2"/>
    <x v="0"/>
    <x v="3"/>
    <n v="4"/>
    <s v="Satisfied(&gt;=3)"/>
    <x v="0"/>
    <n v="2"/>
    <s v="Y"/>
    <x v="1"/>
    <n v="20"/>
    <x v="1"/>
    <n v="18"/>
    <n v="3"/>
    <s v="Good(&gt;=3)"/>
    <n v="11"/>
    <s v="Ultra_Long(&gt;10)"/>
    <n v="9"/>
    <x v="1"/>
    <n v="0"/>
    <s v="Reasonable(&lt;=3)"/>
  </r>
  <r>
    <x v="12"/>
    <s v="Middle_Age(30-50)"/>
    <x v="1"/>
    <s v="Frequently"/>
    <s v="Sales"/>
    <n v="20"/>
    <s v="Far(&gt;=15)"/>
    <n v="3"/>
    <s v="Satisfied(&gt;=3)"/>
    <x v="1"/>
    <n v="4"/>
    <s v="High"/>
    <n v="1"/>
    <x v="0"/>
    <x v="6"/>
    <n v="4"/>
    <s v="Satisfied(&gt;=3)"/>
    <x v="1"/>
    <n v="0"/>
    <s v="Y"/>
    <x v="1"/>
    <n v="12"/>
    <x v="0"/>
    <n v="3"/>
    <n v="3"/>
    <s v="Good(&gt;=3)"/>
    <n v="2"/>
    <s v="Short(&lt;=4)"/>
    <n v="2"/>
    <x v="0"/>
    <n v="2"/>
    <s v="Reasonable(&lt;=3)"/>
  </r>
  <r>
    <x v="14"/>
    <s v="Young(&lt;=29)"/>
    <x v="1"/>
    <s v="Rarely"/>
    <s v="Research &amp; Development"/>
    <n v="2"/>
    <s v="Nearby(&lt;=5)"/>
    <n v="1"/>
    <s v="Not_Satisfied(&lt;3)"/>
    <x v="1"/>
    <n v="2"/>
    <s v="Low"/>
    <n v="1"/>
    <x v="0"/>
    <x v="1"/>
    <n v="2"/>
    <s v="Not_Satisfied(&lt;=2)"/>
    <x v="1"/>
    <n v="0"/>
    <s v="Y"/>
    <x v="1"/>
    <n v="17"/>
    <x v="0"/>
    <n v="6"/>
    <n v="1"/>
    <s v="Poor(&lt;=2)"/>
    <n v="5"/>
    <s v="Long(5-10)"/>
    <n v="3"/>
    <x v="0"/>
    <n v="0"/>
    <s v="Reasonable(&lt;=3)"/>
  </r>
  <r>
    <x v="10"/>
    <s v="Middle_Age(30-50)"/>
    <x v="1"/>
    <s v="Frequently"/>
    <s v="Sales"/>
    <n v="11"/>
    <s v="Middistance(6-14)"/>
    <n v="4"/>
    <s v="Satisfied(&gt;=3)"/>
    <x v="1"/>
    <n v="3"/>
    <s v="Medium"/>
    <n v="2"/>
    <x v="0"/>
    <x v="0"/>
    <n v="4"/>
    <s v="Satisfied(&gt;=3)"/>
    <x v="2"/>
    <n v="1"/>
    <s v="Y"/>
    <x v="1"/>
    <n v="11"/>
    <x v="0"/>
    <n v="5"/>
    <n v="3"/>
    <s v="Good(&gt;=3)"/>
    <n v="5"/>
    <s v="Long(5-10)"/>
    <n v="2"/>
    <x v="0"/>
    <n v="0"/>
    <s v="Reasonable(&lt;=3)"/>
  </r>
  <r>
    <x v="1"/>
    <s v="Middle_Age(30-50)"/>
    <x v="1"/>
    <s v="Rarely"/>
    <s v="Sales"/>
    <n v="8"/>
    <s v="Middistance(6-14)"/>
    <n v="4"/>
    <s v="Satisfied(&gt;=3)"/>
    <x v="1"/>
    <n v="2"/>
    <s v="Low"/>
    <n v="4"/>
    <x v="2"/>
    <x v="0"/>
    <n v="2"/>
    <s v="Not_Satisfied(&lt;=2)"/>
    <x v="1"/>
    <n v="6"/>
    <s v="Y"/>
    <x v="1"/>
    <n v="17"/>
    <x v="0"/>
    <n v="22"/>
    <n v="3"/>
    <s v="Good(&gt;=3)"/>
    <n v="9"/>
    <s v="Long(5-10)"/>
    <n v="8"/>
    <x v="1"/>
    <n v="2"/>
    <s v="Reasonable(&lt;=3)"/>
  </r>
  <r>
    <x v="13"/>
    <s v="Middle_Age(30-50)"/>
    <x v="1"/>
    <s v="Frequently"/>
    <s v="Research &amp; Development"/>
    <n v="2"/>
    <s v="Nearby(&lt;=5)"/>
    <n v="4"/>
    <s v="Satisfied(&gt;=3)"/>
    <x v="1"/>
    <n v="3"/>
    <s v="Medium"/>
    <n v="2"/>
    <x v="0"/>
    <x v="3"/>
    <n v="3"/>
    <s v="Satisfied(&gt;=3)"/>
    <x v="0"/>
    <n v="2"/>
    <s v="Y"/>
    <x v="1"/>
    <n v="11"/>
    <x v="0"/>
    <n v="5"/>
    <n v="2"/>
    <s v="Poor(&lt;=2)"/>
    <n v="3"/>
    <s v="Short(&lt;=4)"/>
    <n v="2"/>
    <x v="0"/>
    <n v="0"/>
    <s v="Reasonable(&lt;=3)"/>
  </r>
  <r>
    <x v="11"/>
    <s v="Young(&lt;=29)"/>
    <x v="1"/>
    <s v="Frequently"/>
    <s v="Research &amp; Development"/>
    <n v="10"/>
    <s v="Middistance(6-14)"/>
    <n v="4"/>
    <s v="Satisfied(&gt;=3)"/>
    <x v="0"/>
    <n v="3"/>
    <s v="Medium"/>
    <n v="1"/>
    <x v="0"/>
    <x v="1"/>
    <n v="2"/>
    <s v="Not_Satisfied(&lt;=2)"/>
    <x v="2"/>
    <n v="0"/>
    <s v="Y"/>
    <x v="1"/>
    <n v="14"/>
    <x v="0"/>
    <n v="8"/>
    <n v="2"/>
    <s v="Poor(&lt;=2)"/>
    <n v="7"/>
    <s v="Long(5-10)"/>
    <n v="5"/>
    <x v="1"/>
    <n v="1"/>
    <s v="Reasonable(&lt;=3)"/>
  </r>
  <r>
    <x v="19"/>
    <s v="Middle_Age(30-50)"/>
    <x v="1"/>
    <s v="Rarely"/>
    <s v="Research &amp; Development"/>
    <n v="29"/>
    <s v="Far(&gt;=15)"/>
    <n v="2"/>
    <s v="Not_Satisfied(&lt;3)"/>
    <x v="1"/>
    <n v="1"/>
    <s v="Low"/>
    <n v="2"/>
    <x v="0"/>
    <x v="2"/>
    <n v="4"/>
    <s v="Satisfied(&gt;=3)"/>
    <x v="0"/>
    <n v="4"/>
    <s v="Y"/>
    <x v="1"/>
    <n v="19"/>
    <x v="0"/>
    <n v="16"/>
    <n v="3"/>
    <s v="Good(&gt;=3)"/>
    <n v="1"/>
    <s v="Short(&lt;=4)"/>
    <n v="0"/>
    <x v="0"/>
    <n v="0"/>
    <s v="Reasonable(&lt;=3)"/>
  </r>
  <r>
    <x v="11"/>
    <s v="Young(&lt;=29)"/>
    <x v="1"/>
    <s v="Rarely"/>
    <s v="Research &amp; Development"/>
    <n v="8"/>
    <s v="Middistance(6-14)"/>
    <n v="2"/>
    <s v="Not_Satisfied(&lt;3)"/>
    <x v="1"/>
    <n v="2"/>
    <s v="Low"/>
    <n v="2"/>
    <x v="0"/>
    <x v="3"/>
    <n v="4"/>
    <s v="Satisfied(&gt;=3)"/>
    <x v="1"/>
    <n v="1"/>
    <s v="Y"/>
    <x v="0"/>
    <n v="15"/>
    <x v="0"/>
    <n v="10"/>
    <n v="2"/>
    <s v="Poor(&lt;=2)"/>
    <n v="10"/>
    <s v="Long(5-10)"/>
    <n v="7"/>
    <x v="1"/>
    <n v="1"/>
    <s v="Reasonable(&lt;=3)"/>
  </r>
  <r>
    <x v="8"/>
    <s v="Middle_Age(30-50)"/>
    <x v="1"/>
    <s v="Rarely"/>
    <s v="Human Resources"/>
    <n v="1"/>
    <s v="Nearby(&lt;=5)"/>
    <n v="3"/>
    <s v="Satisfied(&gt;=3)"/>
    <x v="1"/>
    <n v="4"/>
    <s v="High"/>
    <n v="1"/>
    <x v="0"/>
    <x v="8"/>
    <n v="3"/>
    <s v="Satisfied(&gt;=3)"/>
    <x v="1"/>
    <n v="1"/>
    <s v="Y"/>
    <x v="1"/>
    <n v="13"/>
    <x v="0"/>
    <n v="7"/>
    <n v="4"/>
    <s v="Good(&gt;=3)"/>
    <n v="7"/>
    <s v="Long(5-10)"/>
    <n v="6"/>
    <x v="1"/>
    <n v="5"/>
    <s v="Not_Reasonable(&gt;3)"/>
  </r>
  <r>
    <x v="14"/>
    <s v="Young(&lt;=29)"/>
    <x v="1"/>
    <s v="Frequently"/>
    <s v="Research &amp; Development"/>
    <n v="6"/>
    <s v="Middistance(6-14)"/>
    <n v="3"/>
    <s v="Satisfied(&gt;=3)"/>
    <x v="1"/>
    <n v="2"/>
    <s v="Low"/>
    <n v="1"/>
    <x v="0"/>
    <x v="1"/>
    <n v="3"/>
    <s v="Satisfied(&gt;=3)"/>
    <x v="2"/>
    <n v="1"/>
    <s v="Y"/>
    <x v="0"/>
    <n v="14"/>
    <x v="0"/>
    <n v="3"/>
    <n v="3"/>
    <s v="Good(&gt;=3)"/>
    <n v="3"/>
    <s v="Short(&lt;=4)"/>
    <n v="1"/>
    <x v="0"/>
    <n v="0"/>
    <s v="Reasonable(&lt;=3)"/>
  </r>
  <r>
    <x v="41"/>
    <s v="Young(&lt;=29)"/>
    <x v="0"/>
    <s v="Rarely"/>
    <s v="Research &amp; Development"/>
    <n v="8"/>
    <s v="Middistance(6-14)"/>
    <n v="3"/>
    <s v="Satisfied(&gt;=3)"/>
    <x v="1"/>
    <n v="3"/>
    <s v="Medium"/>
    <n v="1"/>
    <x v="0"/>
    <x v="2"/>
    <n v="3"/>
    <s v="Satisfied(&gt;=3)"/>
    <x v="0"/>
    <n v="1"/>
    <s v="Y"/>
    <x v="1"/>
    <n v="12"/>
    <x v="0"/>
    <n v="0"/>
    <n v="3"/>
    <s v="Good(&gt;=3)"/>
    <n v="0"/>
    <s v="Short(&lt;=4)"/>
    <n v="0"/>
    <x v="0"/>
    <n v="0"/>
    <s v="Reasonable(&lt;=3)"/>
  </r>
  <r>
    <x v="3"/>
    <s v="Middle_Age(30-50)"/>
    <x v="0"/>
    <s v="Rarely"/>
    <s v="Sales"/>
    <n v="9"/>
    <s v="Middistance(6-14)"/>
    <n v="1"/>
    <s v="Not_Satisfied(&lt;3)"/>
    <x v="0"/>
    <n v="3"/>
    <s v="Medium"/>
    <n v="2"/>
    <x v="0"/>
    <x v="0"/>
    <n v="1"/>
    <s v="Not_Satisfied(&lt;=2)"/>
    <x v="0"/>
    <n v="0"/>
    <s v="Y"/>
    <x v="0"/>
    <n v="17"/>
    <x v="0"/>
    <n v="6"/>
    <n v="3"/>
    <s v="Good(&gt;=3)"/>
    <n v="5"/>
    <s v="Long(5-10)"/>
    <n v="2"/>
    <x v="0"/>
    <n v="0"/>
    <s v="Reasonable(&lt;=3)"/>
  </r>
  <r>
    <x v="0"/>
    <s v="Middle_Age(30-50)"/>
    <x v="1"/>
    <s v="Rarely"/>
    <s v="Research &amp; Development"/>
    <n v="12"/>
    <s v="Middistance(6-14)"/>
    <n v="2"/>
    <s v="Not_Satisfied(&lt;3)"/>
    <x v="1"/>
    <n v="3"/>
    <s v="Medium"/>
    <n v="1"/>
    <x v="0"/>
    <x v="2"/>
    <n v="4"/>
    <s v="Satisfied(&gt;=3)"/>
    <x v="1"/>
    <n v="3"/>
    <s v="Y"/>
    <x v="0"/>
    <n v="11"/>
    <x v="0"/>
    <n v="6"/>
    <n v="3"/>
    <s v="Good(&gt;=3)"/>
    <n v="1"/>
    <s v="Short(&lt;=4)"/>
    <n v="0"/>
    <x v="0"/>
    <n v="0"/>
    <s v="Reasonable(&lt;=3)"/>
  </r>
  <r>
    <x v="12"/>
    <s v="Middle_Age(30-50)"/>
    <x v="0"/>
    <s v="Frequently"/>
    <s v="Research &amp; Development"/>
    <n v="15"/>
    <s v="Far(&gt;=15)"/>
    <n v="3"/>
    <s v="Satisfied(&gt;=3)"/>
    <x v="1"/>
    <n v="3"/>
    <s v="Medium"/>
    <n v="1"/>
    <x v="0"/>
    <x v="2"/>
    <n v="3"/>
    <s v="Satisfied(&gt;=3)"/>
    <x v="1"/>
    <n v="1"/>
    <s v="Y"/>
    <x v="1"/>
    <n v="12"/>
    <x v="0"/>
    <n v="2"/>
    <n v="2"/>
    <s v="Poor(&lt;=2)"/>
    <n v="2"/>
    <s v="Short(&lt;=4)"/>
    <n v="2"/>
    <x v="0"/>
    <n v="2"/>
    <s v="Reasonable(&lt;=3)"/>
  </r>
  <r>
    <x v="2"/>
    <s v="Middle_Age(30-50)"/>
    <x v="1"/>
    <s v="Rarely"/>
    <s v="Research &amp; Development"/>
    <n v="25"/>
    <s v="Far(&gt;=15)"/>
    <n v="3"/>
    <s v="Satisfied(&gt;=3)"/>
    <x v="0"/>
    <n v="2"/>
    <s v="Low"/>
    <n v="2"/>
    <x v="0"/>
    <x v="4"/>
    <n v="4"/>
    <s v="Satisfied(&gt;=3)"/>
    <x v="2"/>
    <n v="7"/>
    <s v="Y"/>
    <x v="1"/>
    <n v="13"/>
    <x v="0"/>
    <n v="9"/>
    <n v="3"/>
    <s v="Good(&gt;=3)"/>
    <n v="6"/>
    <s v="Long(5-10)"/>
    <n v="2"/>
    <x v="0"/>
    <n v="1"/>
    <s v="Reasonable(&lt;=3)"/>
  </r>
  <r>
    <x v="4"/>
    <s v="Young(&lt;=29)"/>
    <x v="1"/>
    <s v="Rarely"/>
    <s v="Research &amp; Development"/>
    <n v="6"/>
    <s v="Middistance(6-14)"/>
    <n v="4"/>
    <s v="Satisfied(&gt;=3)"/>
    <x v="1"/>
    <n v="2"/>
    <s v="Low"/>
    <n v="1"/>
    <x v="0"/>
    <x v="1"/>
    <n v="3"/>
    <s v="Satisfied(&gt;=3)"/>
    <x v="1"/>
    <n v="1"/>
    <s v="Y"/>
    <x v="1"/>
    <n v="13"/>
    <x v="0"/>
    <n v="4"/>
    <n v="3"/>
    <s v="Good(&gt;=3)"/>
    <n v="4"/>
    <s v="Short(&lt;=4)"/>
    <n v="2"/>
    <x v="0"/>
    <n v="2"/>
    <s v="Reasonable(&lt;=3)"/>
  </r>
  <r>
    <x v="13"/>
    <s v="Middle_Age(30-50)"/>
    <x v="1"/>
    <s v="Rarely"/>
    <s v="Sales"/>
    <n v="9"/>
    <s v="Middistance(6-14)"/>
    <n v="2"/>
    <s v="Not_Satisfied(&lt;3)"/>
    <x v="0"/>
    <n v="3"/>
    <s v="Medium"/>
    <n v="2"/>
    <x v="0"/>
    <x v="0"/>
    <n v="3"/>
    <s v="Satisfied(&gt;=3)"/>
    <x v="1"/>
    <n v="1"/>
    <s v="Y"/>
    <x v="1"/>
    <n v="20"/>
    <x v="1"/>
    <n v="6"/>
    <n v="2"/>
    <s v="Poor(&lt;=2)"/>
    <n v="6"/>
    <s v="Long(5-10)"/>
    <n v="5"/>
    <x v="1"/>
    <n v="1"/>
    <s v="Reasonable(&lt;=3)"/>
  </r>
  <r>
    <x v="10"/>
    <s v="Middle_Age(30-50)"/>
    <x v="1"/>
    <s v="Rarely"/>
    <s v="Human Resources"/>
    <n v="8"/>
    <s v="Middistance(6-14)"/>
    <n v="3"/>
    <s v="Satisfied(&gt;=3)"/>
    <x v="1"/>
    <n v="3"/>
    <s v="Medium"/>
    <n v="1"/>
    <x v="0"/>
    <x v="8"/>
    <n v="3"/>
    <s v="Satisfied(&gt;=3)"/>
    <x v="0"/>
    <n v="1"/>
    <s v="Y"/>
    <x v="1"/>
    <n v="17"/>
    <x v="0"/>
    <n v="6"/>
    <n v="1"/>
    <s v="Poor(&lt;=2)"/>
    <n v="5"/>
    <s v="Long(5-10)"/>
    <n v="4"/>
    <x v="0"/>
    <n v="1"/>
    <s v="Reasonable(&lt;=3)"/>
  </r>
  <r>
    <x v="11"/>
    <s v="Young(&lt;=29)"/>
    <x v="0"/>
    <s v="Rarely"/>
    <s v="Sales"/>
    <n v="23"/>
    <s v="Far(&gt;=15)"/>
    <n v="4"/>
    <s v="Satisfied(&gt;=3)"/>
    <x v="0"/>
    <n v="2"/>
    <s v="Low"/>
    <n v="3"/>
    <x v="1"/>
    <x v="0"/>
    <n v="1"/>
    <s v="Not_Satisfied(&lt;=2)"/>
    <x v="1"/>
    <n v="1"/>
    <s v="Y"/>
    <x v="1"/>
    <n v="13"/>
    <x v="0"/>
    <n v="11"/>
    <n v="1"/>
    <s v="Poor(&lt;=2)"/>
    <n v="11"/>
    <s v="Ultra_Long(&gt;10)"/>
    <n v="8"/>
    <x v="1"/>
    <n v="3"/>
    <s v="Reasonable(&lt;=3)"/>
  </r>
  <r>
    <x v="32"/>
    <s v="Middle_Age(30-50)"/>
    <x v="1"/>
    <s v="Frequently"/>
    <s v="Research &amp; Development"/>
    <n v="9"/>
    <s v="Middistance(6-14)"/>
    <n v="2"/>
    <s v="Not_Satisfied(&lt;3)"/>
    <x v="0"/>
    <n v="3"/>
    <s v="Medium"/>
    <n v="3"/>
    <x v="1"/>
    <x v="7"/>
    <n v="3"/>
    <s v="Satisfied(&gt;=3)"/>
    <x v="0"/>
    <n v="9"/>
    <s v="Y"/>
    <x v="1"/>
    <n v="17"/>
    <x v="0"/>
    <n v="20"/>
    <n v="2"/>
    <s v="Poor(&lt;=2)"/>
    <n v="18"/>
    <s v="Ultra_Long(&gt;10)"/>
    <n v="7"/>
    <x v="1"/>
    <n v="2"/>
    <s v="Reasonable(&lt;=3)"/>
  </r>
  <r>
    <x v="19"/>
    <s v="Middle_Age(30-50)"/>
    <x v="0"/>
    <s v="Frequently"/>
    <s v="Sales"/>
    <n v="12"/>
    <s v="Middistance(6-14)"/>
    <n v="3"/>
    <s v="Satisfied(&gt;=3)"/>
    <x v="1"/>
    <n v="3"/>
    <s v="Medium"/>
    <n v="4"/>
    <x v="2"/>
    <x v="0"/>
    <n v="1"/>
    <s v="Not_Satisfied(&lt;=2)"/>
    <x v="0"/>
    <n v="0"/>
    <s v="Y"/>
    <x v="0"/>
    <n v="12"/>
    <x v="0"/>
    <n v="22"/>
    <n v="2"/>
    <s v="Poor(&lt;=2)"/>
    <n v="21"/>
    <s v="Ultra_Long(&gt;10)"/>
    <n v="9"/>
    <x v="1"/>
    <n v="13"/>
    <s v="Not_Reasonable(&gt;3)"/>
  </r>
  <r>
    <x v="19"/>
    <s v="Middle_Age(30-50)"/>
    <x v="1"/>
    <s v="Rarely"/>
    <s v="Sales"/>
    <n v="4"/>
    <s v="Nearby(&lt;=5)"/>
    <n v="2"/>
    <s v="Not_Satisfied(&lt;3)"/>
    <x v="1"/>
    <n v="3"/>
    <s v="Medium"/>
    <n v="2"/>
    <x v="0"/>
    <x v="0"/>
    <n v="1"/>
    <s v="Not_Satisfied(&lt;=2)"/>
    <x v="0"/>
    <n v="7"/>
    <s v="Y"/>
    <x v="1"/>
    <n v="13"/>
    <x v="0"/>
    <n v="9"/>
    <n v="4"/>
    <s v="Good(&gt;=3)"/>
    <n v="6"/>
    <s v="Long(5-10)"/>
    <n v="4"/>
    <x v="0"/>
    <n v="1"/>
    <s v="Reasonable(&lt;=3)"/>
  </r>
  <r>
    <x v="10"/>
    <s v="Middle_Age(30-50)"/>
    <x v="1"/>
    <s v="Rarely"/>
    <s v="Research &amp; Development"/>
    <n v="1"/>
    <s v="Nearby(&lt;=5)"/>
    <n v="4"/>
    <s v="Satisfied(&gt;=3)"/>
    <x v="1"/>
    <n v="2"/>
    <s v="Low"/>
    <n v="1"/>
    <x v="0"/>
    <x v="2"/>
    <n v="3"/>
    <s v="Satisfied(&gt;=3)"/>
    <x v="1"/>
    <n v="6"/>
    <s v="Y"/>
    <x v="1"/>
    <n v="12"/>
    <x v="0"/>
    <n v="10"/>
    <n v="3"/>
    <s v="Good(&gt;=3)"/>
    <n v="8"/>
    <s v="Long(5-10)"/>
    <n v="0"/>
    <x v="0"/>
    <n v="1"/>
    <s v="Reasonable(&lt;=3)"/>
  </r>
  <r>
    <x v="17"/>
    <s v="Young(&lt;=29)"/>
    <x v="1"/>
    <s v="Rarely"/>
    <s v="Research &amp; Development"/>
    <n v="24"/>
    <s v="Far(&gt;=15)"/>
    <n v="4"/>
    <s v="Satisfied(&gt;=3)"/>
    <x v="1"/>
    <n v="3"/>
    <s v="Medium"/>
    <n v="1"/>
    <x v="0"/>
    <x v="2"/>
    <n v="2"/>
    <s v="Not_Satisfied(&lt;=2)"/>
    <x v="0"/>
    <n v="8"/>
    <s v="Y"/>
    <x v="1"/>
    <n v="22"/>
    <x v="1"/>
    <n v="6"/>
    <n v="3"/>
    <s v="Good(&gt;=3)"/>
    <n v="4"/>
    <s v="Short(&lt;=4)"/>
    <n v="3"/>
    <x v="0"/>
    <n v="1"/>
    <s v="Reasonable(&lt;=3)"/>
  </r>
  <r>
    <x v="14"/>
    <s v="Young(&lt;=29)"/>
    <x v="0"/>
    <s v="Rarely"/>
    <s v="Research &amp; Development"/>
    <n v="12"/>
    <s v="Middistance(6-14)"/>
    <n v="3"/>
    <s v="Satisfied(&gt;=3)"/>
    <x v="0"/>
    <n v="3"/>
    <s v="Medium"/>
    <n v="1"/>
    <x v="0"/>
    <x v="2"/>
    <n v="4"/>
    <s v="Satisfied(&gt;=3)"/>
    <x v="1"/>
    <n v="1"/>
    <s v="Y"/>
    <x v="0"/>
    <n v="11"/>
    <x v="0"/>
    <n v="1"/>
    <n v="2"/>
    <s v="Poor(&lt;=2)"/>
    <n v="1"/>
    <s v="Short(&lt;=4)"/>
    <n v="1"/>
    <x v="0"/>
    <n v="0"/>
    <s v="Reasonable(&lt;=3)"/>
  </r>
  <r>
    <x v="25"/>
    <s v="Young(&lt;=29)"/>
    <x v="1"/>
    <s v="Rarely"/>
    <s v="Research &amp; Development"/>
    <n v="3"/>
    <s v="Nearby(&lt;=5)"/>
    <n v="1"/>
    <s v="Not_Satisfied(&lt;3)"/>
    <x v="1"/>
    <n v="4"/>
    <s v="High"/>
    <n v="1"/>
    <x v="0"/>
    <x v="2"/>
    <n v="4"/>
    <s v="Satisfied(&gt;=3)"/>
    <x v="1"/>
    <n v="1"/>
    <s v="Y"/>
    <x v="1"/>
    <n v="22"/>
    <x v="1"/>
    <n v="8"/>
    <n v="3"/>
    <s v="Good(&gt;=3)"/>
    <n v="8"/>
    <s v="Long(5-10)"/>
    <n v="7"/>
    <x v="1"/>
    <n v="0"/>
    <s v="Reasonable(&lt;=3)"/>
  </r>
  <r>
    <x v="7"/>
    <s v="Middle_Age(30-50)"/>
    <x v="1"/>
    <s v="Rarely"/>
    <s v="Sales"/>
    <n v="10"/>
    <s v="Middistance(6-14)"/>
    <n v="3"/>
    <s v="Satisfied(&gt;=3)"/>
    <x v="1"/>
    <n v="2"/>
    <s v="Low"/>
    <n v="2"/>
    <x v="0"/>
    <x v="0"/>
    <n v="3"/>
    <s v="Satisfied(&gt;=3)"/>
    <x v="1"/>
    <n v="1"/>
    <s v="Y"/>
    <x v="1"/>
    <n v="18"/>
    <x v="0"/>
    <n v="10"/>
    <n v="3"/>
    <s v="Good(&gt;=3)"/>
    <n v="10"/>
    <s v="Long(5-10)"/>
    <n v="3"/>
    <x v="0"/>
    <n v="1"/>
    <s v="Reasonable(&lt;=3)"/>
  </r>
  <r>
    <x v="32"/>
    <s v="Middle_Age(30-50)"/>
    <x v="1"/>
    <s v="Frequently"/>
    <s v="Research &amp; Development"/>
    <n v="26"/>
    <s v="Far(&gt;=15)"/>
    <n v="3"/>
    <s v="Satisfied(&gt;=3)"/>
    <x v="0"/>
    <n v="2"/>
    <s v="Low"/>
    <n v="2"/>
    <x v="0"/>
    <x v="1"/>
    <n v="4"/>
    <s v="Satisfied(&gt;=3)"/>
    <x v="1"/>
    <n v="3"/>
    <s v="Y"/>
    <x v="0"/>
    <n v="13"/>
    <x v="0"/>
    <n v="16"/>
    <n v="1"/>
    <s v="Poor(&lt;=2)"/>
    <n v="1"/>
    <s v="Short(&lt;=4)"/>
    <n v="1"/>
    <x v="0"/>
    <n v="0"/>
    <s v="Reasonable(&lt;=3)"/>
  </r>
  <r>
    <x v="10"/>
    <s v="Middle_Age(30-50)"/>
    <x v="1"/>
    <s v="Rarely"/>
    <s v="Research &amp; Development"/>
    <n v="2"/>
    <s v="Nearby(&lt;=5)"/>
    <n v="3"/>
    <s v="Satisfied(&gt;=3)"/>
    <x v="1"/>
    <n v="2"/>
    <s v="Low"/>
    <n v="3"/>
    <x v="1"/>
    <x v="3"/>
    <n v="2"/>
    <s v="Not_Satisfied(&lt;=2)"/>
    <x v="2"/>
    <n v="2"/>
    <s v="Y"/>
    <x v="1"/>
    <n v="18"/>
    <x v="0"/>
    <n v="15"/>
    <n v="4"/>
    <s v="Good(&gt;=3)"/>
    <n v="7"/>
    <s v="Long(5-10)"/>
    <n v="7"/>
    <x v="1"/>
    <n v="6"/>
    <s v="Not_Reasonable(&gt;3)"/>
  </r>
  <r>
    <x v="13"/>
    <s v="Middle_Age(30-50)"/>
    <x v="1"/>
    <s v="Frequently"/>
    <s v="Research &amp; Development"/>
    <n v="1"/>
    <s v="Nearby(&lt;=5)"/>
    <n v="4"/>
    <s v="Satisfied(&gt;=3)"/>
    <x v="1"/>
    <n v="2"/>
    <s v="Low"/>
    <n v="2"/>
    <x v="0"/>
    <x v="4"/>
    <n v="1"/>
    <s v="Not_Satisfied(&lt;=2)"/>
    <x v="0"/>
    <n v="0"/>
    <s v="Y"/>
    <x v="1"/>
    <n v="20"/>
    <x v="1"/>
    <n v="14"/>
    <n v="3"/>
    <s v="Good(&gt;=3)"/>
    <n v="13"/>
    <s v="Ultra_Long(&gt;10)"/>
    <n v="9"/>
    <x v="1"/>
    <n v="4"/>
    <s v="Not_Reasonable(&gt;3)"/>
  </r>
  <r>
    <x v="10"/>
    <s v="Middle_Age(30-50)"/>
    <x v="1"/>
    <s v="Frequently"/>
    <s v="Research &amp; Development"/>
    <n v="4"/>
    <s v="Nearby(&lt;=5)"/>
    <n v="4"/>
    <s v="Satisfied(&gt;=3)"/>
    <x v="1"/>
    <n v="2"/>
    <s v="Low"/>
    <n v="1"/>
    <x v="0"/>
    <x v="2"/>
    <n v="4"/>
    <s v="Satisfied(&gt;=3)"/>
    <x v="1"/>
    <n v="1"/>
    <s v="Y"/>
    <x v="1"/>
    <n v="13"/>
    <x v="0"/>
    <n v="2"/>
    <n v="4"/>
    <s v="Good(&gt;=3)"/>
    <n v="2"/>
    <s v="Short(&lt;=4)"/>
    <n v="2"/>
    <x v="0"/>
    <n v="2"/>
    <s v="Reasonable(&lt;=3)"/>
  </r>
  <r>
    <x v="23"/>
    <s v="Middle_Age(30-50)"/>
    <x v="0"/>
    <s v="Rarely"/>
    <s v="Sales"/>
    <n v="9"/>
    <s v="Middistance(6-14)"/>
    <n v="1"/>
    <s v="Not_Satisfied(&lt;3)"/>
    <x v="0"/>
    <n v="1"/>
    <s v="Low"/>
    <n v="2"/>
    <x v="0"/>
    <x v="0"/>
    <n v="3"/>
    <s v="Satisfied(&gt;=3)"/>
    <x v="0"/>
    <n v="8"/>
    <s v="Y"/>
    <x v="1"/>
    <n v="13"/>
    <x v="0"/>
    <n v="7"/>
    <n v="2"/>
    <s v="Poor(&lt;=2)"/>
    <n v="4"/>
    <s v="Short(&lt;=4)"/>
    <n v="3"/>
    <x v="0"/>
    <n v="1"/>
    <s v="Reasonable(&lt;=3)"/>
  </r>
  <r>
    <x v="5"/>
    <s v="Middle_Age(30-50)"/>
    <x v="1"/>
    <s v="Rarely"/>
    <s v="Sales"/>
    <n v="2"/>
    <s v="Nearby(&lt;=5)"/>
    <n v="3"/>
    <s v="Satisfied(&gt;=3)"/>
    <x v="0"/>
    <n v="3"/>
    <s v="Medium"/>
    <n v="1"/>
    <x v="0"/>
    <x v="6"/>
    <n v="1"/>
    <s v="Not_Satisfied(&lt;=2)"/>
    <x v="2"/>
    <n v="1"/>
    <s v="Y"/>
    <x v="1"/>
    <n v="12"/>
    <x v="0"/>
    <n v="1"/>
    <n v="3"/>
    <s v="Good(&gt;=3)"/>
    <n v="1"/>
    <s v="Short(&lt;=4)"/>
    <n v="0"/>
    <x v="0"/>
    <n v="0"/>
    <s v="Reasonable(&lt;=3)"/>
  </r>
  <r>
    <x v="29"/>
    <s v="Old(&gt;50)"/>
    <x v="1"/>
    <s v="Rarely"/>
    <s v="Research &amp; Development"/>
    <n v="4"/>
    <s v="Nearby(&lt;=5)"/>
    <n v="4"/>
    <s v="Satisfied(&gt;=3)"/>
    <x v="0"/>
    <n v="3"/>
    <s v="Medium"/>
    <n v="5"/>
    <x v="2"/>
    <x v="5"/>
    <n v="1"/>
    <s v="Not_Satisfied(&lt;=2)"/>
    <x v="2"/>
    <n v="4"/>
    <s v="Y"/>
    <x v="1"/>
    <n v="13"/>
    <x v="0"/>
    <n v="28"/>
    <n v="3"/>
    <s v="Good(&gt;=3)"/>
    <n v="5"/>
    <s v="Long(5-10)"/>
    <n v="2"/>
    <x v="0"/>
    <n v="4"/>
    <s v="Not_Reasonable(&gt;3)"/>
  </r>
  <r>
    <x v="11"/>
    <s v="Young(&lt;=29)"/>
    <x v="1"/>
    <s v="Rarely"/>
    <s v="Research &amp; Development"/>
    <n v="6"/>
    <s v="Middistance(6-14)"/>
    <n v="2"/>
    <s v="Not_Satisfied(&lt;3)"/>
    <x v="0"/>
    <n v="3"/>
    <s v="Medium"/>
    <n v="1"/>
    <x v="0"/>
    <x v="2"/>
    <n v="4"/>
    <s v="Satisfied(&gt;=3)"/>
    <x v="1"/>
    <n v="1"/>
    <s v="Y"/>
    <x v="1"/>
    <n v="13"/>
    <x v="0"/>
    <n v="10"/>
    <n v="3"/>
    <s v="Good(&gt;=3)"/>
    <n v="10"/>
    <s v="Long(5-10)"/>
    <n v="8"/>
    <x v="1"/>
    <n v="0"/>
    <s v="Reasonable(&lt;=3)"/>
  </r>
  <r>
    <x v="37"/>
    <s v="Young(&lt;=29)"/>
    <x v="1"/>
    <s v="Rarely"/>
    <s v="Research &amp; Development"/>
    <n v="9"/>
    <s v="Middistance(6-14)"/>
    <n v="3"/>
    <s v="Satisfied(&gt;=3)"/>
    <x v="1"/>
    <n v="3"/>
    <s v="Medium"/>
    <n v="1"/>
    <x v="0"/>
    <x v="1"/>
    <n v="1"/>
    <s v="Not_Satisfied(&lt;=2)"/>
    <x v="0"/>
    <n v="1"/>
    <s v="Y"/>
    <x v="1"/>
    <n v="25"/>
    <x v="1"/>
    <n v="1"/>
    <n v="3"/>
    <s v="Good(&gt;=3)"/>
    <n v="1"/>
    <s v="Short(&lt;=4)"/>
    <n v="1"/>
    <x v="0"/>
    <n v="0"/>
    <s v="Reasonable(&lt;=3)"/>
  </r>
  <r>
    <x v="28"/>
    <s v="Middle_Age(30-50)"/>
    <x v="1"/>
    <s v="Rarely"/>
    <s v="Research &amp; Development"/>
    <n v="7"/>
    <s v="Middistance(6-14)"/>
    <n v="1"/>
    <s v="Not_Satisfied(&lt;3)"/>
    <x v="0"/>
    <n v="3"/>
    <s v="Medium"/>
    <n v="1"/>
    <x v="0"/>
    <x v="1"/>
    <n v="3"/>
    <s v="Satisfied(&gt;=3)"/>
    <x v="1"/>
    <n v="4"/>
    <s v="Y"/>
    <x v="0"/>
    <n v="19"/>
    <x v="0"/>
    <n v="7"/>
    <n v="2"/>
    <s v="Poor(&lt;=2)"/>
    <n v="3"/>
    <s v="Short(&lt;=4)"/>
    <n v="2"/>
    <x v="0"/>
    <n v="0"/>
    <s v="Reasonable(&lt;=3)"/>
  </r>
  <r>
    <x v="2"/>
    <s v="Middle_Age(30-50)"/>
    <x v="1"/>
    <s v="Rarely"/>
    <s v="Research &amp; Development"/>
    <n v="1"/>
    <s v="Nearby(&lt;=5)"/>
    <n v="4"/>
    <s v="Satisfied(&gt;=3)"/>
    <x v="0"/>
    <n v="2"/>
    <s v="Low"/>
    <n v="2"/>
    <x v="0"/>
    <x v="3"/>
    <n v="4"/>
    <s v="Satisfied(&gt;=3)"/>
    <x v="1"/>
    <n v="1"/>
    <s v="Y"/>
    <x v="1"/>
    <n v="13"/>
    <x v="0"/>
    <n v="14"/>
    <n v="2"/>
    <s v="Poor(&lt;=2)"/>
    <n v="14"/>
    <s v="Ultra_Long(&gt;10)"/>
    <n v="8"/>
    <x v="1"/>
    <n v="3"/>
    <s v="Reasonable(&lt;=3)"/>
  </r>
  <r>
    <x v="35"/>
    <s v="Young(&lt;=29)"/>
    <x v="1"/>
    <s v="Rarely"/>
    <s v="Research &amp; Development"/>
    <n v="3"/>
    <s v="Nearby(&lt;=5)"/>
    <n v="1"/>
    <s v="Not_Satisfied(&lt;3)"/>
    <x v="1"/>
    <n v="2"/>
    <s v="Low"/>
    <n v="1"/>
    <x v="0"/>
    <x v="2"/>
    <n v="3"/>
    <s v="Satisfied(&gt;=3)"/>
    <x v="0"/>
    <n v="1"/>
    <s v="Y"/>
    <x v="1"/>
    <n v="12"/>
    <x v="0"/>
    <n v="2"/>
    <n v="2"/>
    <s v="Poor(&lt;=2)"/>
    <n v="2"/>
    <s v="Short(&lt;=4)"/>
    <n v="2"/>
    <x v="0"/>
    <n v="1"/>
    <s v="Reasonable(&lt;=3)"/>
  </r>
  <r>
    <x v="20"/>
    <s v="Middle_Age(30-50)"/>
    <x v="0"/>
    <s v="Rarely"/>
    <s v="Research &amp; Development"/>
    <n v="10"/>
    <s v="Middistance(6-14)"/>
    <n v="3"/>
    <s v="Satisfied(&gt;=3)"/>
    <x v="1"/>
    <n v="3"/>
    <s v="Medium"/>
    <n v="1"/>
    <x v="0"/>
    <x v="1"/>
    <n v="3"/>
    <s v="Satisfied(&gt;=3)"/>
    <x v="0"/>
    <n v="1"/>
    <s v="Y"/>
    <x v="0"/>
    <n v="11"/>
    <x v="0"/>
    <n v="6"/>
    <n v="3"/>
    <s v="Good(&gt;=3)"/>
    <n v="6"/>
    <s v="Long(5-10)"/>
    <n v="4"/>
    <x v="0"/>
    <n v="0"/>
    <s v="Reasonable(&lt;=3)"/>
  </r>
  <r>
    <x v="16"/>
    <s v="Old(&gt;50)"/>
    <x v="1"/>
    <s v="Rarely"/>
    <s v="Research &amp; Development"/>
    <n v="7"/>
    <s v="Middistance(6-14)"/>
    <n v="4"/>
    <s v="Satisfied(&gt;=3)"/>
    <x v="0"/>
    <n v="3"/>
    <s v="Medium"/>
    <n v="5"/>
    <x v="2"/>
    <x v="5"/>
    <n v="3"/>
    <s v="Satisfied(&gt;=3)"/>
    <x v="2"/>
    <n v="3"/>
    <s v="Y"/>
    <x v="1"/>
    <n v="18"/>
    <x v="0"/>
    <n v="26"/>
    <n v="3"/>
    <s v="Good(&gt;=3)"/>
    <n v="7"/>
    <s v="Long(5-10)"/>
    <n v="7"/>
    <x v="1"/>
    <n v="4"/>
    <s v="Not_Reasonable(&gt;3)"/>
  </r>
  <r>
    <x v="11"/>
    <s v="Young(&lt;=29)"/>
    <x v="1"/>
    <s v="Rarely"/>
    <s v="Research &amp; Development"/>
    <n v="15"/>
    <s v="Far(&gt;=15)"/>
    <n v="2"/>
    <s v="Not_Satisfied(&lt;3)"/>
    <x v="0"/>
    <n v="1"/>
    <s v="Low"/>
    <n v="1"/>
    <x v="0"/>
    <x v="1"/>
    <n v="4"/>
    <s v="Satisfied(&gt;=3)"/>
    <x v="1"/>
    <n v="0"/>
    <s v="Y"/>
    <x v="0"/>
    <n v="18"/>
    <x v="0"/>
    <n v="6"/>
    <n v="2"/>
    <s v="Poor(&lt;=2)"/>
    <n v="5"/>
    <s v="Long(5-10)"/>
    <n v="4"/>
    <x v="0"/>
    <n v="1"/>
    <s v="Reasonable(&lt;=3)"/>
  </r>
  <r>
    <x v="15"/>
    <s v="Young(&lt;=29)"/>
    <x v="0"/>
    <s v="Frequently"/>
    <s v="Research &amp; Development"/>
    <n v="3"/>
    <s v="Nearby(&lt;=5)"/>
    <n v="3"/>
    <s v="Satisfied(&gt;=3)"/>
    <x v="1"/>
    <n v="2"/>
    <s v="Low"/>
    <n v="1"/>
    <x v="0"/>
    <x v="1"/>
    <n v="4"/>
    <s v="Satisfied(&gt;=3)"/>
    <x v="1"/>
    <n v="0"/>
    <s v="Y"/>
    <x v="0"/>
    <n v="11"/>
    <x v="0"/>
    <n v="1"/>
    <n v="3"/>
    <s v="Good(&gt;=3)"/>
    <n v="0"/>
    <s v="Short(&lt;=4)"/>
    <n v="0"/>
    <x v="0"/>
    <n v="0"/>
    <s v="Reasonable(&lt;=3)"/>
  </r>
  <r>
    <x v="21"/>
    <s v="Middle_Age(30-50)"/>
    <x v="1"/>
    <s v="Rarely"/>
    <s v="Sales"/>
    <n v="2"/>
    <s v="Nearby(&lt;=5)"/>
    <n v="3"/>
    <s v="Satisfied(&gt;=3)"/>
    <x v="0"/>
    <n v="3"/>
    <s v="Medium"/>
    <n v="4"/>
    <x v="2"/>
    <x v="5"/>
    <n v="1"/>
    <s v="Not_Satisfied(&lt;=2)"/>
    <x v="1"/>
    <n v="8"/>
    <s v="Y"/>
    <x v="1"/>
    <n v="23"/>
    <x v="1"/>
    <n v="28"/>
    <n v="3"/>
    <s v="Good(&gt;=3)"/>
    <n v="26"/>
    <s v="Ultra_Long(&gt;10)"/>
    <n v="15"/>
    <x v="2"/>
    <n v="15"/>
    <s v="Not_Reasonable(&gt;3)"/>
  </r>
  <r>
    <x v="20"/>
    <s v="Middle_Age(30-50)"/>
    <x v="1"/>
    <s v="Rarely"/>
    <s v="Research &amp; Development"/>
    <n v="17"/>
    <s v="Far(&gt;=15)"/>
    <n v="4"/>
    <s v="Satisfied(&gt;=3)"/>
    <x v="1"/>
    <n v="1"/>
    <s v="Low"/>
    <n v="1"/>
    <x v="0"/>
    <x v="1"/>
    <n v="3"/>
    <s v="Satisfied(&gt;=3)"/>
    <x v="0"/>
    <n v="2"/>
    <s v="Y"/>
    <x v="1"/>
    <n v="13"/>
    <x v="0"/>
    <n v="6"/>
    <n v="3"/>
    <s v="Good(&gt;=3)"/>
    <n v="0"/>
    <s v="Short(&lt;=4)"/>
    <n v="0"/>
    <x v="0"/>
    <n v="0"/>
    <s v="Reasonable(&lt;=3)"/>
  </r>
  <r>
    <x v="3"/>
    <s v="Middle_Age(30-50)"/>
    <x v="1"/>
    <s v="Rarely"/>
    <s v="Human Resources"/>
    <n v="2"/>
    <s v="Nearby(&lt;=5)"/>
    <n v="2"/>
    <s v="Not_Satisfied(&lt;3)"/>
    <x v="1"/>
    <n v="3"/>
    <s v="Medium"/>
    <n v="1"/>
    <x v="0"/>
    <x v="8"/>
    <n v="3"/>
    <s v="Satisfied(&gt;=3)"/>
    <x v="1"/>
    <n v="1"/>
    <s v="Y"/>
    <x v="1"/>
    <n v="13"/>
    <x v="0"/>
    <n v="5"/>
    <n v="3"/>
    <s v="Good(&gt;=3)"/>
    <n v="5"/>
    <s v="Long(5-10)"/>
    <n v="4"/>
    <x v="0"/>
    <n v="1"/>
    <s v="Reasonable(&lt;=3)"/>
  </r>
  <r>
    <x v="0"/>
    <s v="Middle_Age(30-50)"/>
    <x v="0"/>
    <s v="Rarely"/>
    <s v="Research &amp; Development"/>
    <n v="5"/>
    <s v="Nearby(&lt;=5)"/>
    <n v="1"/>
    <s v="Not_Satisfied(&lt;3)"/>
    <x v="1"/>
    <n v="2"/>
    <s v="Low"/>
    <n v="1"/>
    <x v="0"/>
    <x v="1"/>
    <n v="1"/>
    <s v="Not_Satisfied(&lt;=2)"/>
    <x v="2"/>
    <n v="6"/>
    <s v="Y"/>
    <x v="1"/>
    <n v="17"/>
    <x v="0"/>
    <n v="5"/>
    <n v="1"/>
    <s v="Poor(&lt;=2)"/>
    <n v="1"/>
    <s v="Short(&lt;=4)"/>
    <n v="0"/>
    <x v="0"/>
    <n v="0"/>
    <s v="Reasonable(&lt;=3)"/>
  </r>
  <r>
    <x v="7"/>
    <s v="Middle_Age(30-50)"/>
    <x v="1"/>
    <s v="Rarely"/>
    <s v="Sales"/>
    <n v="29"/>
    <s v="Far(&gt;=15)"/>
    <n v="3"/>
    <s v="Satisfied(&gt;=3)"/>
    <x v="1"/>
    <n v="3"/>
    <s v="Medium"/>
    <n v="2"/>
    <x v="0"/>
    <x v="0"/>
    <n v="1"/>
    <s v="Not_Satisfied(&lt;=2)"/>
    <x v="2"/>
    <n v="8"/>
    <s v="Y"/>
    <x v="1"/>
    <n v="19"/>
    <x v="0"/>
    <n v="8"/>
    <n v="3"/>
    <s v="Good(&gt;=3)"/>
    <n v="4"/>
    <s v="Short(&lt;=4)"/>
    <n v="3"/>
    <x v="0"/>
    <n v="0"/>
    <s v="Reasonable(&lt;=3)"/>
  </r>
  <r>
    <x v="32"/>
    <s v="Middle_Age(30-50)"/>
    <x v="1"/>
    <s v="Frequently"/>
    <s v="Sales"/>
    <n v="2"/>
    <s v="Nearby(&lt;=5)"/>
    <n v="2"/>
    <s v="Not_Satisfied(&lt;3)"/>
    <x v="1"/>
    <n v="3"/>
    <s v="Medium"/>
    <n v="2"/>
    <x v="0"/>
    <x v="0"/>
    <n v="2"/>
    <s v="Not_Satisfied(&lt;=2)"/>
    <x v="1"/>
    <n v="5"/>
    <s v="Y"/>
    <x v="1"/>
    <n v="12"/>
    <x v="0"/>
    <n v="5"/>
    <n v="3"/>
    <s v="Good(&gt;=3)"/>
    <n v="0"/>
    <s v="Short(&lt;=4)"/>
    <n v="0"/>
    <x v="0"/>
    <n v="0"/>
    <s v="Reasonable(&lt;=3)"/>
  </r>
  <r>
    <x v="24"/>
    <s v="Middle_Age(30-50)"/>
    <x v="1"/>
    <s v="Frequently"/>
    <s v="Research &amp; Development"/>
    <n v="2"/>
    <s v="Nearby(&lt;=5)"/>
    <n v="4"/>
    <s v="Satisfied(&gt;=3)"/>
    <x v="0"/>
    <n v="3"/>
    <s v="Medium"/>
    <n v="4"/>
    <x v="2"/>
    <x v="5"/>
    <n v="1"/>
    <s v="Not_Satisfied(&lt;=2)"/>
    <x v="1"/>
    <n v="2"/>
    <s v="Y"/>
    <x v="1"/>
    <n v="22"/>
    <x v="1"/>
    <n v="32"/>
    <n v="3"/>
    <s v="Good(&gt;=3)"/>
    <n v="2"/>
    <s v="Short(&lt;=4)"/>
    <n v="2"/>
    <x v="0"/>
    <n v="2"/>
    <s v="Reasonable(&lt;=3)"/>
  </r>
  <r>
    <x v="14"/>
    <s v="Young(&lt;=29)"/>
    <x v="1"/>
    <s v="Rarely"/>
    <s v="Research &amp; Development"/>
    <n v="19"/>
    <s v="Far(&gt;=15)"/>
    <n v="4"/>
    <s v="Satisfied(&gt;=3)"/>
    <x v="1"/>
    <n v="2"/>
    <s v="Low"/>
    <n v="1"/>
    <x v="0"/>
    <x v="2"/>
    <n v="1"/>
    <s v="Not_Satisfied(&lt;=2)"/>
    <x v="1"/>
    <n v="1"/>
    <s v="Y"/>
    <x v="1"/>
    <n v="12"/>
    <x v="0"/>
    <n v="6"/>
    <n v="3"/>
    <s v="Good(&gt;=3)"/>
    <n v="6"/>
    <s v="Long(5-10)"/>
    <n v="5"/>
    <x v="1"/>
    <n v="3"/>
    <s v="Reasonable(&lt;=3)"/>
  </r>
  <r>
    <x v="21"/>
    <s v="Middle_Age(30-50)"/>
    <x v="1"/>
    <s v="Rarely"/>
    <s v="Research &amp; Development"/>
    <n v="15"/>
    <s v="Far(&gt;=15)"/>
    <n v="4"/>
    <s v="Satisfied(&gt;=3)"/>
    <x v="1"/>
    <n v="3"/>
    <s v="Medium"/>
    <n v="5"/>
    <x v="2"/>
    <x v="7"/>
    <n v="2"/>
    <s v="Not_Satisfied(&lt;=2)"/>
    <x v="1"/>
    <n v="5"/>
    <s v="Y"/>
    <x v="1"/>
    <n v="11"/>
    <x v="0"/>
    <n v="25"/>
    <n v="3"/>
    <s v="Good(&gt;=3)"/>
    <n v="4"/>
    <s v="Short(&lt;=4)"/>
    <n v="2"/>
    <x v="0"/>
    <n v="0"/>
    <s v="Reasonable(&lt;=3)"/>
  </r>
  <r>
    <x v="10"/>
    <s v="Middle_Age(30-50)"/>
    <x v="1"/>
    <s v="Rarely"/>
    <s v="Sales"/>
    <n v="17"/>
    <s v="Far(&gt;=15)"/>
    <n v="3"/>
    <s v="Satisfied(&gt;=3)"/>
    <x v="1"/>
    <n v="3"/>
    <s v="Medium"/>
    <n v="2"/>
    <x v="0"/>
    <x v="0"/>
    <n v="1"/>
    <s v="Not_Satisfied(&lt;=2)"/>
    <x v="1"/>
    <n v="3"/>
    <s v="Y"/>
    <x v="0"/>
    <n v="15"/>
    <x v="0"/>
    <n v="15"/>
    <n v="3"/>
    <s v="Good(&gt;=3)"/>
    <n v="7"/>
    <s v="Long(5-10)"/>
    <n v="7"/>
    <x v="1"/>
    <n v="1"/>
    <s v="Reasonable(&lt;=3)"/>
  </r>
  <r>
    <x v="17"/>
    <s v="Young(&lt;=29)"/>
    <x v="0"/>
    <s v="Rarely"/>
    <s v="Research &amp; Development"/>
    <n v="17"/>
    <s v="Far(&gt;=15)"/>
    <n v="4"/>
    <s v="Satisfied(&gt;=3)"/>
    <x v="0"/>
    <n v="3"/>
    <s v="Medium"/>
    <n v="1"/>
    <x v="0"/>
    <x v="2"/>
    <n v="2"/>
    <s v="Not_Satisfied(&lt;=2)"/>
    <x v="1"/>
    <n v="1"/>
    <s v="Y"/>
    <x v="1"/>
    <n v="13"/>
    <x v="0"/>
    <n v="1"/>
    <n v="1"/>
    <s v="Poor(&lt;=2)"/>
    <n v="1"/>
    <s v="Short(&lt;=4)"/>
    <n v="0"/>
    <x v="0"/>
    <n v="0"/>
    <s v="Reasonable(&lt;=3)"/>
  </r>
  <r>
    <x v="3"/>
    <s v="Middle_Age(30-50)"/>
    <x v="1"/>
    <s v="Frequently"/>
    <s v="Sales"/>
    <n v="25"/>
    <s v="Far(&gt;=15)"/>
    <n v="2"/>
    <s v="Not_Satisfied(&lt;3)"/>
    <x v="0"/>
    <n v="3"/>
    <s v="Medium"/>
    <n v="2"/>
    <x v="0"/>
    <x v="0"/>
    <n v="3"/>
    <s v="Satisfied(&gt;=3)"/>
    <x v="1"/>
    <n v="1"/>
    <s v="Y"/>
    <x v="1"/>
    <n v="12"/>
    <x v="0"/>
    <n v="10"/>
    <n v="2"/>
    <s v="Poor(&lt;=2)"/>
    <n v="10"/>
    <s v="Long(5-10)"/>
    <n v="7"/>
    <x v="1"/>
    <n v="0"/>
    <s v="Reasonable(&lt;=3)"/>
  </r>
  <r>
    <x v="9"/>
    <s v="Middle_Age(30-50)"/>
    <x v="1"/>
    <s v="Rarely"/>
    <s v="Research &amp; Development"/>
    <n v="6"/>
    <s v="Middistance(6-14)"/>
    <n v="3"/>
    <s v="Satisfied(&gt;=3)"/>
    <x v="1"/>
    <n v="1"/>
    <s v="Low"/>
    <n v="1"/>
    <x v="0"/>
    <x v="2"/>
    <n v="3"/>
    <s v="Satisfied(&gt;=3)"/>
    <x v="2"/>
    <n v="1"/>
    <s v="Y"/>
    <x v="1"/>
    <n v="14"/>
    <x v="0"/>
    <n v="7"/>
    <n v="3"/>
    <s v="Good(&gt;=3)"/>
    <n v="7"/>
    <s v="Long(5-10)"/>
    <n v="7"/>
    <x v="1"/>
    <n v="1"/>
    <s v="Reasonable(&lt;=3)"/>
  </r>
  <r>
    <x v="7"/>
    <s v="Middle_Age(30-50)"/>
    <x v="1"/>
    <s v="Rarely"/>
    <s v="Research &amp; Development"/>
    <n v="7"/>
    <s v="Middistance(6-14)"/>
    <n v="3"/>
    <s v="Satisfied(&gt;=3)"/>
    <x v="1"/>
    <n v="3"/>
    <s v="Medium"/>
    <n v="2"/>
    <x v="0"/>
    <x v="2"/>
    <n v="3"/>
    <s v="Satisfied(&gt;=3)"/>
    <x v="2"/>
    <n v="1"/>
    <s v="Y"/>
    <x v="1"/>
    <n v="13"/>
    <x v="0"/>
    <n v="10"/>
    <n v="2"/>
    <s v="Poor(&lt;=2)"/>
    <n v="10"/>
    <s v="Long(5-10)"/>
    <n v="7"/>
    <x v="1"/>
    <n v="8"/>
    <s v="Not_Reasonable(&gt;3)"/>
  </r>
  <r>
    <x v="20"/>
    <s v="Middle_Age(30-50)"/>
    <x v="1"/>
    <s v="Rarely"/>
    <s v="Research &amp; Development"/>
    <n v="29"/>
    <s v="Far(&gt;=15)"/>
    <n v="4"/>
    <s v="Satisfied(&gt;=3)"/>
    <x v="1"/>
    <n v="3"/>
    <s v="Medium"/>
    <n v="2"/>
    <x v="0"/>
    <x v="1"/>
    <n v="4"/>
    <s v="Satisfied(&gt;=3)"/>
    <x v="0"/>
    <n v="1"/>
    <s v="Y"/>
    <x v="1"/>
    <n v="25"/>
    <x v="1"/>
    <n v="20"/>
    <n v="3"/>
    <s v="Good(&gt;=3)"/>
    <n v="20"/>
    <s v="Ultra_Long(&gt;10)"/>
    <n v="11"/>
    <x v="2"/>
    <n v="13"/>
    <s v="Not_Reasonable(&gt;3)"/>
  </r>
  <r>
    <x v="35"/>
    <s v="Young(&lt;=29)"/>
    <x v="1"/>
    <s v="Rarely"/>
    <s v="Sales"/>
    <n v="21"/>
    <s v="Far(&gt;=15)"/>
    <n v="3"/>
    <s v="Satisfied(&gt;=3)"/>
    <x v="1"/>
    <n v="4"/>
    <s v="High"/>
    <n v="1"/>
    <x v="0"/>
    <x v="6"/>
    <n v="4"/>
    <s v="Satisfied(&gt;=3)"/>
    <x v="0"/>
    <n v="1"/>
    <s v="Y"/>
    <x v="1"/>
    <n v="17"/>
    <x v="0"/>
    <n v="2"/>
    <n v="3"/>
    <s v="Good(&gt;=3)"/>
    <n v="2"/>
    <s v="Short(&lt;=4)"/>
    <n v="1"/>
    <x v="0"/>
    <n v="2"/>
    <s v="Reasonable(&lt;=3)"/>
  </r>
  <r>
    <x v="21"/>
    <s v="Middle_Age(30-50)"/>
    <x v="1"/>
    <s v="Rarely"/>
    <s v="Research &amp; Development"/>
    <n v="2"/>
    <s v="Nearby(&lt;=5)"/>
    <n v="4"/>
    <s v="Satisfied(&gt;=3)"/>
    <x v="1"/>
    <n v="3"/>
    <s v="Medium"/>
    <n v="2"/>
    <x v="0"/>
    <x v="3"/>
    <n v="4"/>
    <s v="Satisfied(&gt;=3)"/>
    <x v="2"/>
    <n v="2"/>
    <s v="Y"/>
    <x v="1"/>
    <n v="11"/>
    <x v="0"/>
    <n v="12"/>
    <n v="2"/>
    <s v="Poor(&lt;=2)"/>
    <n v="6"/>
    <s v="Long(5-10)"/>
    <n v="3"/>
    <x v="0"/>
    <n v="1"/>
    <s v="Reasonable(&lt;=3)"/>
  </r>
  <r>
    <x v="19"/>
    <s v="Middle_Age(30-50)"/>
    <x v="1"/>
    <s v="Rarely"/>
    <s v="Human Resources"/>
    <n v="2"/>
    <s v="Nearby(&lt;=5)"/>
    <n v="4"/>
    <s v="Satisfied(&gt;=3)"/>
    <x v="1"/>
    <n v="4"/>
    <s v="High"/>
    <n v="2"/>
    <x v="0"/>
    <x v="8"/>
    <n v="1"/>
    <s v="Not_Satisfied(&lt;=2)"/>
    <x v="1"/>
    <n v="7"/>
    <s v="Y"/>
    <x v="1"/>
    <n v="16"/>
    <x v="0"/>
    <n v="10"/>
    <n v="4"/>
    <s v="Good(&gt;=3)"/>
    <n v="4"/>
    <s v="Short(&lt;=4)"/>
    <n v="3"/>
    <x v="0"/>
    <n v="0"/>
    <s v="Reasonable(&lt;=3)"/>
  </r>
  <r>
    <x v="42"/>
    <s v="Old(&gt;50)"/>
    <x v="1"/>
    <s v="Rarely"/>
    <s v="Sales"/>
    <n v="7"/>
    <s v="Middistance(6-14)"/>
    <n v="2"/>
    <s v="Not_Satisfied(&lt;3)"/>
    <x v="1"/>
    <n v="4"/>
    <s v="High"/>
    <n v="2"/>
    <x v="0"/>
    <x v="0"/>
    <n v="4"/>
    <s v="Satisfied(&gt;=3)"/>
    <x v="2"/>
    <n v="0"/>
    <s v="Y"/>
    <x v="0"/>
    <n v="18"/>
    <x v="0"/>
    <n v="12"/>
    <n v="3"/>
    <s v="Good(&gt;=3)"/>
    <n v="11"/>
    <s v="Ultra_Long(&gt;10)"/>
    <n v="7"/>
    <x v="1"/>
    <n v="1"/>
    <s v="Reasonable(&lt;=3)"/>
  </r>
  <r>
    <x v="5"/>
    <s v="Middle_Age(30-50)"/>
    <x v="1"/>
    <s v="Frequently"/>
    <s v="Research &amp; Development"/>
    <n v="13"/>
    <s v="Middistance(6-14)"/>
    <n v="3"/>
    <s v="Satisfied(&gt;=3)"/>
    <x v="0"/>
    <n v="2"/>
    <s v="Low"/>
    <n v="1"/>
    <x v="0"/>
    <x v="2"/>
    <n v="2"/>
    <s v="Not_Satisfied(&lt;=2)"/>
    <x v="1"/>
    <n v="1"/>
    <s v="Y"/>
    <x v="1"/>
    <n v="20"/>
    <x v="1"/>
    <n v="2"/>
    <n v="3"/>
    <s v="Good(&gt;=3)"/>
    <n v="2"/>
    <s v="Short(&lt;=4)"/>
    <n v="2"/>
    <x v="0"/>
    <n v="2"/>
    <s v="Reasonable(&lt;=3)"/>
  </r>
  <r>
    <x v="5"/>
    <s v="Middle_Age(30-50)"/>
    <x v="1"/>
    <s v="Frequently"/>
    <s v="Research &amp; Development"/>
    <n v="2"/>
    <s v="Nearby(&lt;=5)"/>
    <n v="4"/>
    <s v="Satisfied(&gt;=3)"/>
    <x v="0"/>
    <n v="3"/>
    <s v="Medium"/>
    <n v="2"/>
    <x v="0"/>
    <x v="1"/>
    <n v="3"/>
    <s v="Satisfied(&gt;=3)"/>
    <x v="0"/>
    <n v="4"/>
    <s v="Y"/>
    <x v="0"/>
    <n v="14"/>
    <x v="0"/>
    <n v="10"/>
    <n v="3"/>
    <s v="Good(&gt;=3)"/>
    <n v="8"/>
    <s v="Long(5-10)"/>
    <n v="7"/>
    <x v="1"/>
    <n v="0"/>
    <s v="Reasonable(&lt;=3)"/>
  </r>
  <r>
    <x v="9"/>
    <s v="Middle_Age(30-50)"/>
    <x v="1"/>
    <s v="Rarely"/>
    <s v="Research &amp; Development"/>
    <n v="1"/>
    <s v="Nearby(&lt;=5)"/>
    <n v="3"/>
    <s v="Satisfied(&gt;=3)"/>
    <x v="0"/>
    <n v="1"/>
    <s v="Low"/>
    <n v="3"/>
    <x v="1"/>
    <x v="3"/>
    <n v="1"/>
    <s v="Not_Satisfied(&lt;=2)"/>
    <x v="2"/>
    <n v="2"/>
    <s v="Y"/>
    <x v="0"/>
    <n v="21"/>
    <x v="1"/>
    <n v="17"/>
    <n v="3"/>
    <s v="Good(&gt;=3)"/>
    <n v="7"/>
    <s v="Long(5-10)"/>
    <n v="7"/>
    <x v="1"/>
    <n v="7"/>
    <s v="Not_Reasonable(&gt;3)"/>
  </r>
  <r>
    <x v="3"/>
    <s v="Middle_Age(30-50)"/>
    <x v="1"/>
    <s v="Rarely"/>
    <s v="Research &amp; Development"/>
    <n v="9"/>
    <s v="Middistance(6-14)"/>
    <n v="1"/>
    <s v="Not_Satisfied(&lt;3)"/>
    <x v="1"/>
    <n v="3"/>
    <s v="Medium"/>
    <n v="1"/>
    <x v="0"/>
    <x v="1"/>
    <n v="4"/>
    <s v="Satisfied(&gt;=3)"/>
    <x v="1"/>
    <n v="0"/>
    <s v="Y"/>
    <x v="1"/>
    <n v="13"/>
    <x v="0"/>
    <n v="15"/>
    <n v="3"/>
    <s v="Good(&gt;=3)"/>
    <n v="14"/>
    <s v="Ultra_Long(&gt;10)"/>
    <n v="10"/>
    <x v="1"/>
    <n v="4"/>
    <s v="Not_Reasonable(&gt;3)"/>
  </r>
  <r>
    <x v="32"/>
    <s v="Middle_Age(30-50)"/>
    <x v="1"/>
    <s v="Rarely"/>
    <s v="Sales"/>
    <n v="10"/>
    <s v="Middistance(6-14)"/>
    <n v="2"/>
    <s v="Not_Satisfied(&lt;3)"/>
    <x v="0"/>
    <n v="2"/>
    <s v="Low"/>
    <n v="2"/>
    <x v="0"/>
    <x v="0"/>
    <n v="2"/>
    <s v="Not_Satisfied(&lt;=2)"/>
    <x v="2"/>
    <n v="7"/>
    <s v="Y"/>
    <x v="1"/>
    <n v="12"/>
    <x v="0"/>
    <n v="7"/>
    <n v="4"/>
    <s v="Good(&gt;=3)"/>
    <n v="5"/>
    <s v="Long(5-10)"/>
    <n v="1"/>
    <x v="0"/>
    <n v="1"/>
    <s v="Reasonable(&lt;=3)"/>
  </r>
  <r>
    <x v="36"/>
    <s v="Young(&lt;=29)"/>
    <x v="1"/>
    <s v="Rarely"/>
    <s v="Sales"/>
    <n v="10"/>
    <s v="Middistance(6-14)"/>
    <n v="3"/>
    <s v="Satisfied(&gt;=3)"/>
    <x v="1"/>
    <n v="3"/>
    <s v="Medium"/>
    <n v="2"/>
    <x v="0"/>
    <x v="0"/>
    <n v="4"/>
    <s v="Satisfied(&gt;=3)"/>
    <x v="0"/>
    <n v="0"/>
    <s v="Y"/>
    <x v="1"/>
    <n v="14"/>
    <x v="0"/>
    <n v="5"/>
    <n v="3"/>
    <s v="Good(&gt;=3)"/>
    <n v="4"/>
    <s v="Short(&lt;=4)"/>
    <n v="3"/>
    <x v="0"/>
    <n v="1"/>
    <s v="Reasonable(&lt;=3)"/>
  </r>
  <r>
    <x v="7"/>
    <s v="Middle_Age(30-50)"/>
    <x v="1"/>
    <s v="Rarely"/>
    <s v="Research &amp; Development"/>
    <n v="1"/>
    <s v="Nearby(&lt;=5)"/>
    <n v="4"/>
    <s v="Satisfied(&gt;=3)"/>
    <x v="1"/>
    <n v="3"/>
    <s v="Medium"/>
    <n v="1"/>
    <x v="0"/>
    <x v="1"/>
    <n v="2"/>
    <s v="Not_Satisfied(&lt;=2)"/>
    <x v="1"/>
    <n v="0"/>
    <s v="Y"/>
    <x v="0"/>
    <n v="21"/>
    <x v="1"/>
    <n v="12"/>
    <n v="3"/>
    <s v="Good(&gt;=3)"/>
    <n v="11"/>
    <s v="Ultra_Long(&gt;10)"/>
    <n v="9"/>
    <x v="1"/>
    <n v="5"/>
    <s v="Not_Reasonable(&gt;3)"/>
  </r>
  <r>
    <x v="19"/>
    <s v="Middle_Age(30-50)"/>
    <x v="1"/>
    <s v="Frequently"/>
    <s v="Research &amp; Development"/>
    <n v="26"/>
    <s v="Far(&gt;=15)"/>
    <n v="1"/>
    <s v="Not_Satisfied(&lt;3)"/>
    <x v="0"/>
    <n v="3"/>
    <s v="Medium"/>
    <n v="3"/>
    <x v="1"/>
    <x v="7"/>
    <n v="1"/>
    <s v="Not_Satisfied(&lt;=2)"/>
    <x v="1"/>
    <n v="3"/>
    <s v="Y"/>
    <x v="0"/>
    <n v="17"/>
    <x v="0"/>
    <n v="20"/>
    <n v="3"/>
    <s v="Good(&gt;=3)"/>
    <n v="1"/>
    <s v="Short(&lt;=4)"/>
    <n v="0"/>
    <x v="0"/>
    <n v="0"/>
    <s v="Reasonable(&lt;=3)"/>
  </r>
  <r>
    <x v="10"/>
    <s v="Middle_Age(30-50)"/>
    <x v="1"/>
    <s v="Rarely"/>
    <s v="Sales"/>
    <n v="8"/>
    <s v="Middistance(6-14)"/>
    <n v="3"/>
    <s v="Satisfied(&gt;=3)"/>
    <x v="0"/>
    <n v="2"/>
    <s v="Low"/>
    <n v="3"/>
    <x v="1"/>
    <x v="0"/>
    <n v="4"/>
    <s v="Satisfied(&gt;=3)"/>
    <x v="1"/>
    <n v="4"/>
    <s v="Y"/>
    <x v="0"/>
    <n v="11"/>
    <x v="0"/>
    <n v="16"/>
    <n v="2"/>
    <s v="Poor(&lt;=2)"/>
    <n v="13"/>
    <s v="Ultra_Long(&gt;10)"/>
    <n v="2"/>
    <x v="0"/>
    <n v="4"/>
    <s v="Not_Reasonable(&gt;3)"/>
  </r>
  <r>
    <x v="4"/>
    <s v="Young(&lt;=29)"/>
    <x v="1"/>
    <s v="Rarely"/>
    <s v="Research &amp; Development"/>
    <n v="14"/>
    <s v="Middistance(6-14)"/>
    <n v="1"/>
    <s v="Not_Satisfied(&lt;3)"/>
    <x v="1"/>
    <n v="3"/>
    <s v="Medium"/>
    <n v="1"/>
    <x v="0"/>
    <x v="1"/>
    <n v="1"/>
    <s v="Not_Satisfied(&lt;=2)"/>
    <x v="1"/>
    <n v="1"/>
    <s v="Y"/>
    <x v="0"/>
    <n v="14"/>
    <x v="0"/>
    <n v="9"/>
    <n v="2"/>
    <s v="Poor(&lt;=2)"/>
    <n v="9"/>
    <s v="Long(5-10)"/>
    <n v="7"/>
    <x v="1"/>
    <n v="6"/>
    <s v="Not_Reasonable(&gt;3)"/>
  </r>
  <r>
    <x v="33"/>
    <s v="Old(&gt;50)"/>
    <x v="1"/>
    <s v="Frequently"/>
    <s v="Research &amp; Development"/>
    <n v="1"/>
    <s v="Nearby(&lt;=5)"/>
    <n v="4"/>
    <s v="Satisfied(&gt;=3)"/>
    <x v="0"/>
    <n v="3"/>
    <s v="Medium"/>
    <n v="3"/>
    <x v="1"/>
    <x v="3"/>
    <n v="3"/>
    <s v="Satisfied(&gt;=3)"/>
    <x v="2"/>
    <n v="7"/>
    <s v="Y"/>
    <x v="1"/>
    <n v="17"/>
    <x v="0"/>
    <n v="33"/>
    <n v="1"/>
    <s v="Poor(&lt;=2)"/>
    <n v="5"/>
    <s v="Long(5-10)"/>
    <n v="4"/>
    <x v="0"/>
    <n v="1"/>
    <s v="Reasonable(&lt;=3)"/>
  </r>
  <r>
    <x v="20"/>
    <s v="Middle_Age(30-50)"/>
    <x v="1"/>
    <s v="Rarely"/>
    <s v="Research &amp; Development"/>
    <n v="2"/>
    <s v="Nearby(&lt;=5)"/>
    <n v="1"/>
    <s v="Not_Satisfied(&lt;3)"/>
    <x v="0"/>
    <n v="4"/>
    <s v="High"/>
    <n v="1"/>
    <x v="0"/>
    <x v="1"/>
    <n v="4"/>
    <s v="Satisfied(&gt;=3)"/>
    <x v="1"/>
    <n v="1"/>
    <s v="Y"/>
    <x v="1"/>
    <n v="13"/>
    <x v="0"/>
    <n v="10"/>
    <n v="3"/>
    <s v="Good(&gt;=3)"/>
    <n v="10"/>
    <s v="Long(5-10)"/>
    <n v="5"/>
    <x v="1"/>
    <n v="7"/>
    <s v="Not_Reasonable(&gt;3)"/>
  </r>
  <r>
    <x v="37"/>
    <s v="Young(&lt;=29)"/>
    <x v="0"/>
    <s v="Rarely"/>
    <s v="Research &amp; Development"/>
    <n v="10"/>
    <s v="Middistance(6-14)"/>
    <n v="1"/>
    <s v="Not_Satisfied(&lt;3)"/>
    <x v="0"/>
    <n v="2"/>
    <s v="Low"/>
    <n v="1"/>
    <x v="0"/>
    <x v="1"/>
    <n v="2"/>
    <s v="Not_Satisfied(&lt;=2)"/>
    <x v="0"/>
    <n v="1"/>
    <s v="Y"/>
    <x v="0"/>
    <n v="25"/>
    <x v="1"/>
    <n v="1"/>
    <n v="4"/>
    <s v="Good(&gt;=3)"/>
    <n v="1"/>
    <s v="Short(&lt;=4)"/>
    <n v="1"/>
    <x v="0"/>
    <n v="0"/>
    <s v="Reasonable(&lt;=3)"/>
  </r>
  <r>
    <x v="11"/>
    <s v="Young(&lt;=29)"/>
    <x v="1"/>
    <s v="Rarely"/>
    <s v="Research &amp; Development"/>
    <n v="1"/>
    <s v="Nearby(&lt;=5)"/>
    <n v="1"/>
    <s v="Not_Satisfied(&lt;3)"/>
    <x v="0"/>
    <n v="3"/>
    <s v="Medium"/>
    <n v="1"/>
    <x v="0"/>
    <x v="1"/>
    <n v="4"/>
    <s v="Satisfied(&gt;=3)"/>
    <x v="2"/>
    <n v="1"/>
    <s v="Y"/>
    <x v="1"/>
    <n v="15"/>
    <x v="0"/>
    <n v="3"/>
    <n v="3"/>
    <s v="Good(&gt;=3)"/>
    <n v="3"/>
    <s v="Short(&lt;=4)"/>
    <n v="2"/>
    <x v="0"/>
    <n v="1"/>
    <s v="Reasonable(&lt;=3)"/>
  </r>
  <r>
    <x v="33"/>
    <s v="Old(&gt;50)"/>
    <x v="1"/>
    <s v="Rarely"/>
    <s v="Research &amp; Development"/>
    <n v="3"/>
    <s v="Nearby(&lt;=5)"/>
    <n v="4"/>
    <s v="Satisfied(&gt;=3)"/>
    <x v="1"/>
    <n v="3"/>
    <s v="Medium"/>
    <n v="4"/>
    <x v="2"/>
    <x v="7"/>
    <n v="4"/>
    <s v="Satisfied(&gt;=3)"/>
    <x v="1"/>
    <n v="3"/>
    <s v="Y"/>
    <x v="1"/>
    <n v="14"/>
    <x v="0"/>
    <n v="36"/>
    <n v="3"/>
    <s v="Good(&gt;=3)"/>
    <n v="10"/>
    <s v="Long(5-10)"/>
    <n v="9"/>
    <x v="1"/>
    <n v="0"/>
    <s v="Reasonable(&lt;=3)"/>
  </r>
  <r>
    <x v="12"/>
    <s v="Middle_Age(30-50)"/>
    <x v="1"/>
    <s v="Rarely"/>
    <s v="Research &amp; Development"/>
    <n v="11"/>
    <s v="Middistance(6-14)"/>
    <n v="3"/>
    <s v="Satisfied(&gt;=3)"/>
    <x v="1"/>
    <n v="3"/>
    <s v="Medium"/>
    <n v="2"/>
    <x v="0"/>
    <x v="4"/>
    <n v="1"/>
    <s v="Not_Satisfied(&lt;=2)"/>
    <x v="1"/>
    <n v="1"/>
    <s v="Y"/>
    <x v="0"/>
    <n v="12"/>
    <x v="0"/>
    <n v="6"/>
    <n v="2"/>
    <s v="Poor(&lt;=2)"/>
    <n v="6"/>
    <s v="Long(5-10)"/>
    <n v="5"/>
    <x v="1"/>
    <n v="0"/>
    <s v="Reasonable(&lt;=3)"/>
  </r>
  <r>
    <x v="12"/>
    <s v="Middle_Age(30-50)"/>
    <x v="1"/>
    <s v="Rarely"/>
    <s v="Research &amp; Development"/>
    <n v="24"/>
    <s v="Far(&gt;=15)"/>
    <n v="3"/>
    <s v="Satisfied(&gt;=3)"/>
    <x v="0"/>
    <n v="2"/>
    <s v="Low"/>
    <n v="2"/>
    <x v="0"/>
    <x v="4"/>
    <n v="1"/>
    <s v="Not_Satisfied(&lt;=2)"/>
    <x v="0"/>
    <n v="1"/>
    <s v="Y"/>
    <x v="1"/>
    <n v="19"/>
    <x v="0"/>
    <n v="10"/>
    <n v="3"/>
    <s v="Good(&gt;=3)"/>
    <n v="10"/>
    <s v="Long(5-10)"/>
    <n v="9"/>
    <x v="1"/>
    <n v="1"/>
    <s v="Reasonable(&lt;=3)"/>
  </r>
  <r>
    <x v="6"/>
    <s v="Old(&gt;50)"/>
    <x v="1"/>
    <s v="Rarely"/>
    <s v="Sales"/>
    <n v="3"/>
    <s v="Nearby(&lt;=5)"/>
    <n v="3"/>
    <s v="Satisfied(&gt;=3)"/>
    <x v="0"/>
    <n v="2"/>
    <s v="Low"/>
    <n v="2"/>
    <x v="0"/>
    <x v="0"/>
    <n v="4"/>
    <s v="Satisfied(&gt;=3)"/>
    <x v="0"/>
    <n v="5"/>
    <s v="Y"/>
    <x v="1"/>
    <n v="17"/>
    <x v="0"/>
    <n v="13"/>
    <n v="3"/>
    <s v="Good(&gt;=3)"/>
    <n v="6"/>
    <s v="Long(5-10)"/>
    <n v="1"/>
    <x v="0"/>
    <n v="0"/>
    <s v="Reasonable(&lt;=3)"/>
  </r>
  <r>
    <x v="23"/>
    <s v="Middle_Age(30-50)"/>
    <x v="1"/>
    <s v="Rarely"/>
    <s v="Research &amp; Development"/>
    <n v="3"/>
    <s v="Nearby(&lt;=5)"/>
    <n v="3"/>
    <s v="Satisfied(&gt;=3)"/>
    <x v="1"/>
    <n v="1"/>
    <s v="Low"/>
    <n v="5"/>
    <x v="2"/>
    <x v="7"/>
    <n v="4"/>
    <s v="Satisfied(&gt;=3)"/>
    <x v="1"/>
    <n v="3"/>
    <s v="Y"/>
    <x v="1"/>
    <n v="14"/>
    <x v="0"/>
    <n v="25"/>
    <n v="3"/>
    <s v="Good(&gt;=3)"/>
    <n v="8"/>
    <s v="Long(5-10)"/>
    <n v="7"/>
    <x v="1"/>
    <n v="0"/>
    <s v="Reasonable(&lt;=3)"/>
  </r>
  <r>
    <x v="1"/>
    <s v="Middle_Age(30-50)"/>
    <x v="1"/>
    <s v="Rarely"/>
    <s v="Research &amp; Development"/>
    <n v="4"/>
    <s v="Nearby(&lt;=5)"/>
    <n v="1"/>
    <s v="Not_Satisfied(&lt;3)"/>
    <x v="1"/>
    <n v="2"/>
    <s v="Low"/>
    <n v="5"/>
    <x v="2"/>
    <x v="5"/>
    <n v="3"/>
    <s v="Satisfied(&gt;=3)"/>
    <x v="1"/>
    <n v="2"/>
    <s v="Y"/>
    <x v="1"/>
    <n v="13"/>
    <x v="0"/>
    <n v="23"/>
    <n v="4"/>
    <s v="Good(&gt;=3)"/>
    <n v="1"/>
    <s v="Short(&lt;=4)"/>
    <n v="0"/>
    <x v="0"/>
    <n v="0"/>
    <s v="Reasonable(&lt;=3)"/>
  </r>
  <r>
    <x v="9"/>
    <s v="Middle_Age(30-50)"/>
    <x v="1"/>
    <s v="Frequently"/>
    <s v="Research &amp; Development"/>
    <n v="3"/>
    <s v="Nearby(&lt;=5)"/>
    <n v="3"/>
    <s v="Satisfied(&gt;=3)"/>
    <x v="1"/>
    <n v="3"/>
    <s v="Medium"/>
    <n v="1"/>
    <x v="0"/>
    <x v="1"/>
    <n v="2"/>
    <s v="Not_Satisfied(&lt;=2)"/>
    <x v="1"/>
    <n v="1"/>
    <s v="Y"/>
    <x v="1"/>
    <n v="12"/>
    <x v="0"/>
    <n v="12"/>
    <n v="2"/>
    <s v="Poor(&lt;=2)"/>
    <n v="11"/>
    <s v="Ultra_Long(&gt;10)"/>
    <n v="10"/>
    <x v="1"/>
    <n v="0"/>
    <s v="Reasonable(&lt;=3)"/>
  </r>
  <r>
    <x v="26"/>
    <s v="Middle_Age(30-50)"/>
    <x v="1"/>
    <s v="Rarely"/>
    <s v="Research &amp; Development"/>
    <n v="2"/>
    <s v="Nearby(&lt;=5)"/>
    <n v="4"/>
    <s v="Satisfied(&gt;=3)"/>
    <x v="1"/>
    <n v="4"/>
    <s v="High"/>
    <n v="1"/>
    <x v="0"/>
    <x v="2"/>
    <n v="2"/>
    <s v="Not_Satisfied(&lt;=2)"/>
    <x v="0"/>
    <n v="5"/>
    <s v="Y"/>
    <x v="1"/>
    <n v="11"/>
    <x v="0"/>
    <n v="7"/>
    <n v="2"/>
    <s v="Poor(&lt;=2)"/>
    <n v="1"/>
    <s v="Short(&lt;=4)"/>
    <n v="0"/>
    <x v="0"/>
    <n v="0"/>
    <s v="Reasonable(&lt;=3)"/>
  </r>
  <r>
    <x v="4"/>
    <s v="Young(&lt;=29)"/>
    <x v="1"/>
    <s v="Rarely"/>
    <s v="Research &amp; Development"/>
    <n v="4"/>
    <s v="Nearby(&lt;=5)"/>
    <n v="1"/>
    <s v="Not_Satisfied(&lt;3)"/>
    <x v="1"/>
    <n v="3"/>
    <s v="Medium"/>
    <n v="1"/>
    <x v="0"/>
    <x v="1"/>
    <n v="3"/>
    <s v="Satisfied(&gt;=3)"/>
    <x v="2"/>
    <n v="1"/>
    <s v="Y"/>
    <x v="1"/>
    <n v="11"/>
    <x v="0"/>
    <n v="5"/>
    <n v="3"/>
    <s v="Good(&gt;=3)"/>
    <n v="5"/>
    <s v="Long(5-10)"/>
    <n v="3"/>
    <x v="0"/>
    <n v="0"/>
    <s v="Reasonable(&lt;=3)"/>
  </r>
  <r>
    <x v="11"/>
    <s v="Young(&lt;=29)"/>
    <x v="1"/>
    <s v="Rarely"/>
    <s v="Research &amp; Development"/>
    <n v="7"/>
    <s v="Middistance(6-14)"/>
    <n v="3"/>
    <s v="Satisfied(&gt;=3)"/>
    <x v="1"/>
    <n v="3"/>
    <s v="Medium"/>
    <n v="2"/>
    <x v="0"/>
    <x v="4"/>
    <n v="4"/>
    <s v="Satisfied(&gt;=3)"/>
    <x v="2"/>
    <n v="1"/>
    <s v="Y"/>
    <x v="0"/>
    <n v="11"/>
    <x v="0"/>
    <n v="6"/>
    <n v="3"/>
    <s v="Good(&gt;=3)"/>
    <n v="6"/>
    <s v="Long(5-10)"/>
    <n v="0"/>
    <x v="0"/>
    <n v="1"/>
    <s v="Reasonable(&lt;=3)"/>
  </r>
  <r>
    <x v="26"/>
    <s v="Middle_Age(30-50)"/>
    <x v="1"/>
    <s v="Rarely"/>
    <s v="Research &amp; Development"/>
    <n v="1"/>
    <s v="Nearby(&lt;=5)"/>
    <n v="4"/>
    <s v="Satisfied(&gt;=3)"/>
    <x v="1"/>
    <n v="2"/>
    <s v="Low"/>
    <n v="5"/>
    <x v="2"/>
    <x v="7"/>
    <n v="4"/>
    <s v="Satisfied(&gt;=3)"/>
    <x v="0"/>
    <n v="6"/>
    <s v="Y"/>
    <x v="1"/>
    <n v="12"/>
    <x v="0"/>
    <n v="25"/>
    <n v="4"/>
    <s v="Good(&gt;=3)"/>
    <n v="1"/>
    <s v="Short(&lt;=4)"/>
    <n v="0"/>
    <x v="0"/>
    <n v="0"/>
    <s v="Reasonable(&lt;=3)"/>
  </r>
  <r>
    <x v="11"/>
    <s v="Young(&lt;=29)"/>
    <x v="1"/>
    <s v="Rarely"/>
    <s v="Research &amp; Development"/>
    <n v="1"/>
    <s v="Nearby(&lt;=5)"/>
    <n v="4"/>
    <s v="Satisfied(&gt;=3)"/>
    <x v="0"/>
    <n v="2"/>
    <s v="Low"/>
    <n v="4"/>
    <x v="2"/>
    <x v="7"/>
    <n v="4"/>
    <s v="Satisfied(&gt;=3)"/>
    <x v="2"/>
    <n v="3"/>
    <s v="Y"/>
    <x v="1"/>
    <n v="14"/>
    <x v="0"/>
    <n v="9"/>
    <n v="2"/>
    <s v="Poor(&lt;=2)"/>
    <n v="7"/>
    <s v="Long(5-10)"/>
    <n v="7"/>
    <x v="1"/>
    <n v="1"/>
    <s v="Reasonable(&lt;=3)"/>
  </r>
  <r>
    <x v="13"/>
    <s v="Middle_Age(30-50)"/>
    <x v="1"/>
    <s v="Rarely"/>
    <s v="Research &amp; Development"/>
    <n v="20"/>
    <s v="Far(&gt;=15)"/>
    <n v="3"/>
    <s v="Satisfied(&gt;=3)"/>
    <x v="0"/>
    <n v="4"/>
    <s v="High"/>
    <n v="1"/>
    <x v="0"/>
    <x v="1"/>
    <n v="3"/>
    <s v="Satisfied(&gt;=3)"/>
    <x v="1"/>
    <n v="0"/>
    <s v="Y"/>
    <x v="1"/>
    <n v="17"/>
    <x v="0"/>
    <n v="2"/>
    <n v="2"/>
    <s v="Poor(&lt;=2)"/>
    <n v="1"/>
    <s v="Short(&lt;=4)"/>
    <n v="0"/>
    <x v="0"/>
    <n v="0"/>
    <s v="Reasonable(&lt;=3)"/>
  </r>
  <r>
    <x v="20"/>
    <s v="Middle_Age(30-50)"/>
    <x v="1"/>
    <s v="Rarely"/>
    <s v="Sales"/>
    <n v="5"/>
    <s v="Nearby(&lt;=5)"/>
    <n v="2"/>
    <s v="Not_Satisfied(&lt;3)"/>
    <x v="1"/>
    <n v="3"/>
    <s v="Medium"/>
    <n v="5"/>
    <x v="2"/>
    <x v="5"/>
    <n v="2"/>
    <s v="Not_Satisfied(&lt;=2)"/>
    <x v="1"/>
    <n v="7"/>
    <s v="Y"/>
    <x v="1"/>
    <n v="11"/>
    <x v="0"/>
    <n v="26"/>
    <n v="3"/>
    <s v="Good(&gt;=3)"/>
    <n v="22"/>
    <s v="Ultra_Long(&gt;10)"/>
    <n v="9"/>
    <x v="1"/>
    <n v="3"/>
    <s v="Reasonable(&lt;=3)"/>
  </r>
  <r>
    <x v="3"/>
    <s v="Middle_Age(30-50)"/>
    <x v="1"/>
    <s v="Rarely"/>
    <s v="Sales"/>
    <n v="10"/>
    <s v="Middistance(6-14)"/>
    <n v="4"/>
    <s v="Satisfied(&gt;=3)"/>
    <x v="1"/>
    <n v="4"/>
    <s v="High"/>
    <n v="3"/>
    <x v="1"/>
    <x v="0"/>
    <n v="3"/>
    <s v="Satisfied(&gt;=3)"/>
    <x v="2"/>
    <n v="0"/>
    <s v="Y"/>
    <x v="0"/>
    <n v="14"/>
    <x v="0"/>
    <n v="10"/>
    <n v="3"/>
    <s v="Good(&gt;=3)"/>
    <n v="9"/>
    <s v="Long(5-10)"/>
    <n v="8"/>
    <x v="1"/>
    <n v="0"/>
    <s v="Reasonable(&lt;=3)"/>
  </r>
  <r>
    <x v="37"/>
    <s v="Young(&lt;=29)"/>
    <x v="1"/>
    <s v="Rarely"/>
    <s v="Research &amp; Development"/>
    <n v="25"/>
    <s v="Far(&gt;=15)"/>
    <n v="2"/>
    <s v="Not_Satisfied(&lt;3)"/>
    <x v="0"/>
    <n v="4"/>
    <s v="High"/>
    <n v="1"/>
    <x v="0"/>
    <x v="1"/>
    <n v="4"/>
    <s v="Satisfied(&gt;=3)"/>
    <x v="0"/>
    <n v="1"/>
    <s v="Y"/>
    <x v="0"/>
    <n v="12"/>
    <x v="0"/>
    <n v="1"/>
    <n v="3"/>
    <s v="Good(&gt;=3)"/>
    <n v="1"/>
    <s v="Short(&lt;=4)"/>
    <n v="0"/>
    <x v="0"/>
    <n v="0"/>
    <s v="Reasonable(&lt;=3)"/>
  </r>
  <r>
    <x v="30"/>
    <s v="Young(&lt;=29)"/>
    <x v="1"/>
    <s v="Rarely"/>
    <s v="Research &amp; Development"/>
    <n v="1"/>
    <s v="Nearby(&lt;=5)"/>
    <n v="4"/>
    <s v="Satisfied(&gt;=3)"/>
    <x v="1"/>
    <n v="3"/>
    <s v="Medium"/>
    <n v="1"/>
    <x v="0"/>
    <x v="1"/>
    <n v="3"/>
    <s v="Satisfied(&gt;=3)"/>
    <x v="1"/>
    <n v="1"/>
    <s v="Y"/>
    <x v="1"/>
    <n v="22"/>
    <x v="1"/>
    <n v="1"/>
    <n v="3"/>
    <s v="Good(&gt;=3)"/>
    <n v="1"/>
    <s v="Short(&lt;=4)"/>
    <n v="0"/>
    <x v="0"/>
    <n v="0"/>
    <s v="Reasonable(&lt;=3)"/>
  </r>
  <r>
    <x v="36"/>
    <s v="Young(&lt;=29)"/>
    <x v="0"/>
    <s v="Frequently"/>
    <s v="Sales"/>
    <n v="24"/>
    <s v="Far(&gt;=15)"/>
    <n v="3"/>
    <s v="Satisfied(&gt;=3)"/>
    <x v="1"/>
    <n v="1"/>
    <s v="Low"/>
    <n v="1"/>
    <x v="0"/>
    <x v="6"/>
    <n v="4"/>
    <s v="Satisfied(&gt;=3)"/>
    <x v="0"/>
    <n v="1"/>
    <s v="Y"/>
    <x v="0"/>
    <n v="14"/>
    <x v="0"/>
    <n v="1"/>
    <n v="3"/>
    <s v="Good(&gt;=3)"/>
    <n v="1"/>
    <s v="Short(&lt;=4)"/>
    <n v="0"/>
    <x v="0"/>
    <n v="1"/>
    <s v="Reasonable(&lt;=3)"/>
  </r>
  <r>
    <x v="25"/>
    <s v="Young(&lt;=29)"/>
    <x v="1"/>
    <s v="Rarely"/>
    <s v="Research &amp; Development"/>
    <n v="4"/>
    <s v="Nearby(&lt;=5)"/>
    <n v="3"/>
    <s v="Satisfied(&gt;=3)"/>
    <x v="1"/>
    <n v="3"/>
    <s v="Medium"/>
    <n v="1"/>
    <x v="0"/>
    <x v="1"/>
    <n v="4"/>
    <s v="Satisfied(&gt;=3)"/>
    <x v="0"/>
    <n v="1"/>
    <s v="Y"/>
    <x v="0"/>
    <n v="20"/>
    <x v="1"/>
    <n v="8"/>
    <n v="2"/>
    <s v="Poor(&lt;=2)"/>
    <n v="8"/>
    <s v="Long(5-10)"/>
    <n v="5"/>
    <x v="1"/>
    <n v="2"/>
    <s v="Reasonable(&lt;=3)"/>
  </r>
  <r>
    <x v="28"/>
    <s v="Middle_Age(30-50)"/>
    <x v="0"/>
    <s v="Rarely"/>
    <s v="Sales"/>
    <n v="2"/>
    <s v="Nearby(&lt;=5)"/>
    <n v="1"/>
    <s v="Not_Satisfied(&lt;3)"/>
    <x v="0"/>
    <n v="1"/>
    <s v="Low"/>
    <n v="5"/>
    <x v="2"/>
    <x v="5"/>
    <n v="2"/>
    <s v="Not_Satisfied(&lt;=2)"/>
    <x v="0"/>
    <n v="2"/>
    <s v="Y"/>
    <x v="0"/>
    <n v="16"/>
    <x v="0"/>
    <n v="26"/>
    <n v="3"/>
    <s v="Good(&gt;=3)"/>
    <n v="24"/>
    <s v="Ultra_Long(&gt;10)"/>
    <n v="10"/>
    <x v="1"/>
    <n v="1"/>
    <s v="Reasonable(&lt;=3)"/>
  </r>
  <r>
    <x v="27"/>
    <s v="Old(&gt;50)"/>
    <x v="1"/>
    <s v="Rarely"/>
    <s v="Research &amp; Development"/>
    <n v="8"/>
    <s v="Middistance(6-14)"/>
    <n v="4"/>
    <s v="Satisfied(&gt;=3)"/>
    <x v="1"/>
    <n v="2"/>
    <s v="Low"/>
    <n v="4"/>
    <x v="2"/>
    <x v="4"/>
    <n v="2"/>
    <s v="Not_Satisfied(&lt;=2)"/>
    <x v="2"/>
    <n v="1"/>
    <s v="Y"/>
    <x v="0"/>
    <n v="15"/>
    <x v="0"/>
    <n v="34"/>
    <n v="3"/>
    <s v="Good(&gt;=3)"/>
    <n v="33"/>
    <s v="Ultra_Long(&gt;10)"/>
    <n v="9"/>
    <x v="1"/>
    <n v="15"/>
    <s v="Not_Reasonable(&gt;3)"/>
  </r>
  <r>
    <x v="18"/>
    <s v="Young(&lt;=29)"/>
    <x v="0"/>
    <s v="Frequently"/>
    <s v="Research &amp; Development"/>
    <n v="10"/>
    <s v="Middistance(6-14)"/>
    <n v="1"/>
    <s v="Not_Satisfied(&lt;3)"/>
    <x v="0"/>
    <n v="2"/>
    <s v="Low"/>
    <n v="1"/>
    <x v="0"/>
    <x v="2"/>
    <n v="3"/>
    <s v="Satisfied(&gt;=3)"/>
    <x v="0"/>
    <n v="1"/>
    <s v="Y"/>
    <x v="1"/>
    <n v="20"/>
    <x v="1"/>
    <n v="2"/>
    <n v="1"/>
    <s v="Poor(&lt;=2)"/>
    <n v="2"/>
    <s v="Short(&lt;=4)"/>
    <n v="2"/>
    <x v="0"/>
    <n v="2"/>
    <s v="Reasonable(&lt;=3)"/>
  </r>
  <r>
    <x v="21"/>
    <s v="Middle_Age(30-50)"/>
    <x v="1"/>
    <s v="Rarely"/>
    <s v="Sales"/>
    <n v="4"/>
    <s v="Nearby(&lt;=5)"/>
    <n v="4"/>
    <s v="Satisfied(&gt;=3)"/>
    <x v="0"/>
    <n v="2"/>
    <s v="Low"/>
    <n v="5"/>
    <x v="2"/>
    <x v="5"/>
    <n v="2"/>
    <s v="Not_Satisfied(&lt;=2)"/>
    <x v="1"/>
    <n v="2"/>
    <s v="Y"/>
    <x v="1"/>
    <n v="14"/>
    <x v="0"/>
    <n v="26"/>
    <n v="3"/>
    <s v="Good(&gt;=3)"/>
    <n v="11"/>
    <s v="Ultra_Long(&gt;10)"/>
    <n v="4"/>
    <x v="0"/>
    <n v="0"/>
    <s v="Reasonable(&lt;=3)"/>
  </r>
  <r>
    <x v="13"/>
    <s v="Middle_Age(30-50)"/>
    <x v="1"/>
    <s v="Rarely"/>
    <s v="Sales"/>
    <n v="2"/>
    <s v="Nearby(&lt;=5)"/>
    <n v="3"/>
    <s v="Satisfied(&gt;=3)"/>
    <x v="0"/>
    <n v="3"/>
    <s v="Medium"/>
    <n v="2"/>
    <x v="0"/>
    <x v="0"/>
    <n v="1"/>
    <s v="Not_Satisfied(&lt;=2)"/>
    <x v="0"/>
    <n v="0"/>
    <s v="Y"/>
    <x v="0"/>
    <n v="12"/>
    <x v="0"/>
    <n v="4"/>
    <n v="3"/>
    <s v="Good(&gt;=3)"/>
    <n v="3"/>
    <s v="Short(&lt;=4)"/>
    <n v="2"/>
    <x v="0"/>
    <n v="0"/>
    <s v="Reasonable(&lt;=3)"/>
  </r>
  <r>
    <x v="31"/>
    <s v="Old(&gt;50)"/>
    <x v="1"/>
    <s v="Frequently"/>
    <s v="Sales"/>
    <n v="9"/>
    <s v="Middistance(6-14)"/>
    <n v="4"/>
    <s v="Satisfied(&gt;=3)"/>
    <x v="1"/>
    <n v="3"/>
    <s v="Medium"/>
    <n v="5"/>
    <x v="2"/>
    <x v="5"/>
    <n v="2"/>
    <s v="Not_Satisfied(&lt;=2)"/>
    <x v="2"/>
    <n v="4"/>
    <s v="Y"/>
    <x v="0"/>
    <n v="24"/>
    <x v="1"/>
    <n v="31"/>
    <n v="2"/>
    <s v="Poor(&lt;=2)"/>
    <n v="29"/>
    <s v="Ultra_Long(&gt;10)"/>
    <n v="10"/>
    <x v="1"/>
    <n v="11"/>
    <s v="Not_Reasonable(&gt;3)"/>
  </r>
  <r>
    <x v="6"/>
    <s v="Old(&gt;50)"/>
    <x v="1"/>
    <s v="Rarely"/>
    <s v="Research &amp; Development"/>
    <n v="18"/>
    <s v="Far(&gt;=15)"/>
    <n v="4"/>
    <s v="Satisfied(&gt;=3)"/>
    <x v="1"/>
    <n v="3"/>
    <s v="Medium"/>
    <n v="3"/>
    <x v="1"/>
    <x v="3"/>
    <n v="4"/>
    <s v="Satisfied(&gt;=3)"/>
    <x v="0"/>
    <n v="6"/>
    <s v="Y"/>
    <x v="1"/>
    <n v="12"/>
    <x v="0"/>
    <n v="25"/>
    <n v="2"/>
    <s v="Poor(&lt;=2)"/>
    <n v="9"/>
    <s v="Long(5-10)"/>
    <n v="7"/>
    <x v="1"/>
    <n v="5"/>
    <s v="Not_Reasonable(&gt;3)"/>
  </r>
  <r>
    <x v="13"/>
    <s v="Middle_Age(30-50)"/>
    <x v="1"/>
    <s v="Frequently"/>
    <s v="Research &amp; Development"/>
    <n v="19"/>
    <s v="Far(&gt;=15)"/>
    <n v="3"/>
    <s v="Satisfied(&gt;=3)"/>
    <x v="0"/>
    <n v="3"/>
    <s v="Medium"/>
    <n v="2"/>
    <x v="0"/>
    <x v="2"/>
    <n v="2"/>
    <s v="Not_Satisfied(&lt;=2)"/>
    <x v="2"/>
    <n v="4"/>
    <s v="Y"/>
    <x v="1"/>
    <n v="13"/>
    <x v="0"/>
    <n v="15"/>
    <n v="4"/>
    <s v="Good(&gt;=3)"/>
    <n v="11"/>
    <s v="Ultra_Long(&gt;10)"/>
    <n v="8"/>
    <x v="1"/>
    <n v="5"/>
    <s v="Not_Reasonable(&gt;3)"/>
  </r>
  <r>
    <x v="14"/>
    <s v="Young(&lt;=29)"/>
    <x v="1"/>
    <s v="Frequently"/>
    <s v="Research &amp; Development"/>
    <n v="1"/>
    <s v="Nearby(&lt;=5)"/>
    <n v="4"/>
    <s v="Satisfied(&gt;=3)"/>
    <x v="1"/>
    <n v="3"/>
    <s v="Medium"/>
    <n v="1"/>
    <x v="0"/>
    <x v="2"/>
    <n v="3"/>
    <s v="Satisfied(&gt;=3)"/>
    <x v="0"/>
    <n v="0"/>
    <s v="Y"/>
    <x v="0"/>
    <n v="11"/>
    <x v="0"/>
    <n v="5"/>
    <n v="2"/>
    <s v="Poor(&lt;=2)"/>
    <n v="4"/>
    <s v="Short(&lt;=4)"/>
    <n v="2"/>
    <x v="0"/>
    <n v="0"/>
    <s v="Reasonable(&lt;=3)"/>
  </r>
  <r>
    <x v="20"/>
    <s v="Middle_Age(30-50)"/>
    <x v="1"/>
    <s v="Rarely"/>
    <s v="Research &amp; Development"/>
    <n v="4"/>
    <s v="Nearby(&lt;=5)"/>
    <n v="3"/>
    <s v="Satisfied(&gt;=3)"/>
    <x v="1"/>
    <n v="4"/>
    <s v="High"/>
    <n v="5"/>
    <x v="2"/>
    <x v="5"/>
    <n v="1"/>
    <s v="Not_Satisfied(&lt;=2)"/>
    <x v="2"/>
    <n v="1"/>
    <s v="Y"/>
    <x v="1"/>
    <n v="14"/>
    <x v="0"/>
    <n v="26"/>
    <n v="2"/>
    <s v="Poor(&lt;=2)"/>
    <n v="25"/>
    <s v="Ultra_Long(&gt;10)"/>
    <n v="9"/>
    <x v="1"/>
    <n v="14"/>
    <s v="Not_Reasonable(&gt;3)"/>
  </r>
  <r>
    <x v="13"/>
    <s v="Middle_Age(30-50)"/>
    <x v="1"/>
    <s v="Frequently"/>
    <s v="Human Resources"/>
    <n v="11"/>
    <s v="Middistance(6-14)"/>
    <n v="3"/>
    <s v="Satisfied(&gt;=3)"/>
    <x v="1"/>
    <n v="2"/>
    <s v="Low"/>
    <n v="2"/>
    <x v="0"/>
    <x v="8"/>
    <n v="2"/>
    <s v="Not_Satisfied(&lt;=2)"/>
    <x v="1"/>
    <n v="4"/>
    <s v="Y"/>
    <x v="1"/>
    <n v="11"/>
    <x v="0"/>
    <n v="14"/>
    <n v="4"/>
    <s v="Good(&gt;=3)"/>
    <n v="10"/>
    <s v="Long(5-10)"/>
    <n v="9"/>
    <x v="1"/>
    <n v="1"/>
    <s v="Reasonable(&lt;=3)"/>
  </r>
  <r>
    <x v="10"/>
    <s v="Middle_Age(30-50)"/>
    <x v="1"/>
    <s v="Rarely"/>
    <s v="Research &amp; Development"/>
    <n v="6"/>
    <s v="Middistance(6-14)"/>
    <n v="3"/>
    <s v="Satisfied(&gt;=3)"/>
    <x v="1"/>
    <n v="3"/>
    <s v="Medium"/>
    <n v="1"/>
    <x v="0"/>
    <x v="1"/>
    <n v="3"/>
    <s v="Satisfied(&gt;=3)"/>
    <x v="1"/>
    <n v="0"/>
    <s v="Y"/>
    <x v="0"/>
    <n v="14"/>
    <x v="0"/>
    <n v="4"/>
    <n v="3"/>
    <s v="Good(&gt;=3)"/>
    <n v="3"/>
    <s v="Short(&lt;=4)"/>
    <n v="2"/>
    <x v="0"/>
    <n v="2"/>
    <s v="Reasonable(&lt;=3)"/>
  </r>
  <r>
    <x v="19"/>
    <s v="Middle_Age(30-50)"/>
    <x v="1"/>
    <s v="Rarely"/>
    <s v="Research &amp; Development"/>
    <n v="7"/>
    <s v="Middistance(6-14)"/>
    <n v="2"/>
    <s v="Not_Satisfied(&lt;3)"/>
    <x v="0"/>
    <n v="4"/>
    <s v="High"/>
    <n v="2"/>
    <x v="0"/>
    <x v="1"/>
    <n v="2"/>
    <s v="Not_Satisfied(&lt;=2)"/>
    <x v="1"/>
    <n v="6"/>
    <s v="Y"/>
    <x v="0"/>
    <n v="16"/>
    <x v="0"/>
    <n v="18"/>
    <n v="3"/>
    <s v="Good(&gt;=3)"/>
    <n v="1"/>
    <s v="Short(&lt;=4)"/>
    <n v="0"/>
    <x v="0"/>
    <n v="0"/>
    <s v="Reasonable(&lt;=3)"/>
  </r>
  <r>
    <x v="23"/>
    <s v="Middle_Age(30-50)"/>
    <x v="1"/>
    <s v="Rarely"/>
    <s v="Sales"/>
    <n v="4"/>
    <s v="Nearby(&lt;=5)"/>
    <n v="4"/>
    <s v="Satisfied(&gt;=3)"/>
    <x v="0"/>
    <n v="2"/>
    <s v="Low"/>
    <n v="3"/>
    <x v="1"/>
    <x v="0"/>
    <n v="4"/>
    <s v="Satisfied(&gt;=3)"/>
    <x v="0"/>
    <n v="3"/>
    <s v="Y"/>
    <x v="1"/>
    <n v="14"/>
    <x v="0"/>
    <n v="23"/>
    <n v="4"/>
    <s v="Good(&gt;=3)"/>
    <n v="21"/>
    <s v="Ultra_Long(&gt;10)"/>
    <n v="7"/>
    <x v="1"/>
    <n v="15"/>
    <s v="Not_Reasonable(&gt;3)"/>
  </r>
  <r>
    <x v="9"/>
    <s v="Middle_Age(30-50)"/>
    <x v="1"/>
    <s v="Rarely"/>
    <s v="Research &amp; Development"/>
    <n v="2"/>
    <s v="Nearby(&lt;=5)"/>
    <n v="3"/>
    <s v="Satisfied(&gt;=3)"/>
    <x v="0"/>
    <n v="3"/>
    <s v="Medium"/>
    <n v="2"/>
    <x v="0"/>
    <x v="3"/>
    <n v="2"/>
    <s v="Not_Satisfied(&lt;=2)"/>
    <x v="0"/>
    <n v="9"/>
    <s v="Y"/>
    <x v="0"/>
    <n v="11"/>
    <x v="0"/>
    <n v="18"/>
    <n v="3"/>
    <s v="Good(&gt;=3)"/>
    <n v="16"/>
    <s v="Ultra_Long(&gt;10)"/>
    <n v="14"/>
    <x v="2"/>
    <n v="5"/>
    <s v="Not_Reasonable(&gt;3)"/>
  </r>
  <r>
    <x v="20"/>
    <s v="Middle_Age(30-50)"/>
    <x v="0"/>
    <s v="Rarely"/>
    <s v="Research &amp; Development"/>
    <n v="15"/>
    <s v="Far(&gt;=15)"/>
    <n v="1"/>
    <s v="Not_Satisfied(&lt;3)"/>
    <x v="0"/>
    <n v="3"/>
    <s v="Medium"/>
    <n v="3"/>
    <x v="1"/>
    <x v="4"/>
    <n v="4"/>
    <s v="Satisfied(&gt;=3)"/>
    <x v="1"/>
    <n v="1"/>
    <s v="Y"/>
    <x v="1"/>
    <n v="11"/>
    <x v="0"/>
    <n v="10"/>
    <n v="3"/>
    <s v="Good(&gt;=3)"/>
    <n v="10"/>
    <s v="Long(5-10)"/>
    <n v="7"/>
    <x v="1"/>
    <n v="0"/>
    <s v="Reasonable(&lt;=3)"/>
  </r>
  <r>
    <x v="14"/>
    <s v="Young(&lt;=29)"/>
    <x v="1"/>
    <s v="Frequently"/>
    <s v="Research &amp; Development"/>
    <n v="2"/>
    <s v="Nearby(&lt;=5)"/>
    <n v="4"/>
    <s v="Satisfied(&gt;=3)"/>
    <x v="1"/>
    <n v="2"/>
    <s v="Low"/>
    <n v="1"/>
    <x v="0"/>
    <x v="2"/>
    <n v="4"/>
    <s v="Satisfied(&gt;=3)"/>
    <x v="1"/>
    <n v="1"/>
    <s v="Y"/>
    <x v="0"/>
    <n v="12"/>
    <x v="0"/>
    <n v="2"/>
    <n v="3"/>
    <s v="Good(&gt;=3)"/>
    <n v="2"/>
    <s v="Short(&lt;=4)"/>
    <n v="2"/>
    <x v="0"/>
    <n v="2"/>
    <s v="Reasonable(&lt;=3)"/>
  </r>
  <r>
    <x v="31"/>
    <s v="Old(&gt;50)"/>
    <x v="1"/>
    <s v="Frequently"/>
    <s v="Research &amp; Development"/>
    <n v="6"/>
    <s v="Middistance(6-14)"/>
    <n v="2"/>
    <s v="Not_Satisfied(&lt;3)"/>
    <x v="0"/>
    <n v="2"/>
    <s v="Low"/>
    <n v="1"/>
    <x v="0"/>
    <x v="2"/>
    <n v="3"/>
    <s v="Satisfied(&gt;=3)"/>
    <x v="0"/>
    <n v="0"/>
    <s v="Y"/>
    <x v="1"/>
    <n v="14"/>
    <x v="0"/>
    <n v="8"/>
    <n v="2"/>
    <s v="Poor(&lt;=2)"/>
    <n v="7"/>
    <s v="Long(5-10)"/>
    <n v="0"/>
    <x v="0"/>
    <n v="7"/>
    <s v="Not_Reasonable(&gt;3)"/>
  </r>
  <r>
    <x v="7"/>
    <s v="Middle_Age(30-50)"/>
    <x v="1"/>
    <s v="Rarely"/>
    <s v="Research &amp; Development"/>
    <n v="9"/>
    <s v="Middistance(6-14)"/>
    <n v="3"/>
    <s v="Satisfied(&gt;=3)"/>
    <x v="0"/>
    <n v="3"/>
    <s v="Medium"/>
    <n v="2"/>
    <x v="0"/>
    <x v="3"/>
    <n v="3"/>
    <s v="Satisfied(&gt;=3)"/>
    <x v="0"/>
    <n v="7"/>
    <s v="Y"/>
    <x v="0"/>
    <n v="18"/>
    <x v="0"/>
    <n v="10"/>
    <n v="3"/>
    <s v="Good(&gt;=3)"/>
    <n v="8"/>
    <s v="Long(5-10)"/>
    <n v="4"/>
    <x v="0"/>
    <n v="1"/>
    <s v="Reasonable(&lt;=3)"/>
  </r>
  <r>
    <x v="11"/>
    <s v="Young(&lt;=29)"/>
    <x v="0"/>
    <s v="Rarely"/>
    <s v="Research &amp; Development"/>
    <n v="7"/>
    <s v="Middistance(6-14)"/>
    <n v="2"/>
    <s v="Not_Satisfied(&lt;3)"/>
    <x v="0"/>
    <n v="3"/>
    <s v="Medium"/>
    <n v="1"/>
    <x v="0"/>
    <x v="2"/>
    <n v="3"/>
    <s v="Satisfied(&gt;=3)"/>
    <x v="2"/>
    <n v="3"/>
    <s v="Y"/>
    <x v="0"/>
    <n v="13"/>
    <x v="0"/>
    <n v="10"/>
    <n v="3"/>
    <s v="Good(&gt;=3)"/>
    <n v="7"/>
    <s v="Long(5-10)"/>
    <n v="7"/>
    <x v="1"/>
    <n v="7"/>
    <s v="Not_Reasonable(&gt;3)"/>
  </r>
  <r>
    <x v="14"/>
    <s v="Young(&lt;=29)"/>
    <x v="1"/>
    <s v="Rarely"/>
    <s v="Research &amp; Development"/>
    <n v="1"/>
    <s v="Nearby(&lt;=5)"/>
    <n v="4"/>
    <s v="Satisfied(&gt;=3)"/>
    <x v="1"/>
    <n v="3"/>
    <s v="Medium"/>
    <n v="1"/>
    <x v="0"/>
    <x v="1"/>
    <n v="1"/>
    <s v="Not_Satisfied(&lt;=2)"/>
    <x v="0"/>
    <n v="2"/>
    <s v="Y"/>
    <x v="1"/>
    <n v="11"/>
    <x v="0"/>
    <n v="5"/>
    <n v="2"/>
    <s v="Poor(&lt;=2)"/>
    <n v="3"/>
    <s v="Short(&lt;=4)"/>
    <n v="2"/>
    <x v="0"/>
    <n v="1"/>
    <s v="Reasonable(&lt;=3)"/>
  </r>
  <r>
    <x v="36"/>
    <s v="Young(&lt;=29)"/>
    <x v="1"/>
    <s v="Rarely"/>
    <s v="Research &amp; Development"/>
    <n v="1"/>
    <s v="Nearby(&lt;=5)"/>
    <n v="4"/>
    <s v="Satisfied(&gt;=3)"/>
    <x v="0"/>
    <n v="3"/>
    <s v="Medium"/>
    <n v="1"/>
    <x v="0"/>
    <x v="1"/>
    <n v="2"/>
    <s v="Not_Satisfied(&lt;=2)"/>
    <x v="0"/>
    <n v="1"/>
    <s v="Y"/>
    <x v="1"/>
    <n v="18"/>
    <x v="0"/>
    <n v="2"/>
    <n v="2"/>
    <s v="Poor(&lt;=2)"/>
    <n v="2"/>
    <s v="Short(&lt;=4)"/>
    <n v="2"/>
    <x v="0"/>
    <n v="2"/>
    <s v="Reasonable(&lt;=3)"/>
  </r>
  <r>
    <x v="5"/>
    <s v="Middle_Age(30-50)"/>
    <x v="1"/>
    <s v="Rarely"/>
    <s v="Sales"/>
    <n v="8"/>
    <s v="Middistance(6-14)"/>
    <n v="3"/>
    <s v="Satisfied(&gt;=3)"/>
    <x v="1"/>
    <n v="4"/>
    <s v="High"/>
    <n v="2"/>
    <x v="0"/>
    <x v="0"/>
    <n v="4"/>
    <s v="Satisfied(&gt;=3)"/>
    <x v="1"/>
    <n v="1"/>
    <s v="Y"/>
    <x v="1"/>
    <n v="15"/>
    <x v="0"/>
    <n v="10"/>
    <n v="4"/>
    <s v="Good(&gt;=3)"/>
    <n v="10"/>
    <s v="Long(5-10)"/>
    <n v="7"/>
    <x v="1"/>
    <n v="0"/>
    <s v="Reasonable(&lt;=3)"/>
  </r>
  <r>
    <x v="28"/>
    <s v="Middle_Age(30-50)"/>
    <x v="1"/>
    <s v="Frequently"/>
    <s v="Research &amp; Development"/>
    <n v="25"/>
    <s v="Far(&gt;=15)"/>
    <n v="2"/>
    <s v="Not_Satisfied(&lt;3)"/>
    <x v="0"/>
    <n v="3"/>
    <s v="Medium"/>
    <n v="5"/>
    <x v="2"/>
    <x v="5"/>
    <n v="2"/>
    <s v="Not_Satisfied(&lt;=2)"/>
    <x v="0"/>
    <n v="3"/>
    <s v="Y"/>
    <x v="1"/>
    <n v="22"/>
    <x v="1"/>
    <n v="22"/>
    <n v="3"/>
    <s v="Good(&gt;=3)"/>
    <n v="0"/>
    <s v="Short(&lt;=4)"/>
    <n v="0"/>
    <x v="0"/>
    <n v="0"/>
    <s v="Reasonable(&lt;=3)"/>
  </r>
  <r>
    <x v="22"/>
    <s v="Middle_Age(30-50)"/>
    <x v="1"/>
    <s v="Rarely"/>
    <s v="Research &amp; Development"/>
    <n v="13"/>
    <s v="Middistance(6-14)"/>
    <n v="3"/>
    <s v="Satisfied(&gt;=3)"/>
    <x v="0"/>
    <n v="2"/>
    <s v="Low"/>
    <n v="4"/>
    <x v="2"/>
    <x v="5"/>
    <n v="2"/>
    <s v="Not_Satisfied(&lt;=2)"/>
    <x v="2"/>
    <n v="6"/>
    <s v="Y"/>
    <x v="0"/>
    <n v="13"/>
    <x v="0"/>
    <n v="21"/>
    <n v="3"/>
    <s v="Good(&gt;=3)"/>
    <n v="19"/>
    <s v="Ultra_Long(&gt;10)"/>
    <n v="9"/>
    <x v="1"/>
    <n v="15"/>
    <s v="Not_Reasonable(&gt;3)"/>
  </r>
  <r>
    <x v="34"/>
    <s v="Old(&gt;50)"/>
    <x v="1"/>
    <s v="Rarely"/>
    <s v="Research &amp; Development"/>
    <n v="23"/>
    <s v="Far(&gt;=15)"/>
    <n v="1"/>
    <s v="Not_Satisfied(&lt;3)"/>
    <x v="1"/>
    <n v="3"/>
    <s v="Medium"/>
    <n v="1"/>
    <x v="0"/>
    <x v="1"/>
    <n v="3"/>
    <s v="Satisfied(&gt;=3)"/>
    <x v="2"/>
    <n v="1"/>
    <s v="Y"/>
    <x v="1"/>
    <n v="12"/>
    <x v="0"/>
    <n v="2"/>
    <n v="3"/>
    <s v="Good(&gt;=3)"/>
    <n v="2"/>
    <s v="Short(&lt;=4)"/>
    <n v="2"/>
    <x v="0"/>
    <n v="2"/>
    <s v="Reasonable(&lt;=3)"/>
  </r>
  <r>
    <x v="5"/>
    <s v="Middle_Age(30-50)"/>
    <x v="0"/>
    <s v="Rarely"/>
    <s v="Research &amp; Development"/>
    <n v="7"/>
    <s v="Middistance(6-14)"/>
    <n v="4"/>
    <s v="Satisfied(&gt;=3)"/>
    <x v="1"/>
    <n v="3"/>
    <s v="Medium"/>
    <n v="2"/>
    <x v="0"/>
    <x v="2"/>
    <n v="3"/>
    <s v="Satisfied(&gt;=3)"/>
    <x v="1"/>
    <n v="1"/>
    <s v="Y"/>
    <x v="1"/>
    <n v="18"/>
    <x v="0"/>
    <n v="10"/>
    <n v="3"/>
    <s v="Good(&gt;=3)"/>
    <n v="10"/>
    <s v="Long(5-10)"/>
    <n v="4"/>
    <x v="0"/>
    <n v="1"/>
    <s v="Reasonable(&lt;=3)"/>
  </r>
  <r>
    <x v="22"/>
    <s v="Middle_Age(30-50)"/>
    <x v="0"/>
    <s v="Rarely"/>
    <s v="Research &amp; Development"/>
    <n v="23"/>
    <s v="Far(&gt;=15)"/>
    <n v="3"/>
    <s v="Satisfied(&gt;=3)"/>
    <x v="1"/>
    <n v="3"/>
    <s v="Medium"/>
    <n v="1"/>
    <x v="0"/>
    <x v="1"/>
    <n v="1"/>
    <s v="Not_Satisfied(&lt;=2)"/>
    <x v="0"/>
    <n v="0"/>
    <s v="Y"/>
    <x v="1"/>
    <n v="13"/>
    <x v="0"/>
    <n v="6"/>
    <n v="3"/>
    <s v="Good(&gt;=3)"/>
    <n v="5"/>
    <s v="Long(5-10)"/>
    <n v="2"/>
    <x v="0"/>
    <n v="0"/>
    <s v="Reasonable(&lt;=3)"/>
  </r>
  <r>
    <x v="7"/>
    <s v="Middle_Age(30-50)"/>
    <x v="1"/>
    <s v="Rarely"/>
    <s v="Research &amp; Development"/>
    <n v="6"/>
    <s v="Middistance(6-14)"/>
    <n v="1"/>
    <s v="Not_Satisfied(&lt;3)"/>
    <x v="0"/>
    <n v="2"/>
    <s v="Low"/>
    <n v="2"/>
    <x v="0"/>
    <x v="2"/>
    <n v="4"/>
    <s v="Satisfied(&gt;=3)"/>
    <x v="1"/>
    <n v="0"/>
    <s v="Y"/>
    <x v="1"/>
    <n v="12"/>
    <x v="0"/>
    <n v="10"/>
    <n v="3"/>
    <s v="Good(&gt;=3)"/>
    <n v="9"/>
    <s v="Long(5-10)"/>
    <n v="2"/>
    <x v="0"/>
    <n v="6"/>
    <s v="Not_Reasonable(&gt;3)"/>
  </r>
  <r>
    <x v="9"/>
    <s v="Middle_Age(30-50)"/>
    <x v="1"/>
    <s v="Rarely"/>
    <s v="Research &amp; Development"/>
    <n v="10"/>
    <s v="Middistance(6-14)"/>
    <n v="4"/>
    <s v="Satisfied(&gt;=3)"/>
    <x v="0"/>
    <n v="3"/>
    <s v="Medium"/>
    <n v="3"/>
    <x v="1"/>
    <x v="4"/>
    <n v="3"/>
    <s v="Satisfied(&gt;=3)"/>
    <x v="1"/>
    <n v="3"/>
    <s v="Y"/>
    <x v="1"/>
    <n v="12"/>
    <x v="0"/>
    <n v="10"/>
    <n v="3"/>
    <s v="Good(&gt;=3)"/>
    <n v="7"/>
    <s v="Long(5-10)"/>
    <n v="7"/>
    <x v="1"/>
    <n v="1"/>
    <s v="Reasonable(&lt;=3)"/>
  </r>
  <r>
    <x v="21"/>
    <s v="Middle_Age(30-50)"/>
    <x v="1"/>
    <s v="Rarely"/>
    <s v="Human Resources"/>
    <n v="1"/>
    <s v="Nearby(&lt;=5)"/>
    <n v="4"/>
    <s v="Satisfied(&gt;=3)"/>
    <x v="0"/>
    <n v="3"/>
    <s v="Medium"/>
    <n v="1"/>
    <x v="0"/>
    <x v="8"/>
    <n v="1"/>
    <s v="Not_Satisfied(&lt;=2)"/>
    <x v="0"/>
    <n v="6"/>
    <s v="Y"/>
    <x v="1"/>
    <n v="12"/>
    <x v="0"/>
    <n v="10"/>
    <n v="4"/>
    <s v="Good(&gt;=3)"/>
    <n v="7"/>
    <s v="Long(5-10)"/>
    <n v="6"/>
    <x v="1"/>
    <n v="5"/>
    <s v="Not_Reasonable(&gt;3)"/>
  </r>
  <r>
    <x v="14"/>
    <s v="Young(&lt;=29)"/>
    <x v="1"/>
    <s v="Rarely"/>
    <s v="Research &amp; Development"/>
    <n v="1"/>
    <s v="Nearby(&lt;=5)"/>
    <n v="3"/>
    <s v="Satisfied(&gt;=3)"/>
    <x v="0"/>
    <n v="1"/>
    <s v="Low"/>
    <n v="2"/>
    <x v="0"/>
    <x v="2"/>
    <n v="4"/>
    <s v="Satisfied(&gt;=3)"/>
    <x v="1"/>
    <n v="0"/>
    <s v="Y"/>
    <x v="1"/>
    <n v="11"/>
    <x v="0"/>
    <n v="10"/>
    <n v="3"/>
    <s v="Good(&gt;=3)"/>
    <n v="9"/>
    <s v="Long(5-10)"/>
    <n v="8"/>
    <x v="1"/>
    <n v="7"/>
    <s v="Not_Reasonable(&gt;3)"/>
  </r>
  <r>
    <x v="24"/>
    <s v="Middle_Age(30-50)"/>
    <x v="1"/>
    <s v="Rarely"/>
    <s v="Research &amp; Development"/>
    <n v="28"/>
    <s v="Far(&gt;=15)"/>
    <n v="4"/>
    <s v="Satisfied(&gt;=3)"/>
    <x v="0"/>
    <n v="3"/>
    <s v="Medium"/>
    <n v="4"/>
    <x v="2"/>
    <x v="7"/>
    <n v="1"/>
    <s v="Not_Satisfied(&lt;=2)"/>
    <x v="1"/>
    <n v="4"/>
    <s v="Y"/>
    <x v="0"/>
    <n v="11"/>
    <x v="0"/>
    <n v="25"/>
    <n v="3"/>
    <s v="Good(&gt;=3)"/>
    <n v="3"/>
    <s v="Short(&lt;=4)"/>
    <n v="2"/>
    <x v="0"/>
    <n v="1"/>
    <s v="Reasonable(&lt;=3)"/>
  </r>
  <r>
    <x v="32"/>
    <s v="Middle_Age(30-50)"/>
    <x v="0"/>
    <s v="Rarely"/>
    <s v="Sales"/>
    <n v="25"/>
    <s v="Far(&gt;=15)"/>
    <n v="4"/>
    <s v="Satisfied(&gt;=3)"/>
    <x v="1"/>
    <n v="2"/>
    <s v="Low"/>
    <n v="3"/>
    <x v="1"/>
    <x v="0"/>
    <n v="2"/>
    <s v="Not_Satisfied(&lt;=2)"/>
    <x v="0"/>
    <n v="2"/>
    <s v="Y"/>
    <x v="0"/>
    <n v="12"/>
    <x v="0"/>
    <n v="9"/>
    <n v="3"/>
    <s v="Good(&gt;=3)"/>
    <n v="5"/>
    <s v="Long(5-10)"/>
    <n v="4"/>
    <x v="0"/>
    <n v="1"/>
    <s v="Reasonable(&lt;=3)"/>
  </r>
  <r>
    <x v="39"/>
    <s v="Old(&gt;50)"/>
    <x v="0"/>
    <s v="Rarely"/>
    <s v="Sales"/>
    <n v="5"/>
    <s v="Nearby(&lt;=5)"/>
    <n v="2"/>
    <s v="Not_Satisfied(&lt;3)"/>
    <x v="1"/>
    <n v="3"/>
    <s v="Medium"/>
    <n v="3"/>
    <x v="1"/>
    <x v="0"/>
    <n v="2"/>
    <s v="Not_Satisfied(&lt;=2)"/>
    <x v="0"/>
    <n v="9"/>
    <s v="Y"/>
    <x v="0"/>
    <n v="19"/>
    <x v="0"/>
    <n v="10"/>
    <n v="2"/>
    <s v="Poor(&lt;=2)"/>
    <n v="8"/>
    <s v="Long(5-10)"/>
    <n v="7"/>
    <x v="1"/>
    <n v="7"/>
    <s v="Not_Reasonable(&gt;3)"/>
  </r>
  <r>
    <x v="7"/>
    <s v="Middle_Age(30-50)"/>
    <x v="1"/>
    <s v="Rarely"/>
    <s v="Research &amp; Development"/>
    <n v="17"/>
    <s v="Far(&gt;=15)"/>
    <n v="2"/>
    <s v="Not_Satisfied(&lt;3)"/>
    <x v="0"/>
    <n v="3"/>
    <s v="Medium"/>
    <n v="3"/>
    <x v="1"/>
    <x v="5"/>
    <n v="1"/>
    <s v="Not_Satisfied(&lt;=2)"/>
    <x v="1"/>
    <n v="1"/>
    <s v="Y"/>
    <x v="0"/>
    <n v="23"/>
    <x v="1"/>
    <n v="9"/>
    <n v="3"/>
    <s v="Good(&gt;=3)"/>
    <n v="9"/>
    <s v="Long(5-10)"/>
    <n v="1"/>
    <x v="0"/>
    <n v="0"/>
    <s v="Reasonable(&lt;=3)"/>
  </r>
  <r>
    <x v="22"/>
    <s v="Middle_Age(30-50)"/>
    <x v="1"/>
    <s v="Rarely"/>
    <s v="Research &amp; Development"/>
    <n v="18"/>
    <s v="Far(&gt;=15)"/>
    <n v="1"/>
    <s v="Not_Satisfied(&lt;3)"/>
    <x v="1"/>
    <n v="3"/>
    <s v="Medium"/>
    <n v="2"/>
    <x v="0"/>
    <x v="3"/>
    <n v="3"/>
    <s v="Satisfied(&gt;=3)"/>
    <x v="0"/>
    <n v="0"/>
    <s v="Y"/>
    <x v="1"/>
    <n v="11"/>
    <x v="0"/>
    <n v="9"/>
    <n v="3"/>
    <s v="Good(&gt;=3)"/>
    <n v="8"/>
    <s v="Long(5-10)"/>
    <n v="7"/>
    <x v="1"/>
    <n v="1"/>
    <s v="Reasonable(&lt;=3)"/>
  </r>
  <r>
    <x v="12"/>
    <s v="Middle_Age(30-50)"/>
    <x v="1"/>
    <s v="Rarely"/>
    <s v="Sales"/>
    <n v="2"/>
    <s v="Nearby(&lt;=5)"/>
    <n v="4"/>
    <s v="Satisfied(&gt;=3)"/>
    <x v="0"/>
    <n v="3"/>
    <s v="Medium"/>
    <n v="3"/>
    <x v="1"/>
    <x v="0"/>
    <n v="3"/>
    <s v="Satisfied(&gt;=3)"/>
    <x v="2"/>
    <n v="1"/>
    <s v="Y"/>
    <x v="0"/>
    <n v="19"/>
    <x v="0"/>
    <n v="10"/>
    <n v="2"/>
    <s v="Poor(&lt;=2)"/>
    <n v="10"/>
    <s v="Long(5-10)"/>
    <n v="8"/>
    <x v="1"/>
    <n v="9"/>
    <s v="Not_Reasonable(&gt;3)"/>
  </r>
  <r>
    <x v="0"/>
    <s v="Middle_Age(30-50)"/>
    <x v="1"/>
    <s v="Rarely"/>
    <s v="Sales"/>
    <n v="10"/>
    <s v="Middistance(6-14)"/>
    <n v="3"/>
    <s v="Satisfied(&gt;=3)"/>
    <x v="1"/>
    <n v="1"/>
    <s v="Low"/>
    <n v="2"/>
    <x v="0"/>
    <x v="0"/>
    <n v="2"/>
    <s v="Not_Satisfied(&lt;=2)"/>
    <x v="0"/>
    <n v="1"/>
    <s v="Y"/>
    <x v="1"/>
    <n v="13"/>
    <x v="0"/>
    <n v="19"/>
    <n v="3"/>
    <s v="Good(&gt;=3)"/>
    <n v="19"/>
    <s v="Ultra_Long(&gt;10)"/>
    <n v="2"/>
    <x v="0"/>
    <n v="11"/>
    <s v="Not_Reasonable(&gt;3)"/>
  </r>
  <r>
    <x v="12"/>
    <s v="Middle_Age(30-50)"/>
    <x v="0"/>
    <s v="Frequently"/>
    <s v="Sales"/>
    <n v="1"/>
    <s v="Nearby(&lt;=5)"/>
    <n v="4"/>
    <s v="Satisfied(&gt;=3)"/>
    <x v="0"/>
    <n v="3"/>
    <s v="Medium"/>
    <n v="1"/>
    <x v="0"/>
    <x v="6"/>
    <n v="2"/>
    <s v="Not_Satisfied(&lt;=2)"/>
    <x v="0"/>
    <n v="1"/>
    <s v="Y"/>
    <x v="0"/>
    <n v="11"/>
    <x v="0"/>
    <n v="3"/>
    <n v="4"/>
    <s v="Good(&gt;=3)"/>
    <n v="3"/>
    <s v="Short(&lt;=4)"/>
    <n v="2"/>
    <x v="0"/>
    <n v="2"/>
    <s v="Reasonable(&lt;=3)"/>
  </r>
  <r>
    <x v="20"/>
    <s v="Middle_Age(30-50)"/>
    <x v="0"/>
    <s v="Rarely"/>
    <s v="Research &amp; Development"/>
    <n v="3"/>
    <s v="Nearby(&lt;=5)"/>
    <n v="1"/>
    <s v="Not_Satisfied(&lt;3)"/>
    <x v="1"/>
    <n v="3"/>
    <s v="Medium"/>
    <n v="1"/>
    <x v="0"/>
    <x v="2"/>
    <n v="1"/>
    <s v="Not_Satisfied(&lt;=2)"/>
    <x v="1"/>
    <n v="4"/>
    <s v="Y"/>
    <x v="1"/>
    <n v="12"/>
    <x v="0"/>
    <n v="10"/>
    <n v="4"/>
    <s v="Good(&gt;=3)"/>
    <n v="3"/>
    <s v="Short(&lt;=4)"/>
    <n v="2"/>
    <x v="0"/>
    <n v="1"/>
    <s v="Reasonable(&lt;=3)"/>
  </r>
  <r>
    <x v="19"/>
    <s v="Middle_Age(30-50)"/>
    <x v="1"/>
    <s v="Rarely"/>
    <s v="Research &amp; Development"/>
    <n v="2"/>
    <s v="Nearby(&lt;=5)"/>
    <n v="3"/>
    <s v="Satisfied(&gt;=3)"/>
    <x v="1"/>
    <n v="3"/>
    <s v="Medium"/>
    <n v="4"/>
    <x v="2"/>
    <x v="5"/>
    <n v="3"/>
    <s v="Satisfied(&gt;=3)"/>
    <x v="1"/>
    <n v="0"/>
    <s v="Y"/>
    <x v="0"/>
    <n v="13"/>
    <x v="0"/>
    <n v="21"/>
    <n v="2"/>
    <s v="Poor(&lt;=2)"/>
    <n v="20"/>
    <s v="Ultra_Long(&gt;10)"/>
    <n v="8"/>
    <x v="1"/>
    <n v="2"/>
    <s v="Reasonable(&lt;=3)"/>
  </r>
  <r>
    <x v="27"/>
    <s v="Old(&gt;50)"/>
    <x v="1"/>
    <s v="Rarely"/>
    <s v="Research &amp; Development"/>
    <n v="2"/>
    <s v="Nearby(&lt;=5)"/>
    <n v="4"/>
    <s v="Satisfied(&gt;=3)"/>
    <x v="0"/>
    <n v="1"/>
    <s v="Low"/>
    <n v="5"/>
    <x v="2"/>
    <x v="5"/>
    <n v="3"/>
    <s v="Satisfied(&gt;=3)"/>
    <x v="1"/>
    <n v="4"/>
    <s v="Y"/>
    <x v="1"/>
    <n v="14"/>
    <x v="0"/>
    <n v="23"/>
    <n v="3"/>
    <s v="Good(&gt;=3)"/>
    <n v="19"/>
    <s v="Ultra_Long(&gt;10)"/>
    <n v="9"/>
    <x v="1"/>
    <n v="9"/>
    <s v="Not_Reasonable(&gt;3)"/>
  </r>
  <r>
    <x v="29"/>
    <s v="Old(&gt;50)"/>
    <x v="1"/>
    <s v="Rarely"/>
    <s v="Human Resources"/>
    <n v="8"/>
    <s v="Middistance(6-14)"/>
    <n v="4"/>
    <s v="Satisfied(&gt;=3)"/>
    <x v="1"/>
    <n v="3"/>
    <s v="Medium"/>
    <n v="5"/>
    <x v="2"/>
    <x v="5"/>
    <n v="2"/>
    <s v="Not_Satisfied(&lt;=2)"/>
    <x v="0"/>
    <n v="6"/>
    <s v="Y"/>
    <x v="1"/>
    <n v="14"/>
    <x v="0"/>
    <n v="36"/>
    <n v="3"/>
    <s v="Good(&gt;=3)"/>
    <n v="7"/>
    <s v="Long(5-10)"/>
    <n v="3"/>
    <x v="0"/>
    <n v="7"/>
    <s v="Not_Reasonable(&gt;3)"/>
  </r>
  <r>
    <x v="32"/>
    <s v="Middle_Age(30-50)"/>
    <x v="1"/>
    <s v="Rarely"/>
    <s v="Research &amp; Development"/>
    <n v="16"/>
    <s v="Far(&gt;=15)"/>
    <n v="3"/>
    <s v="Satisfied(&gt;=3)"/>
    <x v="1"/>
    <n v="3"/>
    <s v="Medium"/>
    <n v="1"/>
    <x v="0"/>
    <x v="1"/>
    <n v="3"/>
    <s v="Satisfied(&gt;=3)"/>
    <x v="2"/>
    <n v="9"/>
    <s v="Y"/>
    <x v="1"/>
    <n v="16"/>
    <x v="0"/>
    <n v="6"/>
    <n v="3"/>
    <s v="Good(&gt;=3)"/>
    <n v="4"/>
    <s v="Short(&lt;=4)"/>
    <n v="2"/>
    <x v="0"/>
    <n v="0"/>
    <s v="Reasonable(&lt;=3)"/>
  </r>
  <r>
    <x v="13"/>
    <s v="Middle_Age(30-50)"/>
    <x v="1"/>
    <s v="Rarely"/>
    <s v="Research &amp; Development"/>
    <n v="9"/>
    <s v="Middistance(6-14)"/>
    <n v="4"/>
    <s v="Satisfied(&gt;=3)"/>
    <x v="1"/>
    <n v="3"/>
    <s v="Medium"/>
    <n v="3"/>
    <x v="1"/>
    <x v="4"/>
    <n v="4"/>
    <s v="Satisfied(&gt;=3)"/>
    <x v="2"/>
    <n v="0"/>
    <s v="Y"/>
    <x v="1"/>
    <n v="11"/>
    <x v="0"/>
    <n v="10"/>
    <n v="2"/>
    <s v="Poor(&lt;=2)"/>
    <n v="9"/>
    <s v="Long(5-10)"/>
    <n v="7"/>
    <x v="1"/>
    <n v="1"/>
    <s v="Reasonable(&lt;=3)"/>
  </r>
  <r>
    <x v="32"/>
    <s v="Middle_Age(30-50)"/>
    <x v="1"/>
    <s v="Rarely"/>
    <s v="Research &amp; Development"/>
    <n v="2"/>
    <s v="Nearby(&lt;=5)"/>
    <n v="3"/>
    <s v="Satisfied(&gt;=3)"/>
    <x v="1"/>
    <n v="3"/>
    <s v="Medium"/>
    <n v="2"/>
    <x v="0"/>
    <x v="1"/>
    <n v="4"/>
    <s v="Satisfied(&gt;=3)"/>
    <x v="0"/>
    <n v="1"/>
    <s v="Y"/>
    <x v="1"/>
    <n v="13"/>
    <x v="0"/>
    <n v="9"/>
    <n v="3"/>
    <s v="Good(&gt;=3)"/>
    <n v="9"/>
    <s v="Long(5-10)"/>
    <n v="8"/>
    <x v="1"/>
    <n v="8"/>
    <s v="Not_Reasonable(&gt;3)"/>
  </r>
  <r>
    <x v="0"/>
    <s v="Middle_Age(30-50)"/>
    <x v="1"/>
    <s v="Frequently"/>
    <s v="Sales"/>
    <n v="1"/>
    <s v="Nearby(&lt;=5)"/>
    <n v="3"/>
    <s v="Satisfied(&gt;=3)"/>
    <x v="0"/>
    <n v="3"/>
    <s v="Medium"/>
    <n v="2"/>
    <x v="0"/>
    <x v="0"/>
    <n v="1"/>
    <s v="Not_Satisfied(&lt;=2)"/>
    <x v="2"/>
    <n v="0"/>
    <s v="Y"/>
    <x v="1"/>
    <n v="17"/>
    <x v="0"/>
    <n v="10"/>
    <n v="3"/>
    <s v="Good(&gt;=3)"/>
    <n v="9"/>
    <s v="Long(5-10)"/>
    <n v="3"/>
    <x v="0"/>
    <n v="1"/>
    <s v="Reasonable(&lt;=3)"/>
  </r>
  <r>
    <x v="10"/>
    <s v="Middle_Age(30-50)"/>
    <x v="1"/>
    <s v="Frequently"/>
    <s v="Research &amp; Development"/>
    <n v="4"/>
    <s v="Nearby(&lt;=5)"/>
    <n v="3"/>
    <s v="Satisfied(&gt;=3)"/>
    <x v="1"/>
    <n v="3"/>
    <s v="Medium"/>
    <n v="2"/>
    <x v="0"/>
    <x v="1"/>
    <n v="3"/>
    <s v="Satisfied(&gt;=3)"/>
    <x v="0"/>
    <n v="1"/>
    <s v="Y"/>
    <x v="0"/>
    <n v="11"/>
    <x v="0"/>
    <n v="9"/>
    <n v="3"/>
    <s v="Good(&gt;=3)"/>
    <n v="9"/>
    <s v="Long(5-10)"/>
    <n v="6"/>
    <x v="1"/>
    <n v="1"/>
    <s v="Reasonable(&lt;=3)"/>
  </r>
  <r>
    <x v="31"/>
    <s v="Old(&gt;50)"/>
    <x v="1"/>
    <s v="Rarely"/>
    <s v="Human Resources"/>
    <n v="5"/>
    <s v="Nearby(&lt;=5)"/>
    <n v="3"/>
    <s v="Satisfied(&gt;=3)"/>
    <x v="1"/>
    <n v="3"/>
    <s v="Medium"/>
    <n v="4"/>
    <x v="2"/>
    <x v="5"/>
    <n v="2"/>
    <s v="Not_Satisfied(&lt;=2)"/>
    <x v="2"/>
    <n v="1"/>
    <s v="Y"/>
    <x v="0"/>
    <n v="11"/>
    <x v="0"/>
    <n v="33"/>
    <n v="3"/>
    <s v="Good(&gt;=3)"/>
    <n v="33"/>
    <s v="Ultra_Long(&gt;10)"/>
    <n v="9"/>
    <x v="1"/>
    <n v="0"/>
    <s v="Reasonable(&lt;=3)"/>
  </r>
  <r>
    <x v="8"/>
    <s v="Middle_Age(30-50)"/>
    <x v="1"/>
    <s v="Rarely"/>
    <s v="Sales"/>
    <n v="2"/>
    <s v="Nearby(&lt;=5)"/>
    <n v="2"/>
    <s v="Not_Satisfied(&lt;3)"/>
    <x v="0"/>
    <n v="3"/>
    <s v="Medium"/>
    <n v="2"/>
    <x v="0"/>
    <x v="0"/>
    <n v="1"/>
    <s v="Not_Satisfied(&lt;=2)"/>
    <x v="2"/>
    <n v="3"/>
    <s v="Y"/>
    <x v="1"/>
    <n v="15"/>
    <x v="0"/>
    <n v="11"/>
    <n v="3"/>
    <s v="Good(&gt;=3)"/>
    <n v="7"/>
    <s v="Long(5-10)"/>
    <n v="7"/>
    <x v="1"/>
    <n v="1"/>
    <s v="Reasonable(&lt;=3)"/>
  </r>
  <r>
    <x v="13"/>
    <s v="Middle_Age(30-50)"/>
    <x v="1"/>
    <s v="Rarely"/>
    <s v="Sales"/>
    <n v="15"/>
    <s v="Far(&gt;=15)"/>
    <n v="3"/>
    <s v="Satisfied(&gt;=3)"/>
    <x v="0"/>
    <n v="3"/>
    <s v="Medium"/>
    <n v="2"/>
    <x v="0"/>
    <x v="0"/>
    <n v="1"/>
    <s v="Not_Satisfied(&lt;=2)"/>
    <x v="0"/>
    <n v="1"/>
    <s v="Y"/>
    <x v="1"/>
    <n v="12"/>
    <x v="0"/>
    <n v="10"/>
    <n v="4"/>
    <s v="Good(&gt;=3)"/>
    <n v="10"/>
    <s v="Long(5-10)"/>
    <n v="8"/>
    <x v="1"/>
    <n v="9"/>
    <s v="Not_Reasonable(&gt;3)"/>
  </r>
  <r>
    <x v="36"/>
    <s v="Young(&lt;=29)"/>
    <x v="1"/>
    <s v="Rarely"/>
    <s v="Research &amp; Development"/>
    <n v="19"/>
    <s v="Far(&gt;=15)"/>
    <n v="4"/>
    <s v="Satisfied(&gt;=3)"/>
    <x v="1"/>
    <n v="3"/>
    <s v="Medium"/>
    <n v="1"/>
    <x v="0"/>
    <x v="2"/>
    <n v="4"/>
    <s v="Satisfied(&gt;=3)"/>
    <x v="1"/>
    <n v="3"/>
    <s v="Y"/>
    <x v="1"/>
    <n v="11"/>
    <x v="0"/>
    <n v="7"/>
    <n v="2"/>
    <s v="Poor(&lt;=2)"/>
    <n v="3"/>
    <s v="Short(&lt;=4)"/>
    <n v="2"/>
    <x v="0"/>
    <n v="1"/>
    <s v="Reasonable(&lt;=3)"/>
  </r>
  <r>
    <x v="34"/>
    <s v="Old(&gt;50)"/>
    <x v="0"/>
    <s v="Rarely"/>
    <s v="Research &amp; Development"/>
    <n v="7"/>
    <s v="Middistance(6-14)"/>
    <n v="3"/>
    <s v="Satisfied(&gt;=3)"/>
    <x v="0"/>
    <n v="2"/>
    <s v="Low"/>
    <n v="3"/>
    <x v="1"/>
    <x v="3"/>
    <n v="1"/>
    <s v="Not_Satisfied(&lt;=2)"/>
    <x v="1"/>
    <n v="7"/>
    <s v="Y"/>
    <x v="0"/>
    <n v="14"/>
    <x v="0"/>
    <n v="31"/>
    <n v="2"/>
    <s v="Poor(&lt;=2)"/>
    <n v="10"/>
    <s v="Long(5-10)"/>
    <n v="9"/>
    <x v="1"/>
    <n v="5"/>
    <s v="Not_Reasonable(&gt;3)"/>
  </r>
  <r>
    <x v="32"/>
    <s v="Middle_Age(30-50)"/>
    <x v="1"/>
    <s v="Rarely"/>
    <s v="Research &amp; Development"/>
    <n v="1"/>
    <s v="Nearby(&lt;=5)"/>
    <n v="2"/>
    <s v="Not_Satisfied(&lt;3)"/>
    <x v="1"/>
    <n v="3"/>
    <s v="Medium"/>
    <n v="1"/>
    <x v="0"/>
    <x v="2"/>
    <n v="2"/>
    <s v="Not_Satisfied(&lt;=2)"/>
    <x v="1"/>
    <n v="3"/>
    <s v="Y"/>
    <x v="1"/>
    <n v="22"/>
    <x v="1"/>
    <n v="7"/>
    <n v="3"/>
    <s v="Good(&gt;=3)"/>
    <n v="4"/>
    <s v="Short(&lt;=4)"/>
    <n v="2"/>
    <x v="0"/>
    <n v="0"/>
    <s v="Reasonable(&lt;=3)"/>
  </r>
  <r>
    <x v="9"/>
    <s v="Middle_Age(30-50)"/>
    <x v="1"/>
    <s v="Frequently"/>
    <s v="Sales"/>
    <n v="7"/>
    <s v="Middistance(6-14)"/>
    <n v="1"/>
    <s v="Not_Satisfied(&lt;3)"/>
    <x v="0"/>
    <n v="4"/>
    <s v="High"/>
    <n v="2"/>
    <x v="0"/>
    <x v="0"/>
    <n v="1"/>
    <s v="Not_Satisfied(&lt;=2)"/>
    <x v="1"/>
    <n v="2"/>
    <s v="Y"/>
    <x v="1"/>
    <n v="16"/>
    <x v="0"/>
    <n v="17"/>
    <n v="2"/>
    <s v="Poor(&lt;=2)"/>
    <n v="15"/>
    <s v="Ultra_Long(&gt;10)"/>
    <n v="7"/>
    <x v="1"/>
    <n v="6"/>
    <s v="Not_Reasonable(&gt;3)"/>
  </r>
  <r>
    <x v="26"/>
    <s v="Middle_Age(30-50)"/>
    <x v="1"/>
    <s v="Rarely"/>
    <s v="Research &amp; Development"/>
    <n v="4"/>
    <s v="Nearby(&lt;=5)"/>
    <n v="4"/>
    <s v="Satisfied(&gt;=3)"/>
    <x v="1"/>
    <n v="3"/>
    <s v="Medium"/>
    <n v="3"/>
    <x v="1"/>
    <x v="3"/>
    <n v="4"/>
    <s v="Satisfied(&gt;=3)"/>
    <x v="0"/>
    <n v="1"/>
    <s v="Y"/>
    <x v="1"/>
    <n v="11"/>
    <x v="0"/>
    <n v="11"/>
    <n v="3"/>
    <s v="Good(&gt;=3)"/>
    <n v="10"/>
    <s v="Long(5-10)"/>
    <n v="9"/>
    <x v="1"/>
    <n v="0"/>
    <s v="Reasonable(&lt;=3)"/>
  </r>
  <r>
    <x v="4"/>
    <s v="Young(&lt;=29)"/>
    <x v="1"/>
    <s v="Rarely"/>
    <s v="Sales"/>
    <n v="11"/>
    <s v="Middistance(6-14)"/>
    <n v="3"/>
    <s v="Satisfied(&gt;=3)"/>
    <x v="0"/>
    <n v="4"/>
    <s v="High"/>
    <n v="1"/>
    <x v="0"/>
    <x v="6"/>
    <n v="4"/>
    <s v="Satisfied(&gt;=3)"/>
    <x v="1"/>
    <n v="8"/>
    <s v="Y"/>
    <x v="1"/>
    <n v="14"/>
    <x v="0"/>
    <n v="5"/>
    <n v="3"/>
    <s v="Good(&gt;=3)"/>
    <n v="1"/>
    <s v="Short(&lt;=4)"/>
    <n v="0"/>
    <x v="0"/>
    <n v="0"/>
    <s v="Reasonable(&lt;=3)"/>
  </r>
  <r>
    <x v="31"/>
    <s v="Old(&gt;50)"/>
    <x v="1"/>
    <s v="Rarely"/>
    <s v="Research &amp; Development"/>
    <n v="11"/>
    <s v="Middistance(6-14)"/>
    <n v="4"/>
    <s v="Satisfied(&gt;=3)"/>
    <x v="0"/>
    <n v="2"/>
    <s v="Low"/>
    <n v="4"/>
    <x v="2"/>
    <x v="3"/>
    <n v="2"/>
    <s v="Not_Satisfied(&lt;=2)"/>
    <x v="0"/>
    <n v="3"/>
    <s v="Y"/>
    <x v="1"/>
    <n v="16"/>
    <x v="0"/>
    <n v="29"/>
    <n v="2"/>
    <s v="Poor(&lt;=2)"/>
    <n v="5"/>
    <s v="Long(5-10)"/>
    <n v="2"/>
    <x v="0"/>
    <n v="0"/>
    <s v="Reasonable(&lt;=3)"/>
  </r>
  <r>
    <x v="41"/>
    <s v="Young(&lt;=29)"/>
    <x v="1"/>
    <s v="Rarely"/>
    <s v="Research &amp; Development"/>
    <n v="1"/>
    <s v="Nearby(&lt;=5)"/>
    <n v="4"/>
    <s v="Satisfied(&gt;=3)"/>
    <x v="0"/>
    <n v="3"/>
    <s v="Medium"/>
    <n v="1"/>
    <x v="0"/>
    <x v="2"/>
    <n v="4"/>
    <s v="Satisfied(&gt;=3)"/>
    <x v="0"/>
    <n v="1"/>
    <s v="Y"/>
    <x v="1"/>
    <n v="15"/>
    <x v="0"/>
    <n v="0"/>
    <n v="4"/>
    <s v="Good(&gt;=3)"/>
    <n v="0"/>
    <s v="Short(&lt;=4)"/>
    <n v="0"/>
    <x v="0"/>
    <n v="0"/>
    <s v="Reasonable(&lt;=3)"/>
  </r>
  <r>
    <x v="10"/>
    <s v="Middle_Age(30-50)"/>
    <x v="1"/>
    <s v="Rarely"/>
    <s v="Research &amp; Development"/>
    <n v="1"/>
    <s v="Nearby(&lt;=5)"/>
    <n v="4"/>
    <s v="Satisfied(&gt;=3)"/>
    <x v="0"/>
    <n v="2"/>
    <s v="Low"/>
    <n v="2"/>
    <x v="0"/>
    <x v="2"/>
    <n v="4"/>
    <s v="Satisfied(&gt;=3)"/>
    <x v="1"/>
    <n v="0"/>
    <s v="Y"/>
    <x v="1"/>
    <n v="12"/>
    <x v="0"/>
    <n v="10"/>
    <n v="3"/>
    <s v="Good(&gt;=3)"/>
    <n v="9"/>
    <s v="Long(5-10)"/>
    <n v="7"/>
    <x v="1"/>
    <n v="0"/>
    <s v="Reasonable(&lt;=3)"/>
  </r>
  <r>
    <x v="4"/>
    <s v="Young(&lt;=29)"/>
    <x v="1"/>
    <s v="Frequently"/>
    <s v="Sales"/>
    <n v="2"/>
    <s v="Nearby(&lt;=5)"/>
    <n v="4"/>
    <s v="Satisfied(&gt;=3)"/>
    <x v="1"/>
    <n v="1"/>
    <s v="Low"/>
    <n v="2"/>
    <x v="0"/>
    <x v="0"/>
    <n v="4"/>
    <s v="Satisfied(&gt;=3)"/>
    <x v="0"/>
    <n v="3"/>
    <s v="Y"/>
    <x v="1"/>
    <n v="20"/>
    <x v="1"/>
    <n v="8"/>
    <n v="3"/>
    <s v="Good(&gt;=3)"/>
    <n v="6"/>
    <s v="Long(5-10)"/>
    <n v="2"/>
    <x v="0"/>
    <n v="0"/>
    <s v="Reasonable(&lt;=3)"/>
  </r>
  <r>
    <x v="27"/>
    <s v="Old(&gt;50)"/>
    <x v="0"/>
    <s v="Rarely"/>
    <s v="Sales"/>
    <n v="13"/>
    <s v="Middistance(6-14)"/>
    <n v="1"/>
    <s v="Not_Satisfied(&lt;3)"/>
    <x v="1"/>
    <n v="4"/>
    <s v="High"/>
    <n v="4"/>
    <x v="2"/>
    <x v="0"/>
    <n v="3"/>
    <s v="Satisfied(&gt;=3)"/>
    <x v="0"/>
    <n v="6"/>
    <s v="Y"/>
    <x v="0"/>
    <n v="17"/>
    <x v="0"/>
    <n v="24"/>
    <n v="2"/>
    <s v="Poor(&lt;=2)"/>
    <n v="19"/>
    <s v="Ultra_Long(&gt;10)"/>
    <n v="7"/>
    <x v="1"/>
    <n v="3"/>
    <s v="Reasonable(&lt;=3)"/>
  </r>
  <r>
    <x v="29"/>
    <s v="Old(&gt;50)"/>
    <x v="1"/>
    <s v="Rarely"/>
    <s v="Research &amp; Development"/>
    <n v="23"/>
    <s v="Far(&gt;=15)"/>
    <n v="4"/>
    <s v="Satisfied(&gt;=3)"/>
    <x v="1"/>
    <n v="3"/>
    <s v="Medium"/>
    <n v="4"/>
    <x v="2"/>
    <x v="3"/>
    <n v="2"/>
    <s v="Not_Satisfied(&lt;=2)"/>
    <x v="1"/>
    <n v="4"/>
    <s v="Y"/>
    <x v="0"/>
    <n v="12"/>
    <x v="0"/>
    <n v="33"/>
    <n v="3"/>
    <s v="Good(&gt;=3)"/>
    <n v="19"/>
    <s v="Ultra_Long(&gt;10)"/>
    <n v="16"/>
    <x v="2"/>
    <n v="15"/>
    <s v="Not_Reasonable(&gt;3)"/>
  </r>
  <r>
    <x v="13"/>
    <s v="Middle_Age(30-50)"/>
    <x v="1"/>
    <s v="Rarely"/>
    <s v="Research &amp; Development"/>
    <n v="26"/>
    <s v="Far(&gt;=15)"/>
    <n v="1"/>
    <s v="Not_Satisfied(&lt;3)"/>
    <x v="0"/>
    <n v="2"/>
    <s v="Low"/>
    <n v="1"/>
    <x v="0"/>
    <x v="1"/>
    <n v="3"/>
    <s v="Satisfied(&gt;=3)"/>
    <x v="2"/>
    <n v="1"/>
    <s v="Y"/>
    <x v="1"/>
    <n v="20"/>
    <x v="1"/>
    <n v="5"/>
    <n v="3"/>
    <s v="Good(&gt;=3)"/>
    <n v="5"/>
    <s v="Long(5-10)"/>
    <n v="4"/>
    <x v="0"/>
    <n v="0"/>
    <s v="Reasonable(&lt;=3)"/>
  </r>
  <r>
    <x v="32"/>
    <s v="Middle_Age(30-50)"/>
    <x v="1"/>
    <s v="Rarely"/>
    <s v="Research &amp; Development"/>
    <n v="2"/>
    <s v="Nearby(&lt;=5)"/>
    <n v="2"/>
    <s v="Not_Satisfied(&lt;3)"/>
    <x v="0"/>
    <n v="4"/>
    <s v="High"/>
    <n v="2"/>
    <x v="0"/>
    <x v="4"/>
    <n v="3"/>
    <s v="Satisfied(&gt;=3)"/>
    <x v="2"/>
    <n v="5"/>
    <s v="Y"/>
    <x v="1"/>
    <n v="20"/>
    <x v="1"/>
    <n v="15"/>
    <n v="3"/>
    <s v="Good(&gt;=3)"/>
    <n v="12"/>
    <s v="Ultra_Long(&gt;10)"/>
    <n v="11"/>
    <x v="2"/>
    <n v="11"/>
    <s v="Not_Reasonable(&gt;3)"/>
  </r>
  <r>
    <x v="13"/>
    <s v="Middle_Age(30-50)"/>
    <x v="1"/>
    <s v="Rarely"/>
    <s v="Research &amp; Development"/>
    <n v="29"/>
    <s v="Far(&gt;=15)"/>
    <n v="2"/>
    <s v="Not_Satisfied(&lt;3)"/>
    <x v="1"/>
    <n v="3"/>
    <s v="Medium"/>
    <n v="2"/>
    <x v="0"/>
    <x v="2"/>
    <n v="3"/>
    <s v="Satisfied(&gt;=3)"/>
    <x v="1"/>
    <n v="4"/>
    <s v="Y"/>
    <x v="1"/>
    <n v="13"/>
    <x v="0"/>
    <n v="10"/>
    <n v="3"/>
    <s v="Good(&gt;=3)"/>
    <n v="8"/>
    <s v="Long(5-10)"/>
    <n v="7"/>
    <x v="1"/>
    <n v="7"/>
    <s v="Not_Reasonable(&gt;3)"/>
  </r>
  <r>
    <x v="12"/>
    <s v="Middle_Age(30-50)"/>
    <x v="0"/>
    <s v="Frequently"/>
    <s v="Sales"/>
    <n v="2"/>
    <s v="Nearby(&lt;=5)"/>
    <n v="3"/>
    <s v="Satisfied(&gt;=3)"/>
    <x v="0"/>
    <n v="2"/>
    <s v="Low"/>
    <n v="1"/>
    <x v="0"/>
    <x v="6"/>
    <n v="4"/>
    <s v="Satisfied(&gt;=3)"/>
    <x v="0"/>
    <n v="7"/>
    <s v="Y"/>
    <x v="1"/>
    <n v="14"/>
    <x v="0"/>
    <n v="3"/>
    <n v="4"/>
    <s v="Good(&gt;=3)"/>
    <n v="1"/>
    <s v="Short(&lt;=4)"/>
    <n v="0"/>
    <x v="0"/>
    <n v="0"/>
    <s v="Reasonable(&lt;=3)"/>
  </r>
  <r>
    <x v="10"/>
    <s v="Middle_Age(30-50)"/>
    <x v="0"/>
    <s v="Frequently"/>
    <s v="Sales"/>
    <n v="18"/>
    <s v="Far(&gt;=15)"/>
    <n v="4"/>
    <s v="Satisfied(&gt;=3)"/>
    <x v="0"/>
    <n v="3"/>
    <s v="Medium"/>
    <n v="2"/>
    <x v="0"/>
    <x v="0"/>
    <n v="3"/>
    <s v="Satisfied(&gt;=3)"/>
    <x v="1"/>
    <n v="0"/>
    <s v="Y"/>
    <x v="0"/>
    <n v="18"/>
    <x v="0"/>
    <n v="5"/>
    <n v="2"/>
    <s v="Poor(&lt;=2)"/>
    <n v="4"/>
    <s v="Short(&lt;=4)"/>
    <n v="2"/>
    <x v="0"/>
    <n v="3"/>
    <s v="Reasonable(&lt;=3)"/>
  </r>
  <r>
    <x v="8"/>
    <s v="Middle_Age(30-50)"/>
    <x v="1"/>
    <s v="Frequently"/>
    <s v="Research &amp; Development"/>
    <n v="7"/>
    <s v="Middistance(6-14)"/>
    <n v="4"/>
    <s v="Satisfied(&gt;=3)"/>
    <x v="1"/>
    <n v="4"/>
    <s v="High"/>
    <n v="1"/>
    <x v="0"/>
    <x v="1"/>
    <n v="3"/>
    <s v="Satisfied(&gt;=3)"/>
    <x v="2"/>
    <n v="1"/>
    <s v="Y"/>
    <x v="1"/>
    <n v="11"/>
    <x v="0"/>
    <n v="4"/>
    <n v="3"/>
    <s v="Good(&gt;=3)"/>
    <n v="4"/>
    <s v="Short(&lt;=4)"/>
    <n v="2"/>
    <x v="0"/>
    <n v="0"/>
    <s v="Reasonable(&lt;=3)"/>
  </r>
  <r>
    <x v="13"/>
    <s v="Middle_Age(30-50)"/>
    <x v="1"/>
    <s v="Rarely"/>
    <s v="Research &amp; Development"/>
    <n v="2"/>
    <s v="Nearby(&lt;=5)"/>
    <n v="3"/>
    <s v="Satisfied(&gt;=3)"/>
    <x v="0"/>
    <n v="3"/>
    <s v="Medium"/>
    <n v="2"/>
    <x v="0"/>
    <x v="4"/>
    <n v="4"/>
    <s v="Satisfied(&gt;=3)"/>
    <x v="0"/>
    <n v="1"/>
    <s v="Y"/>
    <x v="1"/>
    <n v="11"/>
    <x v="0"/>
    <n v="14"/>
    <n v="4"/>
    <s v="Good(&gt;=3)"/>
    <n v="14"/>
    <s v="Ultra_Long(&gt;10)"/>
    <n v="11"/>
    <x v="2"/>
    <n v="4"/>
    <s v="Not_Reasonable(&gt;3)"/>
  </r>
  <r>
    <x v="14"/>
    <s v="Young(&lt;=29)"/>
    <x v="1"/>
    <s v="Rarely"/>
    <s v="Sales"/>
    <n v="26"/>
    <s v="Far(&gt;=15)"/>
    <n v="3"/>
    <s v="Satisfied(&gt;=3)"/>
    <x v="1"/>
    <n v="2"/>
    <s v="Low"/>
    <n v="2"/>
    <x v="0"/>
    <x v="0"/>
    <n v="1"/>
    <s v="Not_Satisfied(&lt;=2)"/>
    <x v="1"/>
    <n v="1"/>
    <s v="Y"/>
    <x v="1"/>
    <n v="11"/>
    <x v="0"/>
    <n v="5"/>
    <n v="3"/>
    <s v="Good(&gt;=3)"/>
    <n v="5"/>
    <s v="Long(5-10)"/>
    <n v="3"/>
    <x v="0"/>
    <n v="0"/>
    <s v="Reasonable(&lt;=3)"/>
  </r>
  <r>
    <x v="12"/>
    <s v="Middle_Age(30-50)"/>
    <x v="0"/>
    <s v="Rarely"/>
    <s v="Research &amp; Development"/>
    <n v="22"/>
    <s v="Far(&gt;=15)"/>
    <n v="4"/>
    <s v="Satisfied(&gt;=3)"/>
    <x v="1"/>
    <n v="3"/>
    <s v="Medium"/>
    <n v="2"/>
    <x v="0"/>
    <x v="3"/>
    <n v="3"/>
    <s v="Satisfied(&gt;=3)"/>
    <x v="1"/>
    <n v="1"/>
    <s v="Y"/>
    <x v="0"/>
    <n v="15"/>
    <x v="0"/>
    <n v="10"/>
    <n v="2"/>
    <s v="Poor(&lt;=2)"/>
    <n v="10"/>
    <s v="Long(5-10)"/>
    <n v="2"/>
    <x v="0"/>
    <n v="6"/>
    <s v="Not_Reasonable(&gt;3)"/>
  </r>
  <r>
    <x v="22"/>
    <s v="Middle_Age(30-50)"/>
    <x v="1"/>
    <s v="Rarely"/>
    <s v="Sales"/>
    <n v="21"/>
    <s v="Far(&gt;=15)"/>
    <n v="1"/>
    <s v="Not_Satisfied(&lt;3)"/>
    <x v="1"/>
    <n v="2"/>
    <s v="Low"/>
    <n v="2"/>
    <x v="0"/>
    <x v="0"/>
    <n v="4"/>
    <s v="Satisfied(&gt;=3)"/>
    <x v="1"/>
    <n v="3"/>
    <s v="Y"/>
    <x v="0"/>
    <n v="12"/>
    <x v="0"/>
    <n v="8"/>
    <n v="4"/>
    <s v="Good(&gt;=3)"/>
    <n v="5"/>
    <s v="Long(5-10)"/>
    <n v="4"/>
    <x v="0"/>
    <n v="1"/>
    <s v="Reasonable(&lt;=3)"/>
  </r>
  <r>
    <x v="31"/>
    <s v="Old(&gt;50)"/>
    <x v="1"/>
    <s v="Frequently"/>
    <s v="Sales"/>
    <n v="2"/>
    <s v="Nearby(&lt;=5)"/>
    <n v="2"/>
    <s v="Not_Satisfied(&lt;3)"/>
    <x v="1"/>
    <n v="3"/>
    <s v="Medium"/>
    <n v="3"/>
    <x v="1"/>
    <x v="0"/>
    <n v="2"/>
    <s v="Not_Satisfied(&lt;=2)"/>
    <x v="1"/>
    <n v="2"/>
    <s v="Y"/>
    <x v="1"/>
    <n v="11"/>
    <x v="0"/>
    <n v="14"/>
    <n v="3"/>
    <s v="Good(&gt;=3)"/>
    <n v="4"/>
    <s v="Short(&lt;=4)"/>
    <n v="2"/>
    <x v="0"/>
    <n v="3"/>
    <s v="Reasonable(&lt;=3)"/>
  </r>
  <r>
    <x v="0"/>
    <s v="Middle_Age(30-50)"/>
    <x v="1"/>
    <s v="Frequently"/>
    <s v="Research &amp; Development"/>
    <n v="22"/>
    <s v="Far(&gt;=15)"/>
    <n v="4"/>
    <s v="Satisfied(&gt;=3)"/>
    <x v="0"/>
    <n v="3"/>
    <s v="Medium"/>
    <n v="2"/>
    <x v="0"/>
    <x v="1"/>
    <n v="4"/>
    <s v="Satisfied(&gt;=3)"/>
    <x v="2"/>
    <n v="3"/>
    <s v="Y"/>
    <x v="0"/>
    <n v="14"/>
    <x v="0"/>
    <n v="12"/>
    <n v="2"/>
    <s v="Poor(&lt;=2)"/>
    <n v="6"/>
    <s v="Long(5-10)"/>
    <n v="2"/>
    <x v="0"/>
    <n v="3"/>
    <s v="Reasonable(&lt;=3)"/>
  </r>
  <r>
    <x v="2"/>
    <s v="Middle_Age(30-50)"/>
    <x v="1"/>
    <s v="Rarely"/>
    <s v="Research &amp; Development"/>
    <n v="4"/>
    <s v="Nearby(&lt;=5)"/>
    <n v="3"/>
    <s v="Satisfied(&gt;=3)"/>
    <x v="1"/>
    <n v="3"/>
    <s v="Medium"/>
    <n v="1"/>
    <x v="0"/>
    <x v="1"/>
    <n v="3"/>
    <s v="Satisfied(&gt;=3)"/>
    <x v="1"/>
    <n v="7"/>
    <s v="Y"/>
    <x v="0"/>
    <n v="15"/>
    <x v="0"/>
    <n v="8"/>
    <n v="3"/>
    <s v="Good(&gt;=3)"/>
    <n v="6"/>
    <s v="Long(5-10)"/>
    <n v="4"/>
    <x v="0"/>
    <n v="1"/>
    <s v="Reasonable(&lt;=3)"/>
  </r>
  <r>
    <x v="3"/>
    <s v="Middle_Age(30-50)"/>
    <x v="1"/>
    <s v="Frequently"/>
    <s v="Sales"/>
    <n v="5"/>
    <s v="Nearby(&lt;=5)"/>
    <n v="2"/>
    <s v="Not_Satisfied(&lt;3)"/>
    <x v="1"/>
    <n v="3"/>
    <s v="Medium"/>
    <n v="2"/>
    <x v="0"/>
    <x v="0"/>
    <n v="4"/>
    <s v="Satisfied(&gt;=3)"/>
    <x v="1"/>
    <n v="6"/>
    <s v="Y"/>
    <x v="1"/>
    <n v="13"/>
    <x v="0"/>
    <n v="8"/>
    <n v="4"/>
    <s v="Good(&gt;=3)"/>
    <n v="5"/>
    <s v="Long(5-10)"/>
    <n v="4"/>
    <x v="0"/>
    <n v="1"/>
    <s v="Reasonable(&lt;=3)"/>
  </r>
  <r>
    <x v="5"/>
    <s v="Middle_Age(30-50)"/>
    <x v="1"/>
    <s v="Rarely"/>
    <s v="Sales"/>
    <n v="2"/>
    <s v="Nearby(&lt;=5)"/>
    <n v="3"/>
    <s v="Satisfied(&gt;=3)"/>
    <x v="1"/>
    <n v="3"/>
    <s v="Medium"/>
    <n v="2"/>
    <x v="0"/>
    <x v="0"/>
    <n v="2"/>
    <s v="Not_Satisfied(&lt;=2)"/>
    <x v="1"/>
    <n v="0"/>
    <s v="Y"/>
    <x v="0"/>
    <n v="13"/>
    <x v="0"/>
    <n v="4"/>
    <n v="2"/>
    <s v="Poor(&lt;=2)"/>
    <n v="3"/>
    <s v="Short(&lt;=4)"/>
    <n v="2"/>
    <x v="0"/>
    <n v="1"/>
    <s v="Reasonable(&lt;=3)"/>
  </r>
  <r>
    <x v="22"/>
    <s v="Middle_Age(30-50)"/>
    <x v="1"/>
    <s v="Rarely"/>
    <s v="Research &amp; Development"/>
    <n v="25"/>
    <s v="Far(&gt;=15)"/>
    <n v="3"/>
    <s v="Satisfied(&gt;=3)"/>
    <x v="1"/>
    <n v="3"/>
    <s v="Medium"/>
    <n v="3"/>
    <x v="1"/>
    <x v="4"/>
    <n v="3"/>
    <s v="Satisfied(&gt;=3)"/>
    <x v="1"/>
    <n v="3"/>
    <s v="Y"/>
    <x v="1"/>
    <n v="21"/>
    <x v="1"/>
    <n v="13"/>
    <n v="3"/>
    <s v="Good(&gt;=3)"/>
    <n v="6"/>
    <s v="Long(5-10)"/>
    <n v="4"/>
    <x v="0"/>
    <n v="0"/>
    <s v="Reasonable(&lt;=3)"/>
  </r>
  <r>
    <x v="36"/>
    <s v="Young(&lt;=29)"/>
    <x v="1"/>
    <s v="Rarely"/>
    <s v="Sales"/>
    <n v="18"/>
    <s v="Far(&gt;=15)"/>
    <n v="1"/>
    <s v="Not_Satisfied(&lt;3)"/>
    <x v="1"/>
    <n v="4"/>
    <s v="High"/>
    <n v="2"/>
    <x v="0"/>
    <x v="0"/>
    <n v="3"/>
    <s v="Satisfied(&gt;=3)"/>
    <x v="1"/>
    <n v="2"/>
    <s v="Y"/>
    <x v="1"/>
    <n v="11"/>
    <x v="0"/>
    <n v="6"/>
    <n v="2"/>
    <s v="Poor(&lt;=2)"/>
    <n v="3"/>
    <s v="Short(&lt;=4)"/>
    <n v="2"/>
    <x v="0"/>
    <n v="1"/>
    <s v="Reasonable(&lt;=3)"/>
  </r>
  <r>
    <x v="39"/>
    <s v="Old(&gt;50)"/>
    <x v="1"/>
    <s v="Frequently"/>
    <s v="Research &amp; Development"/>
    <n v="28"/>
    <s v="Far(&gt;=15)"/>
    <n v="4"/>
    <s v="Satisfied(&gt;=3)"/>
    <x v="0"/>
    <n v="4"/>
    <s v="High"/>
    <n v="4"/>
    <x v="2"/>
    <x v="3"/>
    <n v="3"/>
    <s v="Satisfied(&gt;=3)"/>
    <x v="1"/>
    <n v="2"/>
    <s v="Y"/>
    <x v="0"/>
    <n v="11"/>
    <x v="0"/>
    <n v="24"/>
    <n v="2"/>
    <s v="Poor(&lt;=2)"/>
    <n v="5"/>
    <s v="Long(5-10)"/>
    <n v="3"/>
    <x v="0"/>
    <n v="0"/>
    <s v="Reasonable(&lt;=3)"/>
  </r>
  <r>
    <x v="23"/>
    <s v="Middle_Age(30-50)"/>
    <x v="1"/>
    <s v="Rarely"/>
    <s v="Research &amp; Development"/>
    <n v="6"/>
    <s v="Middistance(6-14)"/>
    <n v="1"/>
    <s v="Not_Satisfied(&lt;3)"/>
    <x v="0"/>
    <n v="2"/>
    <s v="Low"/>
    <n v="2"/>
    <x v="0"/>
    <x v="1"/>
    <n v="3"/>
    <s v="Satisfied(&gt;=3)"/>
    <x v="0"/>
    <n v="1"/>
    <s v="Y"/>
    <x v="0"/>
    <n v="14"/>
    <x v="0"/>
    <n v="20"/>
    <n v="1"/>
    <s v="Poor(&lt;=2)"/>
    <n v="20"/>
    <s v="Ultra_Long(&gt;10)"/>
    <n v="7"/>
    <x v="1"/>
    <n v="1"/>
    <s v="Reasonable(&lt;=3)"/>
  </r>
  <r>
    <x v="4"/>
    <s v="Young(&lt;=29)"/>
    <x v="1"/>
    <s v="Rarely"/>
    <s v="Sales"/>
    <n v="10"/>
    <s v="Middistance(6-14)"/>
    <n v="4"/>
    <s v="Satisfied(&gt;=3)"/>
    <x v="0"/>
    <n v="2"/>
    <s v="Low"/>
    <n v="2"/>
    <x v="0"/>
    <x v="0"/>
    <n v="4"/>
    <s v="Satisfied(&gt;=3)"/>
    <x v="1"/>
    <n v="1"/>
    <s v="Y"/>
    <x v="0"/>
    <n v="11"/>
    <x v="0"/>
    <n v="6"/>
    <n v="3"/>
    <s v="Good(&gt;=3)"/>
    <n v="6"/>
    <s v="Long(5-10)"/>
    <n v="2"/>
    <x v="0"/>
    <n v="4"/>
    <s v="Not_Reasonable(&gt;3)"/>
  </r>
  <r>
    <x v="4"/>
    <s v="Young(&lt;=29)"/>
    <x v="0"/>
    <s v="Rarely"/>
    <s v="Research &amp; Development"/>
    <n v="17"/>
    <s v="Far(&gt;=15)"/>
    <n v="4"/>
    <s v="Satisfied(&gt;=3)"/>
    <x v="0"/>
    <n v="3"/>
    <s v="Medium"/>
    <n v="1"/>
    <x v="0"/>
    <x v="1"/>
    <n v="3"/>
    <s v="Satisfied(&gt;=3)"/>
    <x v="0"/>
    <n v="1"/>
    <s v="Y"/>
    <x v="0"/>
    <n v="13"/>
    <x v="0"/>
    <n v="8"/>
    <n v="3"/>
    <s v="Good(&gt;=3)"/>
    <n v="8"/>
    <s v="Long(5-10)"/>
    <n v="2"/>
    <x v="0"/>
    <n v="7"/>
    <s v="Not_Reasonable(&gt;3)"/>
  </r>
  <r>
    <x v="25"/>
    <s v="Young(&lt;=29)"/>
    <x v="1"/>
    <s v="Rarely"/>
    <s v="Research &amp; Development"/>
    <n v="2"/>
    <s v="Nearby(&lt;=5)"/>
    <n v="1"/>
    <s v="Not_Satisfied(&lt;3)"/>
    <x v="1"/>
    <n v="2"/>
    <s v="Low"/>
    <n v="1"/>
    <x v="0"/>
    <x v="1"/>
    <n v="4"/>
    <s v="Satisfied(&gt;=3)"/>
    <x v="0"/>
    <n v="0"/>
    <s v="Y"/>
    <x v="1"/>
    <n v="12"/>
    <x v="0"/>
    <n v="5"/>
    <n v="3"/>
    <s v="Good(&gt;=3)"/>
    <n v="4"/>
    <s v="Short(&lt;=4)"/>
    <n v="3"/>
    <x v="0"/>
    <n v="1"/>
    <s v="Reasonable(&lt;=3)"/>
  </r>
  <r>
    <x v="19"/>
    <s v="Middle_Age(30-50)"/>
    <x v="1"/>
    <s v="Rarely"/>
    <s v="Human Resources"/>
    <n v="10"/>
    <s v="Middistance(6-14)"/>
    <n v="3"/>
    <s v="Satisfied(&gt;=3)"/>
    <x v="0"/>
    <n v="3"/>
    <s v="Medium"/>
    <n v="4"/>
    <x v="2"/>
    <x v="5"/>
    <n v="1"/>
    <s v="Not_Satisfied(&lt;=2)"/>
    <x v="1"/>
    <n v="0"/>
    <s v="Y"/>
    <x v="1"/>
    <n v="14"/>
    <x v="0"/>
    <n v="21"/>
    <n v="3"/>
    <s v="Good(&gt;=3)"/>
    <n v="20"/>
    <s v="Ultra_Long(&gt;10)"/>
    <n v="7"/>
    <x v="1"/>
    <n v="0"/>
    <s v="Reasonable(&lt;=3)"/>
  </r>
  <r>
    <x v="39"/>
    <s v="Old(&gt;50)"/>
    <x v="1"/>
    <s v="Rarely"/>
    <s v="Research &amp; Development"/>
    <n v="8"/>
    <s v="Middistance(6-14)"/>
    <n v="3"/>
    <s v="Satisfied(&gt;=3)"/>
    <x v="0"/>
    <n v="3"/>
    <s v="Medium"/>
    <n v="1"/>
    <x v="0"/>
    <x v="2"/>
    <n v="1"/>
    <s v="Not_Satisfied(&lt;=2)"/>
    <x v="1"/>
    <n v="9"/>
    <s v="Y"/>
    <x v="1"/>
    <n v="13"/>
    <x v="0"/>
    <n v="12"/>
    <n v="1"/>
    <s v="Poor(&lt;=2)"/>
    <n v="5"/>
    <s v="Long(5-10)"/>
    <n v="4"/>
    <x v="0"/>
    <n v="0"/>
    <s v="Reasonable(&lt;=3)"/>
  </r>
  <r>
    <x v="2"/>
    <s v="Middle_Age(30-50)"/>
    <x v="1"/>
    <s v="Rarely"/>
    <s v="Research &amp; Development"/>
    <n v="11"/>
    <s v="Middistance(6-14)"/>
    <n v="1"/>
    <s v="Not_Satisfied(&lt;3)"/>
    <x v="0"/>
    <n v="3"/>
    <s v="Medium"/>
    <n v="1"/>
    <x v="0"/>
    <x v="2"/>
    <n v="3"/>
    <s v="Satisfied(&gt;=3)"/>
    <x v="0"/>
    <n v="4"/>
    <s v="Y"/>
    <x v="1"/>
    <n v="18"/>
    <x v="0"/>
    <n v="8"/>
    <n v="3"/>
    <s v="Good(&gt;=3)"/>
    <n v="3"/>
    <s v="Short(&lt;=4)"/>
    <n v="2"/>
    <x v="0"/>
    <n v="0"/>
    <s v="Reasonable(&lt;=3)"/>
  </r>
  <r>
    <x v="10"/>
    <s v="Middle_Age(30-50)"/>
    <x v="1"/>
    <s v="Frequently"/>
    <s v="Research &amp; Development"/>
    <n v="18"/>
    <s v="Far(&gt;=15)"/>
    <n v="3"/>
    <s v="Satisfied(&gt;=3)"/>
    <x v="1"/>
    <n v="3"/>
    <s v="Medium"/>
    <n v="3"/>
    <x v="1"/>
    <x v="3"/>
    <n v="4"/>
    <s v="Satisfied(&gt;=3)"/>
    <x v="0"/>
    <n v="2"/>
    <s v="Y"/>
    <x v="1"/>
    <n v="11"/>
    <x v="0"/>
    <n v="10"/>
    <n v="3"/>
    <s v="Good(&gt;=3)"/>
    <n v="2"/>
    <s v="Short(&lt;=4)"/>
    <n v="2"/>
    <x v="0"/>
    <n v="2"/>
    <s v="Reasonable(&lt;=3)"/>
  </r>
  <r>
    <x v="36"/>
    <s v="Young(&lt;=29)"/>
    <x v="1"/>
    <s v="Rarely"/>
    <s v="Research &amp; Development"/>
    <n v="1"/>
    <s v="Nearby(&lt;=5)"/>
    <n v="1"/>
    <s v="Not_Satisfied(&lt;3)"/>
    <x v="1"/>
    <n v="3"/>
    <s v="Medium"/>
    <n v="1"/>
    <x v="0"/>
    <x v="2"/>
    <n v="4"/>
    <s v="Satisfied(&gt;=3)"/>
    <x v="1"/>
    <n v="4"/>
    <s v="Y"/>
    <x v="1"/>
    <n v="11"/>
    <x v="0"/>
    <n v="7"/>
    <n v="2"/>
    <s v="Poor(&lt;=2)"/>
    <n v="3"/>
    <s v="Short(&lt;=4)"/>
    <n v="2"/>
    <x v="0"/>
    <n v="0"/>
    <s v="Reasonable(&lt;=3)"/>
  </r>
  <r>
    <x v="25"/>
    <s v="Young(&lt;=29)"/>
    <x v="1"/>
    <s v="Rarely"/>
    <s v="Research &amp; Development"/>
    <n v="7"/>
    <s v="Middistance(6-14)"/>
    <n v="3"/>
    <s v="Satisfied(&gt;=3)"/>
    <x v="1"/>
    <n v="4"/>
    <s v="High"/>
    <n v="1"/>
    <x v="0"/>
    <x v="2"/>
    <n v="1"/>
    <s v="Not_Satisfied(&lt;=2)"/>
    <x v="0"/>
    <n v="0"/>
    <s v="Y"/>
    <x v="1"/>
    <n v="12"/>
    <x v="0"/>
    <n v="8"/>
    <n v="3"/>
    <s v="Good(&gt;=3)"/>
    <n v="7"/>
    <s v="Long(5-10)"/>
    <n v="7"/>
    <x v="1"/>
    <n v="0"/>
    <s v="Reasonable(&lt;=3)"/>
  </r>
  <r>
    <x v="11"/>
    <s v="Young(&lt;=29)"/>
    <x v="1"/>
    <s v="Rarely"/>
    <s v="Human Resources"/>
    <n v="17"/>
    <s v="Far(&gt;=15)"/>
    <n v="2"/>
    <s v="Not_Satisfied(&lt;3)"/>
    <x v="1"/>
    <n v="2"/>
    <s v="Low"/>
    <n v="3"/>
    <x v="1"/>
    <x v="8"/>
    <n v="1"/>
    <s v="Not_Satisfied(&lt;=2)"/>
    <x v="0"/>
    <n v="1"/>
    <s v="Y"/>
    <x v="1"/>
    <n v="13"/>
    <x v="0"/>
    <n v="10"/>
    <n v="2"/>
    <s v="Poor(&lt;=2)"/>
    <n v="10"/>
    <s v="Long(5-10)"/>
    <n v="9"/>
    <x v="1"/>
    <n v="0"/>
    <s v="Reasonable(&lt;=3)"/>
  </r>
  <r>
    <x v="1"/>
    <s v="Middle_Age(30-50)"/>
    <x v="0"/>
    <s v="Frequently"/>
    <s v="Research &amp; Development"/>
    <n v="28"/>
    <s v="Far(&gt;=15)"/>
    <n v="1"/>
    <s v="Not_Satisfied(&lt;3)"/>
    <x v="1"/>
    <n v="2"/>
    <s v="Low"/>
    <n v="2"/>
    <x v="0"/>
    <x v="2"/>
    <n v="1"/>
    <s v="Not_Satisfied(&lt;=2)"/>
    <x v="0"/>
    <n v="3"/>
    <s v="Y"/>
    <x v="1"/>
    <n v="20"/>
    <x v="1"/>
    <n v="20"/>
    <n v="3"/>
    <s v="Good(&gt;=3)"/>
    <n v="4"/>
    <s v="Short(&lt;=4)"/>
    <n v="3"/>
    <x v="0"/>
    <n v="1"/>
    <s v="Reasonable(&lt;=3)"/>
  </r>
  <r>
    <x v="11"/>
    <s v="Young(&lt;=29)"/>
    <x v="0"/>
    <s v="Frequently"/>
    <s v="Research &amp; Development"/>
    <n v="14"/>
    <s v="Middistance(6-14)"/>
    <n v="3"/>
    <s v="Satisfied(&gt;=3)"/>
    <x v="0"/>
    <n v="3"/>
    <s v="Medium"/>
    <n v="3"/>
    <x v="1"/>
    <x v="4"/>
    <n v="4"/>
    <s v="Satisfied(&gt;=3)"/>
    <x v="0"/>
    <n v="0"/>
    <s v="Y"/>
    <x v="0"/>
    <n v="12"/>
    <x v="0"/>
    <n v="9"/>
    <n v="3"/>
    <s v="Good(&gt;=3)"/>
    <n v="8"/>
    <s v="Long(5-10)"/>
    <n v="7"/>
    <x v="1"/>
    <n v="7"/>
    <s v="Not_Reasonable(&gt;3)"/>
  </r>
  <r>
    <x v="33"/>
    <s v="Old(&gt;50)"/>
    <x v="1"/>
    <s v="Rarely"/>
    <s v="Research &amp; Development"/>
    <n v="1"/>
    <s v="Nearby(&lt;=5)"/>
    <n v="4"/>
    <s v="Satisfied(&gt;=3)"/>
    <x v="0"/>
    <n v="3"/>
    <s v="Medium"/>
    <n v="4"/>
    <x v="2"/>
    <x v="7"/>
    <n v="4"/>
    <s v="Satisfied(&gt;=3)"/>
    <x v="0"/>
    <n v="6"/>
    <s v="Y"/>
    <x v="1"/>
    <n v="19"/>
    <x v="0"/>
    <n v="29"/>
    <n v="2"/>
    <s v="Poor(&lt;=2)"/>
    <n v="20"/>
    <s v="Ultra_Long(&gt;10)"/>
    <n v="7"/>
    <x v="1"/>
    <n v="12"/>
    <s v="Not_Reasonable(&gt;3)"/>
  </r>
  <r>
    <x v="34"/>
    <s v="Old(&gt;50)"/>
    <x v="1"/>
    <s v="Rarely"/>
    <s v="Research &amp; Development"/>
    <n v="1"/>
    <s v="Nearby(&lt;=5)"/>
    <n v="4"/>
    <s v="Satisfied(&gt;=3)"/>
    <x v="0"/>
    <n v="3"/>
    <s v="Medium"/>
    <n v="5"/>
    <x v="2"/>
    <x v="7"/>
    <n v="1"/>
    <s v="Not_Satisfied(&lt;=2)"/>
    <x v="1"/>
    <n v="3"/>
    <s v="Y"/>
    <x v="0"/>
    <n v="21"/>
    <x v="1"/>
    <n v="32"/>
    <n v="3"/>
    <s v="Good(&gt;=3)"/>
    <n v="9"/>
    <s v="Long(5-10)"/>
    <n v="8"/>
    <x v="1"/>
    <n v="1"/>
    <s v="Reasonable(&lt;=3)"/>
  </r>
  <r>
    <x v="27"/>
    <s v="Old(&gt;50)"/>
    <x v="1"/>
    <s v="Rarely"/>
    <s v="Research &amp; Development"/>
    <n v="1"/>
    <s v="Nearby(&lt;=5)"/>
    <n v="2"/>
    <s v="Not_Satisfied(&lt;3)"/>
    <x v="1"/>
    <n v="4"/>
    <s v="High"/>
    <n v="4"/>
    <x v="2"/>
    <x v="7"/>
    <n v="4"/>
    <s v="Satisfied(&gt;=3)"/>
    <x v="2"/>
    <n v="2"/>
    <s v="Y"/>
    <x v="1"/>
    <n v="13"/>
    <x v="0"/>
    <n v="31"/>
    <n v="4"/>
    <s v="Good(&gt;=3)"/>
    <n v="7"/>
    <s v="Long(5-10)"/>
    <n v="7"/>
    <x v="1"/>
    <n v="0"/>
    <s v="Reasonable(&lt;=3)"/>
  </r>
  <r>
    <x v="9"/>
    <s v="Middle_Age(30-50)"/>
    <x v="1"/>
    <s v="Rarely"/>
    <s v="Sales"/>
    <n v="3"/>
    <s v="Nearby(&lt;=5)"/>
    <n v="1"/>
    <s v="Not_Satisfied(&lt;3)"/>
    <x v="0"/>
    <n v="3"/>
    <s v="Medium"/>
    <n v="2"/>
    <x v="0"/>
    <x v="0"/>
    <n v="2"/>
    <s v="Not_Satisfied(&lt;=2)"/>
    <x v="0"/>
    <n v="3"/>
    <s v="Y"/>
    <x v="0"/>
    <n v="16"/>
    <x v="0"/>
    <n v="15"/>
    <n v="3"/>
    <s v="Good(&gt;=3)"/>
    <n v="5"/>
    <s v="Long(5-10)"/>
    <n v="4"/>
    <x v="0"/>
    <n v="0"/>
    <s v="Reasonable(&lt;=3)"/>
  </r>
  <r>
    <x v="12"/>
    <s v="Middle_Age(30-50)"/>
    <x v="0"/>
    <s v="Frequently"/>
    <s v="Sales"/>
    <n v="1"/>
    <s v="Nearby(&lt;=5)"/>
    <n v="2"/>
    <s v="Not_Satisfied(&lt;3)"/>
    <x v="0"/>
    <n v="1"/>
    <s v="Low"/>
    <n v="1"/>
    <x v="0"/>
    <x v="6"/>
    <n v="3"/>
    <s v="Satisfied(&gt;=3)"/>
    <x v="0"/>
    <n v="1"/>
    <s v="Y"/>
    <x v="1"/>
    <n v="12"/>
    <x v="0"/>
    <n v="1"/>
    <n v="3"/>
    <s v="Good(&gt;=3)"/>
    <n v="1"/>
    <s v="Short(&lt;=4)"/>
    <n v="0"/>
    <x v="0"/>
    <n v="0"/>
    <s v="Reasonable(&lt;=3)"/>
  </r>
  <r>
    <x v="7"/>
    <s v="Middle_Age(30-50)"/>
    <x v="1"/>
    <s v="Rarely"/>
    <s v="Sales"/>
    <n v="7"/>
    <s v="Middistance(6-14)"/>
    <n v="4"/>
    <s v="Satisfied(&gt;=3)"/>
    <x v="0"/>
    <n v="3"/>
    <s v="Medium"/>
    <n v="2"/>
    <x v="0"/>
    <x v="0"/>
    <n v="1"/>
    <s v="Not_Satisfied(&lt;=2)"/>
    <x v="2"/>
    <n v="7"/>
    <s v="Y"/>
    <x v="1"/>
    <n v="14"/>
    <x v="0"/>
    <n v="8"/>
    <n v="3"/>
    <s v="Good(&gt;=3)"/>
    <n v="3"/>
    <s v="Short(&lt;=4)"/>
    <n v="2"/>
    <x v="0"/>
    <n v="0"/>
    <s v="Reasonable(&lt;=3)"/>
  </r>
  <r>
    <x v="12"/>
    <s v="Middle_Age(30-50)"/>
    <x v="1"/>
    <s v="Rarely"/>
    <s v="Research &amp; Development"/>
    <n v="8"/>
    <s v="Middistance(6-14)"/>
    <n v="1"/>
    <s v="Not_Satisfied(&lt;3)"/>
    <x v="0"/>
    <n v="3"/>
    <s v="Medium"/>
    <n v="4"/>
    <x v="2"/>
    <x v="7"/>
    <n v="2"/>
    <s v="Not_Satisfied(&lt;=2)"/>
    <x v="0"/>
    <n v="3"/>
    <s v="Y"/>
    <x v="1"/>
    <n v="11"/>
    <x v="0"/>
    <n v="9"/>
    <n v="4"/>
    <s v="Good(&gt;=3)"/>
    <n v="3"/>
    <s v="Short(&lt;=4)"/>
    <n v="2"/>
    <x v="0"/>
    <n v="1"/>
    <s v="Reasonable(&lt;=3)"/>
  </r>
  <r>
    <x v="13"/>
    <s v="Middle_Age(30-50)"/>
    <x v="1"/>
    <s v="Frequently"/>
    <s v="Research &amp; Development"/>
    <n v="1"/>
    <s v="Nearby(&lt;=5)"/>
    <n v="4"/>
    <s v="Satisfied(&gt;=3)"/>
    <x v="1"/>
    <n v="3"/>
    <s v="Medium"/>
    <n v="1"/>
    <x v="0"/>
    <x v="1"/>
    <n v="1"/>
    <s v="Not_Satisfied(&lt;=2)"/>
    <x v="2"/>
    <n v="5"/>
    <s v="Y"/>
    <x v="1"/>
    <n v="14"/>
    <x v="0"/>
    <n v="10"/>
    <n v="3"/>
    <s v="Good(&gt;=3)"/>
    <n v="4"/>
    <s v="Short(&lt;=4)"/>
    <n v="3"/>
    <x v="0"/>
    <n v="1"/>
    <s v="Reasonable(&lt;=3)"/>
  </r>
  <r>
    <x v="12"/>
    <s v="Middle_Age(30-50)"/>
    <x v="0"/>
    <s v="Rarely"/>
    <s v="Research &amp; Development"/>
    <n v="8"/>
    <s v="Middistance(6-14)"/>
    <n v="1"/>
    <s v="Not_Satisfied(&lt;3)"/>
    <x v="0"/>
    <n v="2"/>
    <s v="Low"/>
    <n v="1"/>
    <x v="0"/>
    <x v="1"/>
    <n v="2"/>
    <s v="Not_Satisfied(&lt;=2)"/>
    <x v="0"/>
    <n v="1"/>
    <s v="Y"/>
    <x v="1"/>
    <n v="12"/>
    <x v="0"/>
    <n v="1"/>
    <n v="4"/>
    <s v="Good(&gt;=3)"/>
    <n v="1"/>
    <s v="Short(&lt;=4)"/>
    <n v="0"/>
    <x v="0"/>
    <n v="0"/>
    <s v="Reasonable(&lt;=3)"/>
  </r>
  <r>
    <x v="4"/>
    <s v="Young(&lt;=29)"/>
    <x v="1"/>
    <s v="Rarely"/>
    <s v="Research &amp; Development"/>
    <n v="11"/>
    <s v="Middistance(6-14)"/>
    <n v="2"/>
    <s v="Not_Satisfied(&lt;3)"/>
    <x v="1"/>
    <n v="3"/>
    <s v="Medium"/>
    <n v="1"/>
    <x v="0"/>
    <x v="2"/>
    <n v="1"/>
    <s v="Not_Satisfied(&lt;=2)"/>
    <x v="1"/>
    <n v="0"/>
    <s v="Y"/>
    <x v="1"/>
    <n v="14"/>
    <x v="0"/>
    <n v="6"/>
    <n v="4"/>
    <s v="Good(&gt;=3)"/>
    <n v="5"/>
    <s v="Long(5-10)"/>
    <n v="0"/>
    <x v="0"/>
    <n v="1"/>
    <s v="Reasonable(&lt;=3)"/>
  </r>
  <r>
    <x v="9"/>
    <s v="Middle_Age(30-50)"/>
    <x v="1"/>
    <s v="Rarely"/>
    <s v="Research &amp; Development"/>
    <n v="4"/>
    <s v="Nearby(&lt;=5)"/>
    <n v="1"/>
    <s v="Not_Satisfied(&lt;3)"/>
    <x v="1"/>
    <n v="2"/>
    <s v="Low"/>
    <n v="2"/>
    <x v="0"/>
    <x v="2"/>
    <n v="4"/>
    <s v="Satisfied(&gt;=3)"/>
    <x v="0"/>
    <n v="1"/>
    <s v="Y"/>
    <x v="1"/>
    <n v="16"/>
    <x v="0"/>
    <n v="10"/>
    <n v="2"/>
    <s v="Poor(&lt;=2)"/>
    <n v="10"/>
    <s v="Long(5-10)"/>
    <n v="4"/>
    <x v="0"/>
    <n v="1"/>
    <s v="Reasonable(&lt;=3)"/>
  </r>
  <r>
    <x v="9"/>
    <s v="Middle_Age(30-50)"/>
    <x v="1"/>
    <s v="Rarely"/>
    <s v="Sales"/>
    <n v="16"/>
    <s v="Far(&gt;=15)"/>
    <n v="3"/>
    <s v="Satisfied(&gt;=3)"/>
    <x v="0"/>
    <n v="2"/>
    <s v="Low"/>
    <n v="2"/>
    <x v="0"/>
    <x v="0"/>
    <n v="1"/>
    <s v="Not_Satisfied(&lt;=2)"/>
    <x v="1"/>
    <n v="4"/>
    <s v="Y"/>
    <x v="1"/>
    <n v="13"/>
    <x v="0"/>
    <n v="11"/>
    <n v="2"/>
    <s v="Poor(&lt;=2)"/>
    <n v="3"/>
    <s v="Short(&lt;=4)"/>
    <n v="2"/>
    <x v="0"/>
    <n v="0"/>
    <s v="Reasonable(&lt;=3)"/>
  </r>
  <r>
    <x v="40"/>
    <s v="Middle_Age(30-50)"/>
    <x v="1"/>
    <s v="Rarely"/>
    <s v="Research &amp; Development"/>
    <n v="1"/>
    <s v="Nearby(&lt;=5)"/>
    <n v="1"/>
    <s v="Not_Satisfied(&lt;3)"/>
    <x v="1"/>
    <n v="3"/>
    <s v="Medium"/>
    <n v="1"/>
    <x v="0"/>
    <x v="1"/>
    <n v="4"/>
    <s v="Satisfied(&gt;=3)"/>
    <x v="1"/>
    <n v="7"/>
    <s v="Y"/>
    <x v="1"/>
    <n v="12"/>
    <x v="0"/>
    <n v="17"/>
    <n v="2"/>
    <s v="Poor(&lt;=2)"/>
    <n v="6"/>
    <s v="Long(5-10)"/>
    <n v="5"/>
    <x v="1"/>
    <n v="1"/>
    <s v="Reasonable(&lt;=3)"/>
  </r>
  <r>
    <x v="36"/>
    <s v="Young(&lt;=29)"/>
    <x v="0"/>
    <s v="Rarely"/>
    <s v="Sales"/>
    <n v="9"/>
    <s v="Middistance(6-14)"/>
    <n v="1"/>
    <s v="Not_Satisfied(&lt;3)"/>
    <x v="1"/>
    <n v="2"/>
    <s v="Low"/>
    <n v="1"/>
    <x v="0"/>
    <x v="6"/>
    <n v="1"/>
    <s v="Not_Satisfied(&lt;=2)"/>
    <x v="1"/>
    <n v="3"/>
    <s v="Y"/>
    <x v="1"/>
    <n v="12"/>
    <x v="0"/>
    <n v="6"/>
    <n v="3"/>
    <s v="Good(&gt;=3)"/>
    <n v="3"/>
    <s v="Short(&lt;=4)"/>
    <n v="2"/>
    <x v="0"/>
    <n v="2"/>
    <s v="Reasonable(&lt;=3)"/>
  </r>
  <r>
    <x v="2"/>
    <s v="Middle_Age(30-50)"/>
    <x v="1"/>
    <s v="Rarely"/>
    <s v="Research &amp; Development"/>
    <n v="5"/>
    <s v="Nearby(&lt;=5)"/>
    <n v="3"/>
    <s v="Satisfied(&gt;=3)"/>
    <x v="1"/>
    <n v="4"/>
    <s v="High"/>
    <n v="1"/>
    <x v="0"/>
    <x v="2"/>
    <n v="3"/>
    <s v="Satisfied(&gt;=3)"/>
    <x v="0"/>
    <n v="0"/>
    <s v="Y"/>
    <x v="1"/>
    <n v="14"/>
    <x v="0"/>
    <n v="7"/>
    <n v="1"/>
    <s v="Poor(&lt;=2)"/>
    <n v="6"/>
    <s v="Long(5-10)"/>
    <n v="5"/>
    <x v="1"/>
    <n v="1"/>
    <s v="Reasonable(&lt;=3)"/>
  </r>
  <r>
    <x v="29"/>
    <s v="Old(&gt;50)"/>
    <x v="1"/>
    <s v="Rarely"/>
    <s v="Research &amp; Development"/>
    <n v="1"/>
    <s v="Nearby(&lt;=5)"/>
    <n v="1"/>
    <s v="Not_Satisfied(&lt;3)"/>
    <x v="0"/>
    <n v="3"/>
    <s v="Medium"/>
    <n v="1"/>
    <x v="0"/>
    <x v="1"/>
    <n v="1"/>
    <s v="Not_Satisfied(&lt;=2)"/>
    <x v="1"/>
    <n v="2"/>
    <s v="Y"/>
    <x v="1"/>
    <n v="22"/>
    <x v="1"/>
    <n v="5"/>
    <n v="4"/>
    <s v="Good(&gt;=3)"/>
    <n v="3"/>
    <s v="Short(&lt;=4)"/>
    <n v="2"/>
    <x v="0"/>
    <n v="1"/>
    <s v="Reasonable(&lt;=3)"/>
  </r>
  <r>
    <x v="40"/>
    <s v="Middle_Age(30-50)"/>
    <x v="1"/>
    <s v="Rarely"/>
    <s v="Research &amp; Development"/>
    <n v="2"/>
    <s v="Nearby(&lt;=5)"/>
    <n v="1"/>
    <s v="Not_Satisfied(&lt;3)"/>
    <x v="0"/>
    <n v="3"/>
    <s v="Medium"/>
    <n v="4"/>
    <x v="2"/>
    <x v="7"/>
    <n v="3"/>
    <s v="Satisfied(&gt;=3)"/>
    <x v="1"/>
    <n v="3"/>
    <s v="Y"/>
    <x v="1"/>
    <n v="19"/>
    <x v="0"/>
    <n v="26"/>
    <n v="4"/>
    <s v="Good(&gt;=3)"/>
    <n v="20"/>
    <s v="Ultra_Long(&gt;10)"/>
    <n v="17"/>
    <x v="2"/>
    <n v="5"/>
    <s v="Not_Reasonable(&gt;3)"/>
  </r>
  <r>
    <x v="17"/>
    <s v="Young(&lt;=29)"/>
    <x v="1"/>
    <s v="Rarely"/>
    <s v="Sales"/>
    <n v="4"/>
    <s v="Nearby(&lt;=5)"/>
    <n v="4"/>
    <s v="Satisfied(&gt;=3)"/>
    <x v="0"/>
    <n v="3"/>
    <s v="Medium"/>
    <n v="2"/>
    <x v="0"/>
    <x v="0"/>
    <n v="3"/>
    <s v="Satisfied(&gt;=3)"/>
    <x v="1"/>
    <n v="1"/>
    <s v="Y"/>
    <x v="0"/>
    <n v="12"/>
    <x v="0"/>
    <n v="5"/>
    <n v="3"/>
    <s v="Good(&gt;=3)"/>
    <n v="5"/>
    <s v="Long(5-10)"/>
    <n v="4"/>
    <x v="0"/>
    <n v="0"/>
    <s v="Reasonable(&lt;=3)"/>
  </r>
  <r>
    <x v="5"/>
    <s v="Middle_Age(30-50)"/>
    <x v="1"/>
    <s v="Rarely"/>
    <s v="Sales"/>
    <n v="7"/>
    <s v="Middistance(6-14)"/>
    <n v="4"/>
    <s v="Satisfied(&gt;=3)"/>
    <x v="1"/>
    <n v="3"/>
    <s v="Medium"/>
    <n v="2"/>
    <x v="0"/>
    <x v="0"/>
    <n v="4"/>
    <s v="Satisfied(&gt;=3)"/>
    <x v="1"/>
    <n v="4"/>
    <s v="Y"/>
    <x v="1"/>
    <n v="12"/>
    <x v="0"/>
    <n v="7"/>
    <n v="2"/>
    <s v="Poor(&lt;=2)"/>
    <n v="4"/>
    <s v="Short(&lt;=4)"/>
    <n v="3"/>
    <x v="0"/>
    <n v="0"/>
    <s v="Reasonable(&lt;=3)"/>
  </r>
  <r>
    <x v="13"/>
    <s v="Middle_Age(30-50)"/>
    <x v="1"/>
    <s v="Rarely"/>
    <s v="Research &amp; Development"/>
    <n v="1"/>
    <s v="Nearby(&lt;=5)"/>
    <n v="4"/>
    <s v="Satisfied(&gt;=3)"/>
    <x v="0"/>
    <n v="2"/>
    <s v="Low"/>
    <n v="1"/>
    <x v="0"/>
    <x v="2"/>
    <n v="2"/>
    <s v="Not_Satisfied(&lt;=2)"/>
    <x v="1"/>
    <n v="5"/>
    <s v="Y"/>
    <x v="1"/>
    <n v="17"/>
    <x v="0"/>
    <n v="7"/>
    <n v="2"/>
    <s v="Poor(&lt;=2)"/>
    <n v="5"/>
    <s v="Long(5-10)"/>
    <n v="4"/>
    <x v="0"/>
    <n v="0"/>
    <s v="Reasonable(&lt;=3)"/>
  </r>
  <r>
    <x v="0"/>
    <s v="Middle_Age(30-50)"/>
    <x v="1"/>
    <s v="Rarely"/>
    <s v="Research &amp; Development"/>
    <n v="5"/>
    <s v="Nearby(&lt;=5)"/>
    <n v="2"/>
    <s v="Not_Satisfied(&lt;3)"/>
    <x v="1"/>
    <n v="4"/>
    <s v="High"/>
    <n v="1"/>
    <x v="0"/>
    <x v="1"/>
    <n v="3"/>
    <s v="Satisfied(&gt;=3)"/>
    <x v="1"/>
    <n v="2"/>
    <s v="Y"/>
    <x v="0"/>
    <n v="12"/>
    <x v="0"/>
    <n v="7"/>
    <n v="2"/>
    <s v="Poor(&lt;=2)"/>
    <n v="4"/>
    <s v="Short(&lt;=4)"/>
    <n v="2"/>
    <x v="0"/>
    <n v="0"/>
    <s v="Reasonable(&lt;=3)"/>
  </r>
  <r>
    <x v="32"/>
    <s v="Middle_Age(30-50)"/>
    <x v="1"/>
    <s v="Rarely"/>
    <s v="Research &amp; Development"/>
    <n v="9"/>
    <s v="Middistance(6-14)"/>
    <n v="3"/>
    <s v="Satisfied(&gt;=3)"/>
    <x v="1"/>
    <n v="3"/>
    <s v="Medium"/>
    <n v="2"/>
    <x v="0"/>
    <x v="2"/>
    <n v="3"/>
    <s v="Satisfied(&gt;=3)"/>
    <x v="2"/>
    <n v="3"/>
    <s v="Y"/>
    <x v="1"/>
    <n v="11"/>
    <x v="0"/>
    <n v="11"/>
    <n v="4"/>
    <s v="Good(&gt;=3)"/>
    <n v="8"/>
    <s v="Long(5-10)"/>
    <n v="7"/>
    <x v="1"/>
    <n v="0"/>
    <s v="Reasonable(&lt;=3)"/>
  </r>
  <r>
    <x v="12"/>
    <s v="Middle_Age(30-50)"/>
    <x v="1"/>
    <s v="Rarely"/>
    <s v="Sales"/>
    <n v="8"/>
    <s v="Middistance(6-14)"/>
    <n v="1"/>
    <s v="Not_Satisfied(&lt;3)"/>
    <x v="1"/>
    <n v="3"/>
    <s v="Medium"/>
    <n v="3"/>
    <x v="1"/>
    <x v="0"/>
    <n v="4"/>
    <s v="Satisfied(&gt;=3)"/>
    <x v="2"/>
    <n v="1"/>
    <s v="Y"/>
    <x v="1"/>
    <n v="18"/>
    <x v="0"/>
    <n v="13"/>
    <n v="3"/>
    <s v="Good(&gt;=3)"/>
    <n v="13"/>
    <s v="Ultra_Long(&gt;10)"/>
    <n v="7"/>
    <x v="1"/>
    <n v="9"/>
    <s v="Not_Reasonable(&gt;3)"/>
  </r>
  <r>
    <x v="21"/>
    <s v="Middle_Age(30-50)"/>
    <x v="0"/>
    <s v="Rarely"/>
    <s v="Sales"/>
    <n v="9"/>
    <s v="Middistance(6-14)"/>
    <n v="1"/>
    <s v="Not_Satisfied(&lt;3)"/>
    <x v="1"/>
    <n v="3"/>
    <s v="Medium"/>
    <n v="3"/>
    <x v="1"/>
    <x v="0"/>
    <n v="4"/>
    <s v="Satisfied(&gt;=3)"/>
    <x v="2"/>
    <n v="4"/>
    <s v="Y"/>
    <x v="1"/>
    <n v="11"/>
    <x v="0"/>
    <n v="28"/>
    <n v="4"/>
    <s v="Good(&gt;=3)"/>
    <n v="7"/>
    <s v="Long(5-10)"/>
    <n v="7"/>
    <x v="1"/>
    <n v="4"/>
    <s v="Not_Reasonable(&gt;3)"/>
  </r>
  <r>
    <x v="22"/>
    <s v="Middle_Age(30-50)"/>
    <x v="0"/>
    <s v="Rarely"/>
    <s v="Research &amp; Development"/>
    <n v="2"/>
    <s v="Nearby(&lt;=5)"/>
    <n v="1"/>
    <s v="Not_Satisfied(&lt;3)"/>
    <x v="0"/>
    <n v="2"/>
    <s v="Low"/>
    <n v="1"/>
    <x v="0"/>
    <x v="2"/>
    <n v="1"/>
    <s v="Not_Satisfied(&lt;=2)"/>
    <x v="0"/>
    <n v="2"/>
    <s v="Y"/>
    <x v="0"/>
    <n v="23"/>
    <x v="1"/>
    <n v="11"/>
    <n v="4"/>
    <s v="Good(&gt;=3)"/>
    <n v="1"/>
    <s v="Short(&lt;=4)"/>
    <n v="0"/>
    <x v="0"/>
    <n v="0"/>
    <s v="Reasonable(&lt;=3)"/>
  </r>
  <r>
    <x v="12"/>
    <s v="Middle_Age(30-50)"/>
    <x v="0"/>
    <s v="Frequently"/>
    <s v="Research &amp; Development"/>
    <n v="1"/>
    <s v="Nearby(&lt;=5)"/>
    <n v="3"/>
    <s v="Satisfied(&gt;=3)"/>
    <x v="0"/>
    <n v="4"/>
    <s v="High"/>
    <n v="3"/>
    <x v="1"/>
    <x v="3"/>
    <n v="2"/>
    <s v="Not_Satisfied(&lt;=2)"/>
    <x v="0"/>
    <n v="1"/>
    <s v="Y"/>
    <x v="1"/>
    <n v="11"/>
    <x v="0"/>
    <n v="10"/>
    <n v="3"/>
    <s v="Good(&gt;=3)"/>
    <n v="10"/>
    <s v="Long(5-10)"/>
    <n v="8"/>
    <x v="1"/>
    <n v="4"/>
    <s v="Not_Reasonable(&gt;3)"/>
  </r>
  <r>
    <x v="28"/>
    <s v="Middle_Age(30-50)"/>
    <x v="1"/>
    <s v="Rarely"/>
    <s v="Research &amp; Development"/>
    <n v="20"/>
    <s v="Far(&gt;=15)"/>
    <n v="2"/>
    <s v="Not_Satisfied(&lt;3)"/>
    <x v="1"/>
    <n v="1"/>
    <s v="Low"/>
    <n v="3"/>
    <x v="1"/>
    <x v="4"/>
    <n v="1"/>
    <s v="Not_Satisfied(&lt;=2)"/>
    <x v="2"/>
    <n v="2"/>
    <s v="Y"/>
    <x v="0"/>
    <n v="18"/>
    <x v="0"/>
    <n v="24"/>
    <n v="3"/>
    <s v="Good(&gt;=3)"/>
    <n v="7"/>
    <s v="Long(5-10)"/>
    <n v="7"/>
    <x v="1"/>
    <n v="0"/>
    <s v="Reasonable(&lt;=3)"/>
  </r>
  <r>
    <x v="12"/>
    <s v="Middle_Age(30-50)"/>
    <x v="1"/>
    <s v="Rarely"/>
    <s v="Human Resources"/>
    <n v="8"/>
    <s v="Middistance(6-14)"/>
    <n v="4"/>
    <s v="Satisfied(&gt;=3)"/>
    <x v="0"/>
    <n v="4"/>
    <s v="High"/>
    <n v="1"/>
    <x v="0"/>
    <x v="8"/>
    <n v="2"/>
    <s v="Not_Satisfied(&lt;=2)"/>
    <x v="0"/>
    <n v="9"/>
    <s v="Y"/>
    <x v="1"/>
    <n v="18"/>
    <x v="0"/>
    <n v="8"/>
    <n v="3"/>
    <s v="Good(&gt;=3)"/>
    <n v="3"/>
    <s v="Short(&lt;=4)"/>
    <n v="2"/>
    <x v="0"/>
    <n v="0"/>
    <s v="Reasonable(&lt;=3)"/>
  </r>
  <r>
    <x v="12"/>
    <s v="Middle_Age(30-50)"/>
    <x v="0"/>
    <s v="Frequently"/>
    <s v="Research &amp; Development"/>
    <n v="2"/>
    <s v="Nearby(&lt;=5)"/>
    <n v="2"/>
    <s v="Not_Satisfied(&lt;3)"/>
    <x v="1"/>
    <n v="3"/>
    <s v="Medium"/>
    <n v="1"/>
    <x v="0"/>
    <x v="2"/>
    <n v="4"/>
    <s v="Satisfied(&gt;=3)"/>
    <x v="1"/>
    <n v="6"/>
    <s v="Y"/>
    <x v="0"/>
    <n v="13"/>
    <x v="0"/>
    <n v="7"/>
    <n v="1"/>
    <s v="Poor(&lt;=2)"/>
    <n v="2"/>
    <s v="Short(&lt;=4)"/>
    <n v="2"/>
    <x v="0"/>
    <n v="2"/>
    <s v="Reasonable(&lt;=3)"/>
  </r>
  <r>
    <x v="28"/>
    <s v="Middle_Age(30-50)"/>
    <x v="1"/>
    <s v="Rarely"/>
    <s v="Research &amp; Development"/>
    <n v="29"/>
    <s v="Far(&gt;=15)"/>
    <n v="2"/>
    <s v="Not_Satisfied(&lt;3)"/>
    <x v="1"/>
    <n v="3"/>
    <s v="Medium"/>
    <n v="3"/>
    <x v="1"/>
    <x v="3"/>
    <n v="4"/>
    <s v="Satisfied(&gt;=3)"/>
    <x v="1"/>
    <n v="4"/>
    <s v="Y"/>
    <x v="0"/>
    <n v="18"/>
    <x v="0"/>
    <n v="10"/>
    <n v="4"/>
    <s v="Good(&gt;=3)"/>
    <n v="3"/>
    <s v="Short(&lt;=4)"/>
    <n v="1"/>
    <x v="0"/>
    <n v="1"/>
    <s v="Reasonable(&lt;=3)"/>
  </r>
  <r>
    <x v="26"/>
    <s v="Middle_Age(30-50)"/>
    <x v="1"/>
    <s v="Rarely"/>
    <s v="Sales"/>
    <n v="7"/>
    <s v="Middistance(6-14)"/>
    <n v="3"/>
    <s v="Satisfied(&gt;=3)"/>
    <x v="1"/>
    <n v="3"/>
    <s v="Medium"/>
    <n v="2"/>
    <x v="0"/>
    <x v="0"/>
    <n v="1"/>
    <s v="Not_Satisfied(&lt;=2)"/>
    <x v="2"/>
    <n v="4"/>
    <s v="Y"/>
    <x v="1"/>
    <n v="11"/>
    <x v="0"/>
    <n v="15"/>
    <n v="3"/>
    <s v="Good(&gt;=3)"/>
    <n v="2"/>
    <s v="Short(&lt;=4)"/>
    <n v="2"/>
    <x v="0"/>
    <n v="2"/>
    <s v="Reasonable(&lt;=3)"/>
  </r>
  <r>
    <x v="13"/>
    <s v="Middle_Age(30-50)"/>
    <x v="0"/>
    <s v="Rarely"/>
    <s v="Human Resources"/>
    <n v="9"/>
    <s v="Middistance(6-14)"/>
    <n v="1"/>
    <s v="Not_Satisfied(&lt;3)"/>
    <x v="0"/>
    <n v="3"/>
    <s v="Medium"/>
    <n v="1"/>
    <x v="0"/>
    <x v="8"/>
    <n v="3"/>
    <s v="Satisfied(&gt;=3)"/>
    <x v="1"/>
    <n v="1"/>
    <s v="Y"/>
    <x v="1"/>
    <n v="15"/>
    <x v="0"/>
    <n v="2"/>
    <n v="3"/>
    <s v="Good(&gt;=3)"/>
    <n v="2"/>
    <s v="Short(&lt;=4)"/>
    <n v="2"/>
    <x v="0"/>
    <n v="2"/>
    <s v="Reasonable(&lt;=3)"/>
  </r>
  <r>
    <x v="32"/>
    <s v="Middle_Age(30-50)"/>
    <x v="1"/>
    <s v="Rarely"/>
    <s v="Research &amp; Development"/>
    <n v="8"/>
    <s v="Middistance(6-14)"/>
    <n v="4"/>
    <s v="Satisfied(&gt;=3)"/>
    <x v="1"/>
    <n v="2"/>
    <s v="Low"/>
    <n v="3"/>
    <x v="1"/>
    <x v="7"/>
    <n v="2"/>
    <s v="Not_Satisfied(&lt;=2)"/>
    <x v="2"/>
    <n v="2"/>
    <s v="Y"/>
    <x v="1"/>
    <n v="11"/>
    <x v="0"/>
    <n v="16"/>
    <n v="3"/>
    <s v="Good(&gt;=3)"/>
    <n v="9"/>
    <s v="Long(5-10)"/>
    <n v="8"/>
    <x v="1"/>
    <n v="4"/>
    <s v="Not_Reasonable(&gt;3)"/>
  </r>
  <r>
    <x v="14"/>
    <s v="Young(&lt;=29)"/>
    <x v="1"/>
    <s v="Rarely"/>
    <s v="Sales"/>
    <n v="5"/>
    <s v="Nearby(&lt;=5)"/>
    <n v="4"/>
    <s v="Satisfied(&gt;=3)"/>
    <x v="1"/>
    <n v="3"/>
    <s v="Medium"/>
    <n v="2"/>
    <x v="0"/>
    <x v="0"/>
    <n v="1"/>
    <s v="Not_Satisfied(&lt;=2)"/>
    <x v="0"/>
    <n v="0"/>
    <s v="Y"/>
    <x v="1"/>
    <n v="18"/>
    <x v="0"/>
    <n v="6"/>
    <n v="3"/>
    <s v="Good(&gt;=3)"/>
    <n v="5"/>
    <s v="Long(5-10)"/>
    <n v="4"/>
    <x v="0"/>
    <n v="1"/>
    <s v="Reasonable(&lt;=3)"/>
  </r>
  <r>
    <x v="20"/>
    <s v="Middle_Age(30-50)"/>
    <x v="1"/>
    <s v="Rarely"/>
    <s v="Research &amp; Development"/>
    <n v="5"/>
    <s v="Nearby(&lt;=5)"/>
    <n v="3"/>
    <s v="Satisfied(&gt;=3)"/>
    <x v="1"/>
    <n v="2"/>
    <s v="Low"/>
    <n v="1"/>
    <x v="0"/>
    <x v="2"/>
    <n v="3"/>
    <s v="Satisfied(&gt;=3)"/>
    <x v="0"/>
    <n v="3"/>
    <s v="Y"/>
    <x v="1"/>
    <n v="14"/>
    <x v="0"/>
    <n v="7"/>
    <n v="3"/>
    <s v="Good(&gt;=3)"/>
    <n v="5"/>
    <s v="Long(5-10)"/>
    <n v="2"/>
    <x v="0"/>
    <n v="0"/>
    <s v="Reasonable(&lt;=3)"/>
  </r>
  <r>
    <x v="16"/>
    <s v="Old(&gt;50)"/>
    <x v="1"/>
    <s v="Rarely"/>
    <s v="Research &amp; Development"/>
    <n v="2"/>
    <s v="Nearby(&lt;=5)"/>
    <n v="4"/>
    <s v="Satisfied(&gt;=3)"/>
    <x v="1"/>
    <n v="4"/>
    <s v="High"/>
    <n v="4"/>
    <x v="2"/>
    <x v="7"/>
    <n v="2"/>
    <s v="Not_Satisfied(&lt;=2)"/>
    <x v="0"/>
    <n v="4"/>
    <s v="Y"/>
    <x v="1"/>
    <n v="12"/>
    <x v="0"/>
    <n v="35"/>
    <n v="2"/>
    <s v="Poor(&lt;=2)"/>
    <n v="9"/>
    <s v="Long(5-10)"/>
    <n v="8"/>
    <x v="1"/>
    <n v="8"/>
    <s v="Not_Reasonable(&gt;3)"/>
  </r>
  <r>
    <x v="1"/>
    <s v="Middle_Age(30-50)"/>
    <x v="1"/>
    <s v="Rarely"/>
    <s v="Research &amp; Development"/>
    <n v="5"/>
    <s v="Nearby(&lt;=5)"/>
    <n v="1"/>
    <s v="Not_Satisfied(&lt;3)"/>
    <x v="1"/>
    <n v="3"/>
    <s v="Medium"/>
    <n v="2"/>
    <x v="0"/>
    <x v="4"/>
    <n v="3"/>
    <s v="Satisfied(&gt;=3)"/>
    <x v="1"/>
    <n v="2"/>
    <s v="Y"/>
    <x v="1"/>
    <n v="14"/>
    <x v="0"/>
    <n v="20"/>
    <n v="2"/>
    <s v="Poor(&lt;=2)"/>
    <n v="3"/>
    <s v="Short(&lt;=4)"/>
    <n v="2"/>
    <x v="0"/>
    <n v="1"/>
    <s v="Reasonable(&lt;=3)"/>
  </r>
  <r>
    <x v="32"/>
    <s v="Middle_Age(30-50)"/>
    <x v="1"/>
    <s v="Rarely"/>
    <s v="Research &amp; Development"/>
    <n v="2"/>
    <s v="Nearby(&lt;=5)"/>
    <n v="3"/>
    <s v="Satisfied(&gt;=3)"/>
    <x v="1"/>
    <n v="3"/>
    <s v="Medium"/>
    <n v="1"/>
    <x v="0"/>
    <x v="1"/>
    <n v="3"/>
    <s v="Satisfied(&gt;=3)"/>
    <x v="2"/>
    <n v="2"/>
    <s v="Y"/>
    <x v="1"/>
    <n v="14"/>
    <x v="0"/>
    <n v="8"/>
    <n v="4"/>
    <s v="Good(&gt;=3)"/>
    <n v="3"/>
    <s v="Short(&lt;=4)"/>
    <n v="1"/>
    <x v="0"/>
    <n v="1"/>
    <s v="Reasonable(&lt;=3)"/>
  </r>
  <r>
    <x v="20"/>
    <s v="Middle_Age(30-50)"/>
    <x v="1"/>
    <s v="Rarely"/>
    <s v="Research &amp; Development"/>
    <n v="20"/>
    <s v="Far(&gt;=15)"/>
    <n v="4"/>
    <s v="Satisfied(&gt;=3)"/>
    <x v="1"/>
    <n v="3"/>
    <s v="Medium"/>
    <n v="1"/>
    <x v="0"/>
    <x v="1"/>
    <n v="2"/>
    <s v="Not_Satisfied(&lt;=2)"/>
    <x v="0"/>
    <n v="1"/>
    <s v="Y"/>
    <x v="1"/>
    <n v="13"/>
    <x v="0"/>
    <n v="6"/>
    <n v="2"/>
    <s v="Poor(&lt;=2)"/>
    <n v="5"/>
    <s v="Long(5-10)"/>
    <n v="2"/>
    <x v="0"/>
    <n v="1"/>
    <s v="Reasonable(&lt;=3)"/>
  </r>
  <r>
    <x v="3"/>
    <s v="Middle_Age(30-50)"/>
    <x v="1"/>
    <s v="Frequently"/>
    <s v="Sales"/>
    <n v="7"/>
    <s v="Middistance(6-14)"/>
    <n v="4"/>
    <s v="Satisfied(&gt;=3)"/>
    <x v="1"/>
    <n v="3"/>
    <s v="Medium"/>
    <n v="2"/>
    <x v="0"/>
    <x v="0"/>
    <n v="1"/>
    <s v="Not_Satisfied(&lt;=2)"/>
    <x v="1"/>
    <n v="0"/>
    <s v="Y"/>
    <x v="1"/>
    <n v="14"/>
    <x v="0"/>
    <n v="5"/>
    <n v="3"/>
    <s v="Good(&gt;=3)"/>
    <n v="4"/>
    <s v="Short(&lt;=4)"/>
    <n v="3"/>
    <x v="0"/>
    <n v="0"/>
    <s v="Reasonable(&lt;=3)"/>
  </r>
  <r>
    <x v="13"/>
    <s v="Middle_Age(30-50)"/>
    <x v="1"/>
    <s v="Rarely"/>
    <s v="Sales"/>
    <n v="3"/>
    <s v="Nearby(&lt;=5)"/>
    <n v="4"/>
    <s v="Satisfied(&gt;=3)"/>
    <x v="1"/>
    <n v="1"/>
    <s v="Low"/>
    <n v="2"/>
    <x v="0"/>
    <x v="0"/>
    <n v="1"/>
    <s v="Not_Satisfied(&lt;=2)"/>
    <x v="0"/>
    <n v="3"/>
    <s v="Y"/>
    <x v="1"/>
    <n v="18"/>
    <x v="0"/>
    <n v="15"/>
    <n v="3"/>
    <s v="Good(&gt;=3)"/>
    <n v="13"/>
    <s v="Ultra_Long(&gt;10)"/>
    <n v="9"/>
    <x v="1"/>
    <n v="3"/>
    <s v="Reasonable(&lt;=3)"/>
  </r>
  <r>
    <x v="7"/>
    <s v="Middle_Age(30-50)"/>
    <x v="1"/>
    <s v="Rarely"/>
    <s v="Sales"/>
    <n v="16"/>
    <s v="Far(&gt;=15)"/>
    <n v="4"/>
    <s v="Satisfied(&gt;=3)"/>
    <x v="1"/>
    <n v="3"/>
    <s v="Medium"/>
    <n v="2"/>
    <x v="0"/>
    <x v="0"/>
    <n v="3"/>
    <s v="Satisfied(&gt;=3)"/>
    <x v="1"/>
    <n v="8"/>
    <s v="Y"/>
    <x v="1"/>
    <n v="15"/>
    <x v="0"/>
    <n v="4"/>
    <n v="2"/>
    <s v="Poor(&lt;=2)"/>
    <n v="2"/>
    <s v="Short(&lt;=4)"/>
    <n v="1"/>
    <x v="0"/>
    <n v="2"/>
    <s v="Reasonable(&lt;=3)"/>
  </r>
  <r>
    <x v="19"/>
    <s v="Middle_Age(30-50)"/>
    <x v="1"/>
    <s v="Frequently"/>
    <s v="Research &amp; Development"/>
    <n v="9"/>
    <s v="Middistance(6-14)"/>
    <n v="1"/>
    <s v="Not_Satisfied(&lt;3)"/>
    <x v="0"/>
    <n v="3"/>
    <s v="Medium"/>
    <n v="1"/>
    <x v="0"/>
    <x v="2"/>
    <n v="4"/>
    <s v="Satisfied(&gt;=3)"/>
    <x v="0"/>
    <n v="1"/>
    <s v="Y"/>
    <x v="1"/>
    <n v="13"/>
    <x v="0"/>
    <n v="12"/>
    <n v="3"/>
    <s v="Good(&gt;=3)"/>
    <n v="12"/>
    <s v="Ultra_Long(&gt;10)"/>
    <n v="9"/>
    <x v="1"/>
    <n v="5"/>
    <s v="Not_Reasonable(&gt;3)"/>
  </r>
  <r>
    <x v="20"/>
    <s v="Middle_Age(30-50)"/>
    <x v="1"/>
    <s v="Frequently"/>
    <s v="Sales"/>
    <n v="1"/>
    <s v="Nearby(&lt;=5)"/>
    <n v="1"/>
    <s v="Not_Satisfied(&lt;3)"/>
    <x v="0"/>
    <n v="3"/>
    <s v="Medium"/>
    <n v="2"/>
    <x v="0"/>
    <x v="0"/>
    <n v="3"/>
    <s v="Satisfied(&gt;=3)"/>
    <x v="1"/>
    <n v="7"/>
    <s v="Y"/>
    <x v="1"/>
    <n v="12"/>
    <x v="0"/>
    <n v="11"/>
    <n v="2"/>
    <s v="Poor(&lt;=2)"/>
    <n v="1"/>
    <s v="Short(&lt;=4)"/>
    <n v="0"/>
    <x v="0"/>
    <n v="0"/>
    <s v="Reasonable(&lt;=3)"/>
  </r>
  <r>
    <x v="7"/>
    <s v="Middle_Age(30-50)"/>
    <x v="1"/>
    <s v="Rarely"/>
    <s v="Research &amp; Development"/>
    <n v="7"/>
    <s v="Middistance(6-14)"/>
    <n v="3"/>
    <s v="Satisfied(&gt;=3)"/>
    <x v="1"/>
    <n v="3"/>
    <s v="Medium"/>
    <n v="1"/>
    <x v="0"/>
    <x v="1"/>
    <n v="3"/>
    <s v="Satisfied(&gt;=3)"/>
    <x v="2"/>
    <n v="1"/>
    <s v="Y"/>
    <x v="1"/>
    <n v="13"/>
    <x v="0"/>
    <n v="1"/>
    <n v="2"/>
    <s v="Poor(&lt;=2)"/>
    <n v="1"/>
    <s v="Short(&lt;=4)"/>
    <n v="0"/>
    <x v="0"/>
    <n v="0"/>
    <s v="Reasonable(&lt;=3)"/>
  </r>
  <r>
    <x v="38"/>
    <s v="Old(&gt;50)"/>
    <x v="1"/>
    <s v="Rarely"/>
    <s v="Research &amp; Development"/>
    <n v="1"/>
    <s v="Nearby(&lt;=5)"/>
    <n v="2"/>
    <s v="Not_Satisfied(&lt;3)"/>
    <x v="1"/>
    <n v="4"/>
    <s v="High"/>
    <n v="2"/>
    <x v="0"/>
    <x v="1"/>
    <n v="3"/>
    <s v="Satisfied(&gt;=3)"/>
    <x v="1"/>
    <n v="0"/>
    <s v="Y"/>
    <x v="1"/>
    <n v="24"/>
    <x v="1"/>
    <n v="13"/>
    <n v="2"/>
    <s v="Poor(&lt;=2)"/>
    <n v="12"/>
    <s v="Ultra_Long(&gt;10)"/>
    <n v="9"/>
    <x v="1"/>
    <n v="2"/>
    <s v="Reasonable(&lt;=3)"/>
  </r>
  <r>
    <x v="1"/>
    <s v="Middle_Age(30-50)"/>
    <x v="1"/>
    <s v="Rarely"/>
    <s v="Research &amp; Development"/>
    <n v="7"/>
    <s v="Middistance(6-14)"/>
    <n v="3"/>
    <s v="Satisfied(&gt;=3)"/>
    <x v="1"/>
    <n v="3"/>
    <s v="Medium"/>
    <n v="3"/>
    <x v="1"/>
    <x v="4"/>
    <n v="2"/>
    <s v="Not_Satisfied(&lt;=2)"/>
    <x v="2"/>
    <n v="3"/>
    <s v="Y"/>
    <x v="1"/>
    <n v="14"/>
    <x v="0"/>
    <n v="29"/>
    <n v="3"/>
    <s v="Good(&gt;=3)"/>
    <n v="8"/>
    <s v="Long(5-10)"/>
    <n v="7"/>
    <x v="1"/>
    <n v="0"/>
    <s v="Reasonable(&lt;=3)"/>
  </r>
  <r>
    <x v="13"/>
    <s v="Middle_Age(30-50)"/>
    <x v="1"/>
    <s v="Frequently"/>
    <s v="Research &amp; Development"/>
    <n v="15"/>
    <s v="Far(&gt;=15)"/>
    <n v="2"/>
    <s v="Not_Satisfied(&lt;3)"/>
    <x v="1"/>
    <n v="3"/>
    <s v="Medium"/>
    <n v="4"/>
    <x v="2"/>
    <x v="7"/>
    <n v="1"/>
    <s v="Not_Satisfied(&lt;=2)"/>
    <x v="2"/>
    <n v="7"/>
    <s v="Y"/>
    <x v="1"/>
    <n v="14"/>
    <x v="0"/>
    <n v="16"/>
    <n v="2"/>
    <s v="Poor(&lt;=2)"/>
    <n v="14"/>
    <s v="Ultra_Long(&gt;10)"/>
    <n v="8"/>
    <x v="1"/>
    <n v="6"/>
    <s v="Not_Reasonable(&gt;3)"/>
  </r>
  <r>
    <x v="14"/>
    <s v="Young(&lt;=29)"/>
    <x v="0"/>
    <s v="Frequently"/>
    <s v="Sales"/>
    <n v="1"/>
    <s v="Nearby(&lt;=5)"/>
    <n v="1"/>
    <s v="Not_Satisfied(&lt;3)"/>
    <x v="1"/>
    <n v="3"/>
    <s v="Medium"/>
    <n v="1"/>
    <x v="0"/>
    <x v="6"/>
    <n v="3"/>
    <s v="Satisfied(&gt;=3)"/>
    <x v="1"/>
    <n v="3"/>
    <s v="Y"/>
    <x v="1"/>
    <n v="15"/>
    <x v="0"/>
    <n v="5"/>
    <n v="4"/>
    <s v="Good(&gt;=3)"/>
    <n v="3"/>
    <s v="Short(&lt;=4)"/>
    <n v="2"/>
    <x v="0"/>
    <n v="1"/>
    <s v="Reasonable(&lt;=3)"/>
  </r>
  <r>
    <x v="11"/>
    <s v="Young(&lt;=29)"/>
    <x v="0"/>
    <s v="Frequently"/>
    <s v="Sales"/>
    <n v="13"/>
    <s v="Middistance(6-14)"/>
    <n v="1"/>
    <s v="Not_Satisfied(&lt;3)"/>
    <x v="0"/>
    <n v="3"/>
    <s v="Medium"/>
    <n v="2"/>
    <x v="0"/>
    <x v="0"/>
    <n v="2"/>
    <s v="Not_Satisfied(&lt;=2)"/>
    <x v="0"/>
    <n v="5"/>
    <s v="Y"/>
    <x v="1"/>
    <n v="11"/>
    <x v="0"/>
    <n v="7"/>
    <n v="1"/>
    <s v="Poor(&lt;=2)"/>
    <n v="5"/>
    <s v="Long(5-10)"/>
    <n v="3"/>
    <x v="0"/>
    <n v="0"/>
    <s v="Reasonable(&lt;=3)"/>
  </r>
  <r>
    <x v="13"/>
    <s v="Middle_Age(30-50)"/>
    <x v="0"/>
    <s v="Rarely"/>
    <s v="Sales"/>
    <n v="24"/>
    <s v="Far(&gt;=15)"/>
    <n v="1"/>
    <s v="Not_Satisfied(&lt;3)"/>
    <x v="0"/>
    <n v="2"/>
    <s v="Low"/>
    <n v="2"/>
    <x v="0"/>
    <x v="0"/>
    <n v="2"/>
    <s v="Not_Satisfied(&lt;=2)"/>
    <x v="0"/>
    <n v="0"/>
    <s v="Y"/>
    <x v="0"/>
    <n v="23"/>
    <x v="1"/>
    <n v="16"/>
    <n v="4"/>
    <s v="Good(&gt;=3)"/>
    <n v="15"/>
    <s v="Ultra_Long(&gt;10)"/>
    <n v="9"/>
    <x v="1"/>
    <n v="10"/>
    <s v="Not_Reasonable(&gt;3)"/>
  </r>
  <r>
    <x v="10"/>
    <s v="Middle_Age(30-50)"/>
    <x v="1"/>
    <s v="Rarely"/>
    <s v="Sales"/>
    <n v="7"/>
    <s v="Middistance(6-14)"/>
    <n v="4"/>
    <s v="Satisfied(&gt;=3)"/>
    <x v="1"/>
    <n v="3"/>
    <s v="Medium"/>
    <n v="1"/>
    <x v="0"/>
    <x v="6"/>
    <n v="3"/>
    <s v="Satisfied(&gt;=3)"/>
    <x v="1"/>
    <n v="1"/>
    <s v="Y"/>
    <x v="1"/>
    <n v="13"/>
    <x v="0"/>
    <n v="1"/>
    <n v="3"/>
    <s v="Good(&gt;=3)"/>
    <n v="1"/>
    <s v="Short(&lt;=4)"/>
    <n v="0"/>
    <x v="0"/>
    <n v="0"/>
    <s v="Reasonable(&lt;=3)"/>
  </r>
  <r>
    <x v="17"/>
    <s v="Young(&lt;=29)"/>
    <x v="0"/>
    <s v="Frequently"/>
    <s v="Research &amp; Development"/>
    <n v="9"/>
    <s v="Middistance(6-14)"/>
    <n v="2"/>
    <s v="Not_Satisfied(&lt;3)"/>
    <x v="1"/>
    <n v="3"/>
    <s v="Medium"/>
    <n v="1"/>
    <x v="0"/>
    <x v="2"/>
    <n v="1"/>
    <s v="Not_Satisfied(&lt;=2)"/>
    <x v="0"/>
    <n v="2"/>
    <s v="Y"/>
    <x v="0"/>
    <n v="11"/>
    <x v="0"/>
    <n v="4"/>
    <n v="2"/>
    <s v="Poor(&lt;=2)"/>
    <n v="0"/>
    <s v="Short(&lt;=4)"/>
    <n v="0"/>
    <x v="0"/>
    <n v="0"/>
    <s v="Reasonable(&lt;=3)"/>
  </r>
  <r>
    <x v="17"/>
    <s v="Young(&lt;=29)"/>
    <x v="1"/>
    <s v="Rarely"/>
    <s v="Sales"/>
    <n v="13"/>
    <s v="Middistance(6-14)"/>
    <n v="4"/>
    <s v="Satisfied(&gt;=3)"/>
    <x v="0"/>
    <n v="3"/>
    <s v="Medium"/>
    <n v="1"/>
    <x v="0"/>
    <x v="6"/>
    <n v="2"/>
    <s v="Not_Satisfied(&lt;=2)"/>
    <x v="1"/>
    <n v="1"/>
    <s v="Y"/>
    <x v="1"/>
    <n v="13"/>
    <x v="0"/>
    <n v="1"/>
    <n v="3"/>
    <s v="Good(&gt;=3)"/>
    <n v="1"/>
    <s v="Short(&lt;=4)"/>
    <n v="0"/>
    <x v="0"/>
    <n v="0"/>
    <s v="Reasonable(&lt;=3)"/>
  </r>
  <r>
    <x v="20"/>
    <s v="Middle_Age(30-50)"/>
    <x v="1"/>
    <s v="Frequently"/>
    <s v="Research &amp; Development"/>
    <n v="2"/>
    <s v="Nearby(&lt;=5)"/>
    <n v="2"/>
    <s v="Not_Satisfied(&lt;3)"/>
    <x v="1"/>
    <n v="3"/>
    <s v="Medium"/>
    <n v="3"/>
    <x v="1"/>
    <x v="3"/>
    <n v="3"/>
    <s v="Satisfied(&gt;=3)"/>
    <x v="0"/>
    <n v="5"/>
    <s v="Y"/>
    <x v="0"/>
    <n v="18"/>
    <x v="0"/>
    <n v="16"/>
    <n v="2"/>
    <s v="Poor(&lt;=2)"/>
    <n v="2"/>
    <s v="Short(&lt;=4)"/>
    <n v="2"/>
    <x v="0"/>
    <n v="2"/>
    <s v="Reasonable(&lt;=3)"/>
  </r>
  <r>
    <x v="11"/>
    <s v="Young(&lt;=29)"/>
    <x v="1"/>
    <s v="Rarely"/>
    <s v="Sales"/>
    <n v="19"/>
    <s v="Far(&gt;=15)"/>
    <n v="3"/>
    <s v="Satisfied(&gt;=3)"/>
    <x v="1"/>
    <n v="2"/>
    <s v="Low"/>
    <n v="2"/>
    <x v="0"/>
    <x v="0"/>
    <n v="3"/>
    <s v="Satisfied(&gt;=3)"/>
    <x v="2"/>
    <n v="1"/>
    <s v="Y"/>
    <x v="1"/>
    <n v="14"/>
    <x v="0"/>
    <n v="10"/>
    <n v="3"/>
    <s v="Good(&gt;=3)"/>
    <n v="10"/>
    <s v="Long(5-10)"/>
    <n v="7"/>
    <x v="1"/>
    <n v="0"/>
    <s v="Reasonable(&lt;=3)"/>
  </r>
  <r>
    <x v="7"/>
    <s v="Middle_Age(30-50)"/>
    <x v="1"/>
    <s v="Rarely"/>
    <s v="Human Resources"/>
    <n v="1"/>
    <s v="Nearby(&lt;=5)"/>
    <n v="3"/>
    <s v="Satisfied(&gt;=3)"/>
    <x v="1"/>
    <n v="3"/>
    <s v="Medium"/>
    <n v="1"/>
    <x v="0"/>
    <x v="8"/>
    <n v="3"/>
    <s v="Satisfied(&gt;=3)"/>
    <x v="2"/>
    <n v="0"/>
    <s v="Y"/>
    <x v="1"/>
    <n v="21"/>
    <x v="1"/>
    <n v="6"/>
    <n v="4"/>
    <s v="Good(&gt;=3)"/>
    <n v="5"/>
    <s v="Long(5-10)"/>
    <n v="3"/>
    <x v="0"/>
    <n v="1"/>
    <s v="Reasonable(&lt;=3)"/>
  </r>
  <r>
    <x v="27"/>
    <s v="Old(&gt;50)"/>
    <x v="1"/>
    <s v="Rarely"/>
    <s v="Research &amp; Development"/>
    <n v="4"/>
    <s v="Nearby(&lt;=5)"/>
    <n v="4"/>
    <s v="Satisfied(&gt;=3)"/>
    <x v="1"/>
    <n v="3"/>
    <s v="Medium"/>
    <n v="2"/>
    <x v="0"/>
    <x v="4"/>
    <n v="3"/>
    <s v="Satisfied(&gt;=3)"/>
    <x v="1"/>
    <n v="0"/>
    <s v="Y"/>
    <x v="0"/>
    <n v="16"/>
    <x v="0"/>
    <n v="4"/>
    <n v="3"/>
    <s v="Good(&gt;=3)"/>
    <n v="3"/>
    <s v="Short(&lt;=4)"/>
    <n v="2"/>
    <x v="0"/>
    <n v="1"/>
    <s v="Reasonable(&lt;=3)"/>
  </r>
  <r>
    <x v="3"/>
    <s v="Middle_Age(30-50)"/>
    <x v="1"/>
    <s v="Rarely"/>
    <s v="Research &amp; Development"/>
    <n v="4"/>
    <s v="Nearby(&lt;=5)"/>
    <n v="1"/>
    <s v="Not_Satisfied(&lt;3)"/>
    <x v="0"/>
    <n v="2"/>
    <s v="Low"/>
    <n v="1"/>
    <x v="0"/>
    <x v="2"/>
    <n v="2"/>
    <s v="Not_Satisfied(&lt;=2)"/>
    <x v="1"/>
    <n v="8"/>
    <s v="Y"/>
    <x v="1"/>
    <n v="11"/>
    <x v="0"/>
    <n v="8"/>
    <n v="3"/>
    <s v="Good(&gt;=3)"/>
    <n v="5"/>
    <s v="Long(5-10)"/>
    <n v="4"/>
    <x v="0"/>
    <n v="0"/>
    <s v="Reasonable(&lt;=3)"/>
  </r>
  <r>
    <x v="40"/>
    <s v="Middle_Age(30-50)"/>
    <x v="1"/>
    <s v="Rarely"/>
    <s v="Sales"/>
    <n v="14"/>
    <s v="Middistance(6-14)"/>
    <n v="3"/>
    <s v="Satisfied(&gt;=3)"/>
    <x v="0"/>
    <n v="3"/>
    <s v="Medium"/>
    <n v="2"/>
    <x v="0"/>
    <x v="0"/>
    <n v="3"/>
    <s v="Satisfied(&gt;=3)"/>
    <x v="1"/>
    <n v="3"/>
    <s v="Y"/>
    <x v="0"/>
    <n v="17"/>
    <x v="0"/>
    <n v="11"/>
    <n v="2"/>
    <s v="Poor(&lt;=2)"/>
    <n v="5"/>
    <s v="Long(5-10)"/>
    <n v="4"/>
    <x v="0"/>
    <n v="1"/>
    <s v="Reasonable(&lt;=3)"/>
  </r>
  <r>
    <x v="14"/>
    <s v="Young(&lt;=29)"/>
    <x v="0"/>
    <s v="Frequently"/>
    <s v="Research &amp; Development"/>
    <n v="2"/>
    <s v="Nearby(&lt;=5)"/>
    <n v="3"/>
    <s v="Satisfied(&gt;=3)"/>
    <x v="1"/>
    <n v="2"/>
    <s v="Low"/>
    <n v="1"/>
    <x v="0"/>
    <x v="2"/>
    <n v="1"/>
    <s v="Not_Satisfied(&lt;=2)"/>
    <x v="0"/>
    <n v="7"/>
    <s v="Y"/>
    <x v="1"/>
    <n v="11"/>
    <x v="0"/>
    <n v="8"/>
    <n v="2"/>
    <s v="Poor(&lt;=2)"/>
    <n v="0"/>
    <s v="Short(&lt;=4)"/>
    <n v="0"/>
    <x v="0"/>
    <n v="0"/>
    <s v="Reasonable(&lt;=3)"/>
  </r>
  <r>
    <x v="14"/>
    <s v="Young(&lt;=29)"/>
    <x v="1"/>
    <s v="Rarely"/>
    <s v="Research &amp; Development"/>
    <n v="1"/>
    <s v="Nearby(&lt;=5)"/>
    <n v="1"/>
    <s v="Not_Satisfied(&lt;3)"/>
    <x v="1"/>
    <n v="2"/>
    <s v="Low"/>
    <n v="1"/>
    <x v="0"/>
    <x v="1"/>
    <n v="3"/>
    <s v="Satisfied(&gt;=3)"/>
    <x v="2"/>
    <n v="1"/>
    <s v="Y"/>
    <x v="1"/>
    <n v="14"/>
    <x v="0"/>
    <n v="1"/>
    <n v="1"/>
    <s v="Poor(&lt;=2)"/>
    <n v="1"/>
    <s v="Short(&lt;=4)"/>
    <n v="0"/>
    <x v="0"/>
    <n v="0"/>
    <s v="Reasonable(&lt;=3)"/>
  </r>
  <r>
    <x v="14"/>
    <s v="Young(&lt;=29)"/>
    <x v="1"/>
    <s v="Frequently"/>
    <s v="Sales"/>
    <n v="7"/>
    <s v="Middistance(6-14)"/>
    <n v="3"/>
    <s v="Satisfied(&gt;=3)"/>
    <x v="1"/>
    <n v="3"/>
    <s v="Medium"/>
    <n v="2"/>
    <x v="0"/>
    <x v="0"/>
    <n v="1"/>
    <s v="Not_Satisfied(&lt;=2)"/>
    <x v="0"/>
    <n v="0"/>
    <s v="Y"/>
    <x v="1"/>
    <n v="14"/>
    <x v="0"/>
    <n v="5"/>
    <n v="3"/>
    <s v="Good(&gt;=3)"/>
    <n v="4"/>
    <s v="Short(&lt;=4)"/>
    <n v="2"/>
    <x v="0"/>
    <n v="1"/>
    <s v="Reasonable(&lt;=3)"/>
  </r>
  <r>
    <x v="1"/>
    <s v="Middle_Age(30-50)"/>
    <x v="1"/>
    <s v="Rarely"/>
    <s v="Research &amp; Development"/>
    <n v="3"/>
    <s v="Nearby(&lt;=5)"/>
    <n v="3"/>
    <s v="Satisfied(&gt;=3)"/>
    <x v="0"/>
    <n v="2"/>
    <s v="Low"/>
    <n v="2"/>
    <x v="0"/>
    <x v="2"/>
    <n v="1"/>
    <s v="Not_Satisfied(&lt;=2)"/>
    <x v="1"/>
    <n v="4"/>
    <s v="Y"/>
    <x v="1"/>
    <n v="25"/>
    <x v="1"/>
    <n v="10"/>
    <n v="3"/>
    <s v="Good(&gt;=3)"/>
    <n v="3"/>
    <s v="Short(&lt;=4)"/>
    <n v="2"/>
    <x v="0"/>
    <n v="1"/>
    <s v="Reasonable(&lt;=3)"/>
  </r>
  <r>
    <x v="11"/>
    <s v="Young(&lt;=29)"/>
    <x v="1"/>
    <s v="Frequently"/>
    <s v="Research &amp; Development"/>
    <n v="2"/>
    <s v="Nearby(&lt;=5)"/>
    <n v="4"/>
    <s v="Satisfied(&gt;=3)"/>
    <x v="0"/>
    <n v="3"/>
    <s v="Medium"/>
    <n v="1"/>
    <x v="0"/>
    <x v="2"/>
    <n v="2"/>
    <s v="Not_Satisfied(&lt;=2)"/>
    <x v="1"/>
    <n v="0"/>
    <s v="Y"/>
    <x v="1"/>
    <n v="13"/>
    <x v="0"/>
    <n v="4"/>
    <n v="3"/>
    <s v="Good(&gt;=3)"/>
    <n v="3"/>
    <s v="Short(&lt;=4)"/>
    <n v="2"/>
    <x v="0"/>
    <n v="0"/>
    <s v="Reasonable(&lt;=3)"/>
  </r>
  <r>
    <x v="14"/>
    <s v="Young(&lt;=29)"/>
    <x v="1"/>
    <s v="Rarely"/>
    <s v="Research &amp; Development"/>
    <n v="29"/>
    <s v="Far(&gt;=15)"/>
    <n v="3"/>
    <s v="Satisfied(&gt;=3)"/>
    <x v="1"/>
    <n v="1"/>
    <s v="Low"/>
    <n v="2"/>
    <x v="0"/>
    <x v="3"/>
    <n v="2"/>
    <s v="Not_Satisfied(&lt;=2)"/>
    <x v="1"/>
    <n v="1"/>
    <s v="Y"/>
    <x v="1"/>
    <n v="14"/>
    <x v="0"/>
    <n v="8"/>
    <n v="2"/>
    <s v="Poor(&lt;=2)"/>
    <n v="8"/>
    <s v="Long(5-10)"/>
    <n v="6"/>
    <x v="1"/>
    <n v="1"/>
    <s v="Reasonable(&lt;=3)"/>
  </r>
  <r>
    <x v="3"/>
    <s v="Middle_Age(30-50)"/>
    <x v="1"/>
    <s v="Rarely"/>
    <s v="Research &amp; Development"/>
    <n v="8"/>
    <s v="Middistance(6-14)"/>
    <n v="4"/>
    <s v="Satisfied(&gt;=3)"/>
    <x v="1"/>
    <n v="3"/>
    <s v="Medium"/>
    <n v="2"/>
    <x v="0"/>
    <x v="4"/>
    <n v="3"/>
    <s v="Satisfied(&gt;=3)"/>
    <x v="0"/>
    <n v="2"/>
    <s v="Y"/>
    <x v="0"/>
    <n v="17"/>
    <x v="0"/>
    <n v="14"/>
    <n v="3"/>
    <s v="Good(&gt;=3)"/>
    <n v="0"/>
    <s v="Short(&lt;=4)"/>
    <n v="0"/>
    <x v="0"/>
    <n v="0"/>
    <s v="Reasonable(&lt;=3)"/>
  </r>
  <r>
    <x v="5"/>
    <s v="Middle_Age(30-50)"/>
    <x v="1"/>
    <s v="Rarely"/>
    <s v="Research &amp; Development"/>
    <n v="10"/>
    <s v="Middistance(6-14)"/>
    <n v="3"/>
    <s v="Satisfied(&gt;=3)"/>
    <x v="1"/>
    <n v="3"/>
    <s v="Medium"/>
    <n v="3"/>
    <x v="1"/>
    <x v="5"/>
    <n v="4"/>
    <s v="Satisfied(&gt;=3)"/>
    <x v="0"/>
    <n v="2"/>
    <s v="Y"/>
    <x v="1"/>
    <n v="25"/>
    <x v="1"/>
    <n v="10"/>
    <n v="4"/>
    <s v="Good(&gt;=3)"/>
    <n v="5"/>
    <s v="Long(5-10)"/>
    <n v="2"/>
    <x v="0"/>
    <n v="0"/>
    <s v="Reasonable(&lt;=3)"/>
  </r>
  <r>
    <x v="33"/>
    <s v="Old(&gt;50)"/>
    <x v="1"/>
    <s v="Frequently"/>
    <s v="Research &amp; Development"/>
    <n v="11"/>
    <s v="Middistance(6-14)"/>
    <n v="2"/>
    <s v="Not_Satisfied(&lt;3)"/>
    <x v="0"/>
    <n v="3"/>
    <s v="Medium"/>
    <n v="4"/>
    <x v="2"/>
    <x v="5"/>
    <n v="4"/>
    <s v="Satisfied(&gt;=3)"/>
    <x v="2"/>
    <n v="3"/>
    <s v="Y"/>
    <x v="1"/>
    <n v="20"/>
    <x v="1"/>
    <n v="26"/>
    <n v="3"/>
    <s v="Good(&gt;=3)"/>
    <n v="14"/>
    <s v="Ultra_Long(&gt;10)"/>
    <n v="9"/>
    <x v="1"/>
    <n v="1"/>
    <s v="Reasonable(&lt;=3)"/>
  </r>
  <r>
    <x v="11"/>
    <s v="Young(&lt;=29)"/>
    <x v="0"/>
    <s v="Rarely"/>
    <s v="Research &amp; Development"/>
    <n v="1"/>
    <s v="Nearby(&lt;=5)"/>
    <n v="1"/>
    <s v="Not_Satisfied(&lt;3)"/>
    <x v="1"/>
    <n v="2"/>
    <s v="Low"/>
    <n v="1"/>
    <x v="0"/>
    <x v="1"/>
    <n v="1"/>
    <s v="Not_Satisfied(&lt;=2)"/>
    <x v="0"/>
    <n v="6"/>
    <s v="Y"/>
    <x v="1"/>
    <n v="13"/>
    <x v="0"/>
    <n v="11"/>
    <n v="1"/>
    <s v="Poor(&lt;=2)"/>
    <n v="9"/>
    <s v="Long(5-10)"/>
    <n v="7"/>
    <x v="1"/>
    <n v="0"/>
    <s v="Reasonable(&lt;=3)"/>
  </r>
  <r>
    <x v="20"/>
    <s v="Middle_Age(30-50)"/>
    <x v="1"/>
    <s v="Rarely"/>
    <s v="Research &amp; Development"/>
    <n v="28"/>
    <s v="Far(&gt;=15)"/>
    <n v="4"/>
    <s v="Satisfied(&gt;=3)"/>
    <x v="1"/>
    <n v="3"/>
    <s v="Medium"/>
    <n v="4"/>
    <x v="2"/>
    <x v="7"/>
    <n v="1"/>
    <s v="Not_Satisfied(&lt;=2)"/>
    <x v="1"/>
    <n v="3"/>
    <s v="Y"/>
    <x v="1"/>
    <n v="13"/>
    <x v="0"/>
    <n v="24"/>
    <n v="4"/>
    <s v="Good(&gt;=3)"/>
    <n v="20"/>
    <s v="Ultra_Long(&gt;10)"/>
    <n v="6"/>
    <x v="1"/>
    <n v="14"/>
    <s v="Not_Reasonable(&gt;3)"/>
  </r>
  <r>
    <x v="22"/>
    <s v="Middle_Age(30-50)"/>
    <x v="1"/>
    <s v="Rarely"/>
    <s v="Research &amp; Development"/>
    <n v="6"/>
    <s v="Middistance(6-14)"/>
    <n v="2"/>
    <s v="Not_Satisfied(&lt;3)"/>
    <x v="0"/>
    <n v="3"/>
    <s v="Medium"/>
    <n v="3"/>
    <x v="1"/>
    <x v="3"/>
    <n v="2"/>
    <s v="Not_Satisfied(&lt;=2)"/>
    <x v="0"/>
    <n v="4"/>
    <s v="Y"/>
    <x v="1"/>
    <n v="18"/>
    <x v="0"/>
    <n v="9"/>
    <n v="3"/>
    <s v="Good(&gt;=3)"/>
    <n v="2"/>
    <s v="Short(&lt;=4)"/>
    <n v="0"/>
    <x v="0"/>
    <n v="2"/>
    <s v="Reasonable(&lt;=3)"/>
  </r>
  <r>
    <x v="21"/>
    <s v="Middle_Age(30-50)"/>
    <x v="1"/>
    <s v="Rarely"/>
    <s v="Sales"/>
    <n v="3"/>
    <s v="Nearby(&lt;=5)"/>
    <n v="3"/>
    <s v="Satisfied(&gt;=3)"/>
    <x v="0"/>
    <n v="3"/>
    <s v="Medium"/>
    <n v="4"/>
    <x v="2"/>
    <x v="5"/>
    <n v="2"/>
    <s v="Not_Satisfied(&lt;=2)"/>
    <x v="1"/>
    <n v="8"/>
    <s v="Y"/>
    <x v="1"/>
    <n v="12"/>
    <x v="0"/>
    <n v="23"/>
    <n v="4"/>
    <s v="Good(&gt;=3)"/>
    <n v="13"/>
    <s v="Ultra_Long(&gt;10)"/>
    <n v="12"/>
    <x v="2"/>
    <n v="5"/>
    <s v="Not_Reasonable(&gt;3)"/>
  </r>
  <r>
    <x v="10"/>
    <s v="Middle_Age(30-50)"/>
    <x v="1"/>
    <s v="Rarely"/>
    <s v="Research &amp; Development"/>
    <n v="16"/>
    <s v="Far(&gt;=15)"/>
    <n v="4"/>
    <s v="Satisfied(&gt;=3)"/>
    <x v="0"/>
    <n v="2"/>
    <s v="Low"/>
    <n v="3"/>
    <x v="1"/>
    <x v="4"/>
    <n v="2"/>
    <s v="Not_Satisfied(&lt;=2)"/>
    <x v="0"/>
    <n v="1"/>
    <s v="Y"/>
    <x v="1"/>
    <n v="19"/>
    <x v="0"/>
    <n v="11"/>
    <n v="1"/>
    <s v="Poor(&lt;=2)"/>
    <n v="11"/>
    <s v="Ultra_Long(&gt;10)"/>
    <n v="8"/>
    <x v="1"/>
    <n v="3"/>
    <s v="Reasonable(&lt;=3)"/>
  </r>
  <r>
    <x v="30"/>
    <s v="Young(&lt;=29)"/>
    <x v="1"/>
    <s v="Rarely"/>
    <s v="Research &amp; Development"/>
    <n v="20"/>
    <s v="Far(&gt;=15)"/>
    <n v="1"/>
    <s v="Not_Satisfied(&lt;3)"/>
    <x v="1"/>
    <n v="3"/>
    <s v="Medium"/>
    <n v="2"/>
    <x v="0"/>
    <x v="2"/>
    <n v="3"/>
    <s v="Satisfied(&gt;=3)"/>
    <x v="0"/>
    <n v="0"/>
    <s v="Y"/>
    <x v="1"/>
    <n v="14"/>
    <x v="0"/>
    <n v="5"/>
    <n v="3"/>
    <s v="Good(&gt;=3)"/>
    <n v="4"/>
    <s v="Short(&lt;=4)"/>
    <n v="3"/>
    <x v="0"/>
    <n v="1"/>
    <s v="Reasonable(&lt;=3)"/>
  </r>
  <r>
    <x v="32"/>
    <s v="Middle_Age(30-50)"/>
    <x v="0"/>
    <s v="Rarely"/>
    <s v="Research &amp; Development"/>
    <n v="9"/>
    <s v="Middistance(6-14)"/>
    <n v="4"/>
    <s v="Satisfied(&gt;=3)"/>
    <x v="1"/>
    <n v="3"/>
    <s v="Medium"/>
    <n v="1"/>
    <x v="0"/>
    <x v="2"/>
    <n v="1"/>
    <s v="Not_Satisfied(&lt;=2)"/>
    <x v="0"/>
    <n v="3"/>
    <s v="Y"/>
    <x v="1"/>
    <n v="14"/>
    <x v="0"/>
    <n v="15"/>
    <n v="1"/>
    <s v="Poor(&lt;=2)"/>
    <n v="5"/>
    <s v="Long(5-10)"/>
    <n v="4"/>
    <x v="0"/>
    <n v="1"/>
    <s v="Reasonable(&lt;=3)"/>
  </r>
  <r>
    <x v="13"/>
    <s v="Middle_Age(30-50)"/>
    <x v="1"/>
    <s v="Rarely"/>
    <s v="Sales"/>
    <n v="1"/>
    <s v="Nearby(&lt;=5)"/>
    <n v="4"/>
    <s v="Satisfied(&gt;=3)"/>
    <x v="1"/>
    <n v="2"/>
    <s v="Low"/>
    <n v="3"/>
    <x v="1"/>
    <x v="0"/>
    <n v="3"/>
    <s v="Satisfied(&gt;=3)"/>
    <x v="1"/>
    <n v="1"/>
    <s v="Y"/>
    <x v="0"/>
    <n v="14"/>
    <x v="0"/>
    <n v="10"/>
    <n v="3"/>
    <s v="Good(&gt;=3)"/>
    <n v="10"/>
    <s v="Long(5-10)"/>
    <n v="9"/>
    <x v="1"/>
    <n v="8"/>
    <s v="Not_Reasonable(&gt;3)"/>
  </r>
  <r>
    <x v="12"/>
    <s v="Middle_Age(30-50)"/>
    <x v="0"/>
    <s v="Frequently"/>
    <s v="Research &amp; Development"/>
    <n v="3"/>
    <s v="Nearby(&lt;=5)"/>
    <n v="4"/>
    <s v="Satisfied(&gt;=3)"/>
    <x v="0"/>
    <n v="3"/>
    <s v="Medium"/>
    <n v="1"/>
    <x v="0"/>
    <x v="1"/>
    <n v="3"/>
    <s v="Satisfied(&gt;=3)"/>
    <x v="0"/>
    <n v="1"/>
    <s v="Y"/>
    <x v="1"/>
    <n v="12"/>
    <x v="0"/>
    <n v="7"/>
    <n v="1"/>
    <s v="Poor(&lt;=2)"/>
    <n v="7"/>
    <s v="Long(5-10)"/>
    <n v="2"/>
    <x v="0"/>
    <n v="7"/>
    <s v="Not_Reasonable(&gt;3)"/>
  </r>
  <r>
    <x v="24"/>
    <s v="Middle_Age(30-50)"/>
    <x v="1"/>
    <s v="Frequently"/>
    <s v="Research &amp; Development"/>
    <n v="22"/>
    <s v="Far(&gt;=15)"/>
    <n v="3"/>
    <s v="Satisfied(&gt;=3)"/>
    <x v="1"/>
    <n v="1"/>
    <s v="Low"/>
    <n v="4"/>
    <x v="2"/>
    <x v="7"/>
    <n v="4"/>
    <s v="Satisfied(&gt;=3)"/>
    <x v="0"/>
    <n v="1"/>
    <s v="Y"/>
    <x v="0"/>
    <n v="13"/>
    <x v="0"/>
    <n v="32"/>
    <n v="3"/>
    <s v="Good(&gt;=3)"/>
    <n v="32"/>
    <s v="Ultra_Long(&gt;10)"/>
    <n v="6"/>
    <x v="1"/>
    <n v="13"/>
    <s v="Not_Reasonable(&gt;3)"/>
  </r>
  <r>
    <x v="13"/>
    <s v="Middle_Age(30-50)"/>
    <x v="1"/>
    <s v="Rarely"/>
    <s v="Sales"/>
    <n v="7"/>
    <s v="Middistance(6-14)"/>
    <n v="2"/>
    <s v="Not_Satisfied(&lt;3)"/>
    <x v="1"/>
    <n v="3"/>
    <s v="Medium"/>
    <n v="1"/>
    <x v="0"/>
    <x v="6"/>
    <n v="3"/>
    <s v="Satisfied(&gt;=3)"/>
    <x v="1"/>
    <n v="0"/>
    <s v="Y"/>
    <x v="0"/>
    <n v="25"/>
    <x v="1"/>
    <n v="12"/>
    <n v="3"/>
    <s v="Good(&gt;=3)"/>
    <n v="11"/>
    <s v="Ultra_Long(&gt;10)"/>
    <n v="10"/>
    <x v="1"/>
    <n v="5"/>
    <s v="Not_Reasonable(&gt;3)"/>
  </r>
  <r>
    <x v="19"/>
    <s v="Middle_Age(30-50)"/>
    <x v="1"/>
    <s v="Rarely"/>
    <s v="Research &amp; Development"/>
    <n v="2"/>
    <s v="Nearby(&lt;=5)"/>
    <n v="3"/>
    <s v="Satisfied(&gt;=3)"/>
    <x v="1"/>
    <n v="2"/>
    <s v="Low"/>
    <n v="1"/>
    <x v="0"/>
    <x v="2"/>
    <n v="2"/>
    <s v="Not_Satisfied(&lt;=2)"/>
    <x v="1"/>
    <n v="4"/>
    <s v="Y"/>
    <x v="1"/>
    <n v="14"/>
    <x v="0"/>
    <n v="4"/>
    <n v="3"/>
    <s v="Good(&gt;=3)"/>
    <n v="1"/>
    <s v="Short(&lt;=4)"/>
    <n v="0"/>
    <x v="0"/>
    <n v="0"/>
    <s v="Reasonable(&lt;=3)"/>
  </r>
  <r>
    <x v="2"/>
    <s v="Middle_Age(30-50)"/>
    <x v="1"/>
    <s v="Rarely"/>
    <s v="Research &amp; Development"/>
    <n v="13"/>
    <s v="Middistance(6-14)"/>
    <n v="1"/>
    <s v="Not_Satisfied(&lt;3)"/>
    <x v="1"/>
    <n v="3"/>
    <s v="Medium"/>
    <n v="2"/>
    <x v="0"/>
    <x v="1"/>
    <n v="4"/>
    <s v="Satisfied(&gt;=3)"/>
    <x v="1"/>
    <n v="1"/>
    <s v="Y"/>
    <x v="1"/>
    <n v="17"/>
    <x v="0"/>
    <n v="10"/>
    <n v="3"/>
    <s v="Good(&gt;=3)"/>
    <n v="10"/>
    <s v="Long(5-10)"/>
    <n v="8"/>
    <x v="1"/>
    <n v="3"/>
    <s v="Reasonable(&lt;=3)"/>
  </r>
  <r>
    <x v="11"/>
    <s v="Young(&lt;=29)"/>
    <x v="1"/>
    <s v="Rarely"/>
    <s v="Research &amp; Development"/>
    <n v="8"/>
    <s v="Middistance(6-14)"/>
    <n v="3"/>
    <s v="Satisfied(&gt;=3)"/>
    <x v="0"/>
    <n v="1"/>
    <s v="Low"/>
    <n v="2"/>
    <x v="0"/>
    <x v="4"/>
    <n v="1"/>
    <s v="Not_Satisfied(&lt;=2)"/>
    <x v="1"/>
    <n v="3"/>
    <s v="Y"/>
    <x v="1"/>
    <n v="13"/>
    <x v="0"/>
    <n v="9"/>
    <n v="3"/>
    <s v="Good(&gt;=3)"/>
    <n v="7"/>
    <s v="Long(5-10)"/>
    <n v="7"/>
    <x v="1"/>
    <n v="0"/>
    <s v="Reasonable(&lt;=3)"/>
  </r>
  <r>
    <x v="3"/>
    <s v="Middle_Age(30-50)"/>
    <x v="1"/>
    <s v="Rarely"/>
    <s v="Research &amp; Development"/>
    <n v="25"/>
    <s v="Far(&gt;=15)"/>
    <n v="4"/>
    <s v="Satisfied(&gt;=3)"/>
    <x v="1"/>
    <n v="2"/>
    <s v="Low"/>
    <n v="2"/>
    <x v="0"/>
    <x v="3"/>
    <n v="2"/>
    <s v="Not_Satisfied(&lt;=2)"/>
    <x v="0"/>
    <n v="1"/>
    <s v="Y"/>
    <x v="1"/>
    <n v="13"/>
    <x v="0"/>
    <n v="5"/>
    <n v="3"/>
    <s v="Good(&gt;=3)"/>
    <n v="5"/>
    <s v="Long(5-10)"/>
    <n v="3"/>
    <x v="0"/>
    <n v="0"/>
    <s v="Reasonable(&lt;=3)"/>
  </r>
  <r>
    <x v="28"/>
    <s v="Middle_Age(30-50)"/>
    <x v="1"/>
    <s v="Rarely"/>
    <s v="Research &amp; Development"/>
    <n v="28"/>
    <s v="Far(&gt;=15)"/>
    <n v="4"/>
    <s v="Satisfied(&gt;=3)"/>
    <x v="1"/>
    <n v="3"/>
    <s v="Medium"/>
    <n v="1"/>
    <x v="0"/>
    <x v="1"/>
    <n v="4"/>
    <s v="Satisfied(&gt;=3)"/>
    <x v="1"/>
    <n v="4"/>
    <s v="Y"/>
    <x v="1"/>
    <n v="20"/>
    <x v="1"/>
    <n v="8"/>
    <n v="3"/>
    <s v="Good(&gt;=3)"/>
    <n v="5"/>
    <s v="Long(5-10)"/>
    <n v="4"/>
    <x v="0"/>
    <n v="0"/>
    <s v="Reasonable(&lt;=3)"/>
  </r>
  <r>
    <x v="19"/>
    <s v="Middle_Age(30-50)"/>
    <x v="1"/>
    <s v="Frequently"/>
    <s v="Research &amp; Development"/>
    <n v="2"/>
    <s v="Nearby(&lt;=5)"/>
    <n v="4"/>
    <s v="Satisfied(&gt;=3)"/>
    <x v="1"/>
    <n v="3"/>
    <s v="Medium"/>
    <n v="3"/>
    <x v="1"/>
    <x v="4"/>
    <n v="4"/>
    <s v="Satisfied(&gt;=3)"/>
    <x v="1"/>
    <n v="2"/>
    <s v="Y"/>
    <x v="0"/>
    <n v="14"/>
    <x v="0"/>
    <n v="24"/>
    <n v="1"/>
    <s v="Poor(&lt;=2)"/>
    <n v="20"/>
    <s v="Ultra_Long(&gt;10)"/>
    <n v="8"/>
    <x v="1"/>
    <n v="13"/>
    <s v="Not_Reasonable(&gt;3)"/>
  </r>
  <r>
    <x v="32"/>
    <s v="Middle_Age(30-50)"/>
    <x v="1"/>
    <s v="Rarely"/>
    <s v="Sales"/>
    <n v="9"/>
    <s v="Middistance(6-14)"/>
    <n v="1"/>
    <s v="Not_Satisfied(&lt;3)"/>
    <x v="1"/>
    <n v="3"/>
    <s v="Medium"/>
    <n v="2"/>
    <x v="0"/>
    <x v="0"/>
    <n v="1"/>
    <s v="Not_Satisfied(&lt;=2)"/>
    <x v="1"/>
    <n v="0"/>
    <s v="Y"/>
    <x v="1"/>
    <n v="12"/>
    <x v="0"/>
    <n v="9"/>
    <n v="4"/>
    <s v="Good(&gt;=3)"/>
    <n v="8"/>
    <s v="Long(5-10)"/>
    <n v="4"/>
    <x v="0"/>
    <n v="7"/>
    <s v="Not_Reasonable(&gt;3)"/>
  </r>
  <r>
    <x v="3"/>
    <s v="Middle_Age(30-50)"/>
    <x v="1"/>
    <s v="Rarely"/>
    <s v="Research &amp; Development"/>
    <n v="28"/>
    <s v="Far(&gt;=15)"/>
    <n v="2"/>
    <s v="Not_Satisfied(&lt;3)"/>
    <x v="1"/>
    <n v="3"/>
    <s v="Medium"/>
    <n v="2"/>
    <x v="0"/>
    <x v="2"/>
    <n v="3"/>
    <s v="Satisfied(&gt;=3)"/>
    <x v="1"/>
    <n v="1"/>
    <s v="Y"/>
    <x v="0"/>
    <n v="12"/>
    <x v="0"/>
    <n v="15"/>
    <n v="3"/>
    <s v="Good(&gt;=3)"/>
    <n v="15"/>
    <s v="Ultra_Long(&gt;10)"/>
    <n v="14"/>
    <x v="2"/>
    <n v="5"/>
    <s v="Not_Reasonable(&gt;3)"/>
  </r>
  <r>
    <x v="32"/>
    <s v="Middle_Age(30-50)"/>
    <x v="1"/>
    <s v="Rarely"/>
    <s v="Human Resources"/>
    <n v="6"/>
    <s v="Middistance(6-14)"/>
    <n v="3"/>
    <s v="Satisfied(&gt;=3)"/>
    <x v="1"/>
    <n v="3"/>
    <s v="Medium"/>
    <n v="4"/>
    <x v="2"/>
    <x v="5"/>
    <n v="4"/>
    <s v="Satisfied(&gt;=3)"/>
    <x v="0"/>
    <n v="1"/>
    <s v="Y"/>
    <x v="0"/>
    <n v="21"/>
    <x v="1"/>
    <n v="21"/>
    <n v="3"/>
    <s v="Good(&gt;=3)"/>
    <n v="21"/>
    <s v="Ultra_Long(&gt;10)"/>
    <n v="7"/>
    <x v="1"/>
    <n v="7"/>
    <s v="Not_Reasonable(&gt;3)"/>
  </r>
  <r>
    <x v="17"/>
    <s v="Young(&lt;=29)"/>
    <x v="1"/>
    <s v="Rarely"/>
    <s v="Research &amp; Development"/>
    <n v="21"/>
    <s v="Far(&gt;=15)"/>
    <n v="3"/>
    <s v="Satisfied(&gt;=3)"/>
    <x v="1"/>
    <n v="2"/>
    <s v="Low"/>
    <n v="1"/>
    <x v="0"/>
    <x v="2"/>
    <n v="1"/>
    <s v="Not_Satisfied(&lt;=2)"/>
    <x v="2"/>
    <n v="0"/>
    <s v="Y"/>
    <x v="1"/>
    <n v="14"/>
    <x v="0"/>
    <n v="2"/>
    <n v="3"/>
    <s v="Good(&gt;=3)"/>
    <n v="1"/>
    <s v="Short(&lt;=4)"/>
    <n v="1"/>
    <x v="0"/>
    <n v="0"/>
    <s v="Reasonable(&lt;=3)"/>
  </r>
  <r>
    <x v="32"/>
    <s v="Middle_Age(30-50)"/>
    <x v="1"/>
    <s v="Rarely"/>
    <s v="Research &amp; Development"/>
    <n v="8"/>
    <s v="Middistance(6-14)"/>
    <n v="4"/>
    <s v="Satisfied(&gt;=3)"/>
    <x v="1"/>
    <n v="3"/>
    <s v="Medium"/>
    <n v="2"/>
    <x v="0"/>
    <x v="4"/>
    <n v="4"/>
    <s v="Satisfied(&gt;=3)"/>
    <x v="2"/>
    <n v="3"/>
    <s v="Y"/>
    <x v="0"/>
    <n v="18"/>
    <x v="0"/>
    <n v="8"/>
    <n v="3"/>
    <s v="Good(&gt;=3)"/>
    <n v="2"/>
    <s v="Short(&lt;=4)"/>
    <n v="2"/>
    <x v="0"/>
    <n v="2"/>
    <s v="Reasonable(&lt;=3)"/>
  </r>
  <r>
    <x v="28"/>
    <s v="Middle_Age(30-50)"/>
    <x v="1"/>
    <s v="Rarely"/>
    <s v="Research &amp; Development"/>
    <n v="1"/>
    <s v="Nearby(&lt;=5)"/>
    <n v="1"/>
    <s v="Not_Satisfied(&lt;3)"/>
    <x v="1"/>
    <n v="3"/>
    <s v="Medium"/>
    <n v="3"/>
    <x v="1"/>
    <x v="4"/>
    <n v="2"/>
    <s v="Not_Satisfied(&lt;=2)"/>
    <x v="2"/>
    <n v="1"/>
    <s v="Y"/>
    <x v="1"/>
    <n v="12"/>
    <x v="0"/>
    <n v="10"/>
    <n v="3"/>
    <s v="Good(&gt;=3)"/>
    <n v="10"/>
    <s v="Long(5-10)"/>
    <n v="8"/>
    <x v="1"/>
    <n v="7"/>
    <s v="Not_Reasonable(&gt;3)"/>
  </r>
  <r>
    <x v="10"/>
    <s v="Middle_Age(30-50)"/>
    <x v="1"/>
    <s v="Rarely"/>
    <s v="Sales"/>
    <n v="28"/>
    <s v="Far(&gt;=15)"/>
    <n v="2"/>
    <s v="Not_Satisfied(&lt;3)"/>
    <x v="0"/>
    <n v="2"/>
    <s v="Low"/>
    <n v="1"/>
    <x v="0"/>
    <x v="6"/>
    <n v="3"/>
    <s v="Satisfied(&gt;=3)"/>
    <x v="1"/>
    <n v="0"/>
    <s v="Y"/>
    <x v="1"/>
    <n v="23"/>
    <x v="1"/>
    <n v="6"/>
    <n v="3"/>
    <s v="Good(&gt;=3)"/>
    <n v="5"/>
    <s v="Long(5-10)"/>
    <n v="3"/>
    <x v="0"/>
    <n v="4"/>
    <s v="Not_Reasonable(&gt;3)"/>
  </r>
  <r>
    <x v="5"/>
    <s v="Middle_Age(30-50)"/>
    <x v="1"/>
    <s v="Rarely"/>
    <s v="Research &amp; Development"/>
    <n v="5"/>
    <s v="Nearby(&lt;=5)"/>
    <n v="4"/>
    <s v="Satisfied(&gt;=3)"/>
    <x v="0"/>
    <n v="2"/>
    <s v="Low"/>
    <n v="2"/>
    <x v="0"/>
    <x v="1"/>
    <n v="2"/>
    <s v="Not_Satisfied(&lt;=2)"/>
    <x v="1"/>
    <n v="3"/>
    <s v="Y"/>
    <x v="1"/>
    <n v="12"/>
    <x v="0"/>
    <n v="12"/>
    <n v="3"/>
    <s v="Good(&gt;=3)"/>
    <n v="7"/>
    <s v="Long(5-10)"/>
    <n v="1"/>
    <x v="0"/>
    <n v="2"/>
    <s v="Reasonable(&lt;=3)"/>
  </r>
  <r>
    <x v="9"/>
    <s v="Middle_Age(30-50)"/>
    <x v="1"/>
    <s v="Rarely"/>
    <s v="Sales"/>
    <n v="2"/>
    <s v="Nearby(&lt;=5)"/>
    <n v="3"/>
    <s v="Satisfied(&gt;=3)"/>
    <x v="1"/>
    <n v="3"/>
    <s v="Medium"/>
    <n v="1"/>
    <x v="0"/>
    <x v="6"/>
    <n v="4"/>
    <s v="Satisfied(&gt;=3)"/>
    <x v="0"/>
    <n v="3"/>
    <s v="Y"/>
    <x v="0"/>
    <n v="21"/>
    <x v="1"/>
    <n v="7"/>
    <n v="2"/>
    <s v="Poor(&lt;=2)"/>
    <n v="3"/>
    <s v="Short(&lt;=4)"/>
    <n v="2"/>
    <x v="0"/>
    <n v="1"/>
    <s v="Reasonable(&lt;=3)"/>
  </r>
  <r>
    <x v="26"/>
    <s v="Middle_Age(30-50)"/>
    <x v="1"/>
    <s v="Rarely"/>
    <s v="Sales"/>
    <n v="16"/>
    <s v="Far(&gt;=15)"/>
    <n v="3"/>
    <s v="Satisfied(&gt;=3)"/>
    <x v="0"/>
    <n v="3"/>
    <s v="Medium"/>
    <n v="2"/>
    <x v="0"/>
    <x v="0"/>
    <n v="3"/>
    <s v="Satisfied(&gt;=3)"/>
    <x v="2"/>
    <n v="8"/>
    <s v="Y"/>
    <x v="1"/>
    <n v="14"/>
    <x v="0"/>
    <n v="18"/>
    <n v="3"/>
    <s v="Good(&gt;=3)"/>
    <n v="8"/>
    <s v="Long(5-10)"/>
    <n v="7"/>
    <x v="1"/>
    <n v="7"/>
    <s v="Not_Reasonable(&gt;3)"/>
  </r>
  <r>
    <x v="11"/>
    <s v="Young(&lt;=29)"/>
    <x v="1"/>
    <s v="Rarely"/>
    <s v="Research &amp; Development"/>
    <n v="9"/>
    <s v="Middistance(6-14)"/>
    <n v="3"/>
    <s v="Satisfied(&gt;=3)"/>
    <x v="1"/>
    <n v="4"/>
    <s v="High"/>
    <n v="1"/>
    <x v="0"/>
    <x v="1"/>
    <n v="3"/>
    <s v="Satisfied(&gt;=3)"/>
    <x v="1"/>
    <n v="6"/>
    <s v="Y"/>
    <x v="1"/>
    <n v="18"/>
    <x v="0"/>
    <n v="5"/>
    <n v="2"/>
    <s v="Poor(&lt;=2)"/>
    <n v="1"/>
    <s v="Short(&lt;=4)"/>
    <n v="0"/>
    <x v="0"/>
    <n v="0"/>
    <s v="Reasonable(&lt;=3)"/>
  </r>
  <r>
    <x v="3"/>
    <s v="Middle_Age(30-50)"/>
    <x v="1"/>
    <s v="Rarely"/>
    <s v="Sales"/>
    <n v="8"/>
    <s v="Middistance(6-14)"/>
    <n v="1"/>
    <s v="Not_Satisfied(&lt;3)"/>
    <x v="1"/>
    <n v="3"/>
    <s v="Medium"/>
    <n v="2"/>
    <x v="0"/>
    <x v="0"/>
    <n v="1"/>
    <s v="Not_Satisfied(&lt;=2)"/>
    <x v="1"/>
    <n v="2"/>
    <s v="Y"/>
    <x v="1"/>
    <n v="13"/>
    <x v="0"/>
    <n v="8"/>
    <n v="1"/>
    <s v="Poor(&lt;=2)"/>
    <n v="2"/>
    <s v="Short(&lt;=4)"/>
    <n v="2"/>
    <x v="0"/>
    <n v="2"/>
    <s v="Reasonable(&lt;=3)"/>
  </r>
  <r>
    <x v="7"/>
    <s v="Middle_Age(30-50)"/>
    <x v="0"/>
    <s v="Rarely"/>
    <s v="Sales"/>
    <n v="1"/>
    <s v="Nearby(&lt;=5)"/>
    <n v="2"/>
    <s v="Not_Satisfied(&lt;3)"/>
    <x v="1"/>
    <n v="2"/>
    <s v="Low"/>
    <n v="2"/>
    <x v="0"/>
    <x v="0"/>
    <n v="1"/>
    <s v="Not_Satisfied(&lt;=2)"/>
    <x v="1"/>
    <n v="1"/>
    <s v="Y"/>
    <x v="1"/>
    <n v="11"/>
    <x v="0"/>
    <n v="10"/>
    <n v="3"/>
    <s v="Good(&gt;=3)"/>
    <n v="10"/>
    <s v="Long(5-10)"/>
    <n v="8"/>
    <x v="1"/>
    <n v="6"/>
    <s v="Not_Reasonable(&gt;3)"/>
  </r>
  <r>
    <x v="8"/>
    <s v="Middle_Age(30-50)"/>
    <x v="1"/>
    <s v="Frequently"/>
    <s v="Human Resources"/>
    <n v="10"/>
    <s v="Middistance(6-14)"/>
    <n v="3"/>
    <s v="Satisfied(&gt;=3)"/>
    <x v="1"/>
    <n v="3"/>
    <s v="Medium"/>
    <n v="2"/>
    <x v="0"/>
    <x v="8"/>
    <n v="3"/>
    <s v="Satisfied(&gt;=3)"/>
    <x v="1"/>
    <n v="3"/>
    <s v="Y"/>
    <x v="1"/>
    <n v="11"/>
    <x v="0"/>
    <n v="10"/>
    <n v="3"/>
    <s v="Good(&gt;=3)"/>
    <n v="6"/>
    <s v="Long(5-10)"/>
    <n v="3"/>
    <x v="0"/>
    <n v="1"/>
    <s v="Reasonable(&lt;=3)"/>
  </r>
  <r>
    <x v="10"/>
    <s v="Middle_Age(30-50)"/>
    <x v="1"/>
    <s v="Rarely"/>
    <s v="Research &amp; Development"/>
    <n v="1"/>
    <s v="Nearby(&lt;=5)"/>
    <n v="4"/>
    <s v="Satisfied(&gt;=3)"/>
    <x v="1"/>
    <n v="2"/>
    <s v="Low"/>
    <n v="1"/>
    <x v="0"/>
    <x v="2"/>
    <n v="1"/>
    <s v="Not_Satisfied(&lt;=2)"/>
    <x v="0"/>
    <n v="1"/>
    <s v="Y"/>
    <x v="1"/>
    <n v="19"/>
    <x v="0"/>
    <n v="3"/>
    <n v="3"/>
    <s v="Good(&gt;=3)"/>
    <n v="3"/>
    <s v="Short(&lt;=4)"/>
    <n v="0"/>
    <x v="0"/>
    <n v="1"/>
    <s v="Reasonable(&lt;=3)"/>
  </r>
  <r>
    <x v="7"/>
    <s v="Middle_Age(30-50)"/>
    <x v="1"/>
    <s v="Rarely"/>
    <s v="Sales"/>
    <n v="29"/>
    <s v="Far(&gt;=15)"/>
    <n v="3"/>
    <s v="Satisfied(&gt;=3)"/>
    <x v="1"/>
    <n v="3"/>
    <s v="Medium"/>
    <n v="3"/>
    <x v="1"/>
    <x v="0"/>
    <n v="2"/>
    <s v="Not_Satisfied(&lt;=2)"/>
    <x v="1"/>
    <n v="3"/>
    <s v="Y"/>
    <x v="1"/>
    <n v="12"/>
    <x v="0"/>
    <n v="9"/>
    <n v="3"/>
    <s v="Good(&gt;=3)"/>
    <n v="4"/>
    <s v="Short(&lt;=4)"/>
    <n v="2"/>
    <x v="0"/>
    <n v="1"/>
    <s v="Reasonable(&lt;=3)"/>
  </r>
  <r>
    <x v="10"/>
    <s v="Middle_Age(30-50)"/>
    <x v="0"/>
    <s v="Rarely"/>
    <s v="Research &amp; Development"/>
    <n v="2"/>
    <s v="Nearby(&lt;=5)"/>
    <n v="1"/>
    <s v="Not_Satisfied(&lt;3)"/>
    <x v="0"/>
    <n v="3"/>
    <s v="Medium"/>
    <n v="1"/>
    <x v="0"/>
    <x v="2"/>
    <n v="1"/>
    <s v="Not_Satisfied(&lt;=2)"/>
    <x v="2"/>
    <n v="1"/>
    <s v="Y"/>
    <x v="0"/>
    <n v="12"/>
    <x v="0"/>
    <n v="1"/>
    <n v="3"/>
    <s v="Good(&gt;=3)"/>
    <n v="1"/>
    <s v="Short(&lt;=4)"/>
    <n v="0"/>
    <x v="0"/>
    <n v="0"/>
    <s v="Reasonable(&lt;=3)"/>
  </r>
  <r>
    <x v="16"/>
    <s v="Old(&gt;50)"/>
    <x v="0"/>
    <s v="Rarely"/>
    <s v="Research &amp; Development"/>
    <n v="2"/>
    <s v="Nearby(&lt;=5)"/>
    <n v="3"/>
    <s v="Satisfied(&gt;=3)"/>
    <x v="0"/>
    <n v="2"/>
    <s v="Low"/>
    <n v="3"/>
    <x v="1"/>
    <x v="3"/>
    <n v="4"/>
    <s v="Satisfied(&gt;=3)"/>
    <x v="1"/>
    <n v="0"/>
    <s v="Y"/>
    <x v="1"/>
    <n v="16"/>
    <x v="0"/>
    <n v="34"/>
    <n v="3"/>
    <s v="Good(&gt;=3)"/>
    <n v="33"/>
    <s v="Ultra_Long(&gt;10)"/>
    <n v="7"/>
    <x v="1"/>
    <n v="1"/>
    <s v="Reasonable(&lt;=3)"/>
  </r>
  <r>
    <x v="8"/>
    <s v="Middle_Age(30-50)"/>
    <x v="0"/>
    <s v="Rarely"/>
    <s v="Research &amp; Development"/>
    <n v="2"/>
    <s v="Nearby(&lt;=5)"/>
    <n v="3"/>
    <s v="Satisfied(&gt;=3)"/>
    <x v="1"/>
    <n v="3"/>
    <s v="Medium"/>
    <n v="2"/>
    <x v="0"/>
    <x v="3"/>
    <n v="2"/>
    <s v="Not_Satisfied(&lt;=2)"/>
    <x v="1"/>
    <n v="4"/>
    <s v="Y"/>
    <x v="1"/>
    <n v="11"/>
    <x v="0"/>
    <n v="7"/>
    <n v="3"/>
    <s v="Good(&gt;=3)"/>
    <n v="5"/>
    <s v="Long(5-10)"/>
    <n v="2"/>
    <x v="0"/>
    <n v="1"/>
    <s v="Reasonable(&lt;=3)"/>
  </r>
  <r>
    <x v="5"/>
    <s v="Middle_Age(30-50)"/>
    <x v="1"/>
    <s v="Rarely"/>
    <s v="Research &amp; Development"/>
    <n v="1"/>
    <s v="Nearby(&lt;=5)"/>
    <n v="4"/>
    <s v="Satisfied(&gt;=3)"/>
    <x v="1"/>
    <n v="3"/>
    <s v="Medium"/>
    <n v="2"/>
    <x v="0"/>
    <x v="1"/>
    <n v="1"/>
    <s v="Not_Satisfied(&lt;=2)"/>
    <x v="1"/>
    <n v="4"/>
    <s v="Y"/>
    <x v="1"/>
    <n v="14"/>
    <x v="0"/>
    <n v="9"/>
    <n v="2"/>
    <s v="Poor(&lt;=2)"/>
    <n v="6"/>
    <s v="Long(5-10)"/>
    <n v="5"/>
    <x v="1"/>
    <n v="1"/>
    <s v="Reasonable(&lt;=3)"/>
  </r>
  <r>
    <x v="26"/>
    <s v="Middle_Age(30-50)"/>
    <x v="1"/>
    <s v="Rarely"/>
    <s v="Research &amp; Development"/>
    <n v="15"/>
    <s v="Far(&gt;=15)"/>
    <n v="3"/>
    <s v="Satisfied(&gt;=3)"/>
    <x v="0"/>
    <n v="3"/>
    <s v="Medium"/>
    <n v="1"/>
    <x v="0"/>
    <x v="1"/>
    <n v="1"/>
    <s v="Not_Satisfied(&lt;=2)"/>
    <x v="1"/>
    <n v="8"/>
    <s v="Y"/>
    <x v="1"/>
    <n v="12"/>
    <x v="0"/>
    <n v="10"/>
    <n v="2"/>
    <s v="Poor(&lt;=2)"/>
    <n v="8"/>
    <s v="Long(5-10)"/>
    <n v="2"/>
    <x v="0"/>
    <n v="7"/>
    <s v="Not_Reasonable(&gt;3)"/>
  </r>
  <r>
    <x v="13"/>
    <s v="Middle_Age(30-50)"/>
    <x v="1"/>
    <s v="Rarely"/>
    <s v="Research &amp; Development"/>
    <n v="7"/>
    <s v="Middistance(6-14)"/>
    <n v="1"/>
    <s v="Not_Satisfied(&lt;3)"/>
    <x v="1"/>
    <n v="3"/>
    <s v="Medium"/>
    <n v="1"/>
    <x v="0"/>
    <x v="1"/>
    <n v="4"/>
    <s v="Satisfied(&gt;=3)"/>
    <x v="0"/>
    <n v="1"/>
    <s v="Y"/>
    <x v="1"/>
    <n v="13"/>
    <x v="0"/>
    <n v="1"/>
    <n v="1"/>
    <s v="Poor(&lt;=2)"/>
    <n v="1"/>
    <s v="Short(&lt;=4)"/>
    <n v="0"/>
    <x v="0"/>
    <n v="0"/>
    <s v="Reasonable(&lt;=3)"/>
  </r>
  <r>
    <x v="27"/>
    <s v="Old(&gt;50)"/>
    <x v="1"/>
    <s v="Rarely"/>
    <s v="Sales"/>
    <n v="26"/>
    <s v="Far(&gt;=15)"/>
    <n v="3"/>
    <s v="Satisfied(&gt;=3)"/>
    <x v="1"/>
    <n v="2"/>
    <s v="Low"/>
    <n v="5"/>
    <x v="2"/>
    <x v="5"/>
    <n v="4"/>
    <s v="Satisfied(&gt;=3)"/>
    <x v="1"/>
    <n v="1"/>
    <s v="Y"/>
    <x v="1"/>
    <n v="21"/>
    <x v="1"/>
    <n v="36"/>
    <n v="3"/>
    <s v="Good(&gt;=3)"/>
    <n v="36"/>
    <s v="Ultra_Long(&gt;10)"/>
    <n v="6"/>
    <x v="1"/>
    <n v="2"/>
    <s v="Reasonable(&lt;=3)"/>
  </r>
  <r>
    <x v="13"/>
    <s v="Middle_Age(30-50)"/>
    <x v="1"/>
    <s v="Rarely"/>
    <s v="Research &amp; Development"/>
    <n v="1"/>
    <s v="Nearby(&lt;=5)"/>
    <n v="2"/>
    <s v="Not_Satisfied(&lt;3)"/>
    <x v="1"/>
    <n v="3"/>
    <s v="Medium"/>
    <n v="2"/>
    <x v="0"/>
    <x v="1"/>
    <n v="4"/>
    <s v="Satisfied(&gt;=3)"/>
    <x v="1"/>
    <n v="9"/>
    <s v="Y"/>
    <x v="1"/>
    <n v="17"/>
    <x v="0"/>
    <n v="9"/>
    <n v="2"/>
    <s v="Poor(&lt;=2)"/>
    <n v="2"/>
    <s v="Short(&lt;=4)"/>
    <n v="2"/>
    <x v="0"/>
    <n v="2"/>
    <s v="Reasonable(&lt;=3)"/>
  </r>
  <r>
    <x v="25"/>
    <s v="Young(&lt;=29)"/>
    <x v="1"/>
    <s v="Rarely"/>
    <s v="Research &amp; Development"/>
    <n v="3"/>
    <s v="Nearby(&lt;=5)"/>
    <n v="1"/>
    <s v="Not_Satisfied(&lt;3)"/>
    <x v="0"/>
    <n v="3"/>
    <s v="Medium"/>
    <n v="1"/>
    <x v="0"/>
    <x v="1"/>
    <n v="4"/>
    <s v="Satisfied(&gt;=3)"/>
    <x v="1"/>
    <n v="1"/>
    <s v="Y"/>
    <x v="1"/>
    <n v="21"/>
    <x v="1"/>
    <n v="1"/>
    <n v="3"/>
    <s v="Good(&gt;=3)"/>
    <n v="1"/>
    <s v="Short(&lt;=4)"/>
    <n v="0"/>
    <x v="0"/>
    <n v="0"/>
    <s v="Reasonable(&lt;=3)"/>
  </r>
  <r>
    <x v="8"/>
    <s v="Middle_Age(30-50)"/>
    <x v="1"/>
    <s v="Rarely"/>
    <s v="Sales"/>
    <n v="14"/>
    <s v="Middistance(6-14)"/>
    <n v="3"/>
    <s v="Satisfied(&gt;=3)"/>
    <x v="1"/>
    <n v="3"/>
    <s v="Medium"/>
    <n v="2"/>
    <x v="0"/>
    <x v="0"/>
    <n v="2"/>
    <s v="Not_Satisfied(&lt;=2)"/>
    <x v="1"/>
    <n v="0"/>
    <s v="Y"/>
    <x v="1"/>
    <n v="11"/>
    <x v="0"/>
    <n v="10"/>
    <n v="3"/>
    <s v="Good(&gt;=3)"/>
    <n v="9"/>
    <s v="Long(5-10)"/>
    <n v="8"/>
    <x v="1"/>
    <n v="7"/>
    <s v="Not_Reasonable(&gt;3)"/>
  </r>
  <r>
    <x v="8"/>
    <s v="Middle_Age(30-50)"/>
    <x v="1"/>
    <s v="Rarely"/>
    <s v="Sales"/>
    <n v="16"/>
    <s v="Far(&gt;=15)"/>
    <n v="2"/>
    <s v="Not_Satisfied(&lt;3)"/>
    <x v="0"/>
    <n v="3"/>
    <s v="Medium"/>
    <n v="2"/>
    <x v="0"/>
    <x v="0"/>
    <n v="2"/>
    <s v="Not_Satisfied(&lt;=2)"/>
    <x v="0"/>
    <n v="2"/>
    <s v="Y"/>
    <x v="1"/>
    <n v="12"/>
    <x v="0"/>
    <n v="8"/>
    <n v="4"/>
    <s v="Good(&gt;=3)"/>
    <n v="3"/>
    <s v="Short(&lt;=4)"/>
    <n v="2"/>
    <x v="0"/>
    <n v="1"/>
    <s v="Reasonable(&lt;=3)"/>
  </r>
  <r>
    <x v="9"/>
    <s v="Middle_Age(30-50)"/>
    <x v="1"/>
    <s v="Rarely"/>
    <s v="Sales"/>
    <n v="1"/>
    <s v="Nearby(&lt;=5)"/>
    <n v="2"/>
    <s v="Not_Satisfied(&lt;3)"/>
    <x v="0"/>
    <n v="3"/>
    <s v="Medium"/>
    <n v="2"/>
    <x v="0"/>
    <x v="0"/>
    <n v="3"/>
    <s v="Satisfied(&gt;=3)"/>
    <x v="0"/>
    <n v="6"/>
    <s v="Y"/>
    <x v="1"/>
    <n v="13"/>
    <x v="0"/>
    <n v="15"/>
    <n v="3"/>
    <s v="Good(&gt;=3)"/>
    <n v="1"/>
    <s v="Short(&lt;=4)"/>
    <n v="0"/>
    <x v="0"/>
    <n v="0"/>
    <s v="Reasonable(&lt;=3)"/>
  </r>
  <r>
    <x v="11"/>
    <s v="Young(&lt;=29)"/>
    <x v="1"/>
    <s v="Rarely"/>
    <s v="Research &amp; Development"/>
    <n v="3"/>
    <s v="Nearby(&lt;=5)"/>
    <n v="2"/>
    <s v="Not_Satisfied(&lt;3)"/>
    <x v="1"/>
    <n v="3"/>
    <s v="Medium"/>
    <n v="1"/>
    <x v="0"/>
    <x v="2"/>
    <n v="1"/>
    <s v="Not_Satisfied(&lt;=2)"/>
    <x v="0"/>
    <n v="1"/>
    <s v="Y"/>
    <x v="0"/>
    <n v="18"/>
    <x v="0"/>
    <n v="10"/>
    <n v="3"/>
    <s v="Good(&gt;=3)"/>
    <n v="10"/>
    <s v="Long(5-10)"/>
    <n v="9"/>
    <x v="1"/>
    <n v="1"/>
    <s v="Reasonable(&lt;=3)"/>
  </r>
  <r>
    <x v="10"/>
    <s v="Middle_Age(30-50)"/>
    <x v="1"/>
    <s v="Rarely"/>
    <s v="Research &amp; Development"/>
    <n v="10"/>
    <s v="Middistance(6-14)"/>
    <n v="1"/>
    <s v="Not_Satisfied(&lt;3)"/>
    <x v="0"/>
    <n v="3"/>
    <s v="Medium"/>
    <n v="2"/>
    <x v="0"/>
    <x v="4"/>
    <n v="3"/>
    <s v="Satisfied(&gt;=3)"/>
    <x v="0"/>
    <n v="3"/>
    <s v="Y"/>
    <x v="0"/>
    <n v="16"/>
    <x v="0"/>
    <n v="10"/>
    <n v="3"/>
    <s v="Good(&gt;=3)"/>
    <n v="5"/>
    <s v="Long(5-10)"/>
    <n v="2"/>
    <x v="0"/>
    <n v="0"/>
    <s v="Reasonable(&lt;=3)"/>
  </r>
  <r>
    <x v="22"/>
    <s v="Middle_Age(30-50)"/>
    <x v="1"/>
    <s v="Rarely"/>
    <s v="Sales"/>
    <n v="6"/>
    <s v="Middistance(6-14)"/>
    <n v="4"/>
    <s v="Satisfied(&gt;=3)"/>
    <x v="1"/>
    <n v="4"/>
    <s v="High"/>
    <n v="3"/>
    <x v="1"/>
    <x v="0"/>
    <n v="3"/>
    <s v="Satisfied(&gt;=3)"/>
    <x v="1"/>
    <n v="2"/>
    <s v="Y"/>
    <x v="1"/>
    <n v="11"/>
    <x v="0"/>
    <n v="11"/>
    <n v="3"/>
    <s v="Good(&gt;=3)"/>
    <n v="7"/>
    <s v="Long(5-10)"/>
    <n v="6"/>
    <x v="1"/>
    <n v="7"/>
    <s v="Not_Reasonable(&gt;3)"/>
  </r>
  <r>
    <x v="11"/>
    <s v="Young(&lt;=29)"/>
    <x v="1"/>
    <s v="Frequently"/>
    <s v="Research &amp; Development"/>
    <n v="2"/>
    <s v="Nearby(&lt;=5)"/>
    <n v="1"/>
    <s v="Not_Satisfied(&lt;3)"/>
    <x v="1"/>
    <n v="3"/>
    <s v="Medium"/>
    <n v="2"/>
    <x v="0"/>
    <x v="4"/>
    <n v="4"/>
    <s v="Satisfied(&gt;=3)"/>
    <x v="2"/>
    <n v="1"/>
    <s v="Y"/>
    <x v="1"/>
    <n v="19"/>
    <x v="0"/>
    <n v="6"/>
    <n v="4"/>
    <s v="Good(&gt;=3)"/>
    <n v="6"/>
    <s v="Long(5-10)"/>
    <n v="4"/>
    <x v="0"/>
    <n v="1"/>
    <s v="Reasonable(&lt;=3)"/>
  </r>
  <r>
    <x v="24"/>
    <s v="Middle_Age(30-50)"/>
    <x v="1"/>
    <s v="Rarely"/>
    <s v="Sales"/>
    <n v="9"/>
    <s v="Middistance(6-14)"/>
    <n v="3"/>
    <s v="Satisfied(&gt;=3)"/>
    <x v="1"/>
    <n v="3"/>
    <s v="Medium"/>
    <n v="5"/>
    <x v="2"/>
    <x v="5"/>
    <n v="3"/>
    <s v="Satisfied(&gt;=3)"/>
    <x v="1"/>
    <n v="4"/>
    <s v="Y"/>
    <x v="0"/>
    <n v="16"/>
    <x v="0"/>
    <n v="27"/>
    <n v="3"/>
    <s v="Good(&gt;=3)"/>
    <n v="1"/>
    <s v="Short(&lt;=4)"/>
    <n v="0"/>
    <x v="0"/>
    <n v="0"/>
    <s v="Reasonable(&lt;=3)"/>
  </r>
  <r>
    <x v="30"/>
    <s v="Young(&lt;=29)"/>
    <x v="1"/>
    <s v="Rarely"/>
    <s v="Research &amp; Development"/>
    <n v="10"/>
    <s v="Middistance(6-14)"/>
    <n v="4"/>
    <s v="Satisfied(&gt;=3)"/>
    <x v="1"/>
    <n v="4"/>
    <s v="High"/>
    <n v="1"/>
    <x v="0"/>
    <x v="1"/>
    <n v="3"/>
    <s v="Satisfied(&gt;=3)"/>
    <x v="1"/>
    <n v="2"/>
    <s v="Y"/>
    <x v="1"/>
    <n v="16"/>
    <x v="0"/>
    <n v="4"/>
    <n v="3"/>
    <s v="Good(&gt;=3)"/>
    <n v="2"/>
    <s v="Short(&lt;=4)"/>
    <n v="2"/>
    <x v="0"/>
    <n v="2"/>
    <s v="Reasonable(&lt;=3)"/>
  </r>
  <r>
    <x v="9"/>
    <s v="Middle_Age(30-50)"/>
    <x v="1"/>
    <s v="Frequently"/>
    <s v="Research &amp; Development"/>
    <n v="6"/>
    <s v="Middistance(6-14)"/>
    <n v="1"/>
    <s v="Not_Satisfied(&lt;3)"/>
    <x v="1"/>
    <n v="4"/>
    <s v="High"/>
    <n v="2"/>
    <x v="0"/>
    <x v="2"/>
    <n v="1"/>
    <s v="Not_Satisfied(&lt;=2)"/>
    <x v="1"/>
    <n v="3"/>
    <s v="Y"/>
    <x v="0"/>
    <n v="13"/>
    <x v="0"/>
    <n v="9"/>
    <n v="3"/>
    <s v="Good(&gt;=3)"/>
    <n v="3"/>
    <s v="Short(&lt;=4)"/>
    <n v="2"/>
    <x v="0"/>
    <n v="0"/>
    <s v="Reasonable(&lt;=3)"/>
  </r>
  <r>
    <x v="19"/>
    <s v="Middle_Age(30-50)"/>
    <x v="1"/>
    <s v="Rarely"/>
    <s v="Research &amp; Development"/>
    <n v="9"/>
    <s v="Middistance(6-14)"/>
    <n v="4"/>
    <s v="Satisfied(&gt;=3)"/>
    <x v="1"/>
    <n v="2"/>
    <s v="Low"/>
    <n v="5"/>
    <x v="2"/>
    <x v="5"/>
    <n v="4"/>
    <s v="Satisfied(&gt;=3)"/>
    <x v="0"/>
    <n v="8"/>
    <s v="Y"/>
    <x v="1"/>
    <n v="22"/>
    <x v="1"/>
    <n v="24"/>
    <n v="3"/>
    <s v="Good(&gt;=3)"/>
    <n v="1"/>
    <s v="Short(&lt;=4)"/>
    <n v="0"/>
    <x v="0"/>
    <n v="0"/>
    <s v="Reasonable(&lt;=3)"/>
  </r>
  <r>
    <x v="10"/>
    <s v="Middle_Age(30-50)"/>
    <x v="1"/>
    <s v="Rarely"/>
    <s v="Research &amp; Development"/>
    <n v="28"/>
    <s v="Far(&gt;=15)"/>
    <n v="2"/>
    <s v="Not_Satisfied(&lt;3)"/>
    <x v="1"/>
    <n v="4"/>
    <s v="High"/>
    <n v="2"/>
    <x v="0"/>
    <x v="2"/>
    <n v="3"/>
    <s v="Satisfied(&gt;=3)"/>
    <x v="1"/>
    <n v="1"/>
    <s v="Y"/>
    <x v="1"/>
    <n v="17"/>
    <x v="0"/>
    <n v="10"/>
    <n v="2"/>
    <s v="Poor(&lt;=2)"/>
    <n v="10"/>
    <s v="Long(5-10)"/>
    <n v="9"/>
    <x v="1"/>
    <n v="6"/>
    <s v="Not_Reasonable(&gt;3)"/>
  </r>
  <r>
    <x v="13"/>
    <s v="Middle_Age(30-50)"/>
    <x v="1"/>
    <s v="Frequently"/>
    <s v="Research &amp; Development"/>
    <n v="10"/>
    <s v="Middistance(6-14)"/>
    <n v="4"/>
    <s v="Satisfied(&gt;=3)"/>
    <x v="1"/>
    <n v="2"/>
    <s v="Low"/>
    <n v="2"/>
    <x v="0"/>
    <x v="4"/>
    <n v="3"/>
    <s v="Satisfied(&gt;=3)"/>
    <x v="1"/>
    <n v="1"/>
    <s v="Y"/>
    <x v="1"/>
    <n v="14"/>
    <x v="0"/>
    <n v="8"/>
    <n v="2"/>
    <s v="Poor(&lt;=2)"/>
    <n v="8"/>
    <s v="Long(5-10)"/>
    <n v="2"/>
    <x v="0"/>
    <n v="7"/>
    <s v="Not_Reasonable(&gt;3)"/>
  </r>
  <r>
    <x v="32"/>
    <s v="Middle_Age(30-50)"/>
    <x v="1"/>
    <s v="Rarely"/>
    <s v="Sales"/>
    <n v="14"/>
    <s v="Middistance(6-14)"/>
    <n v="4"/>
    <s v="Satisfied(&gt;=3)"/>
    <x v="0"/>
    <n v="3"/>
    <s v="Medium"/>
    <n v="2"/>
    <x v="0"/>
    <x v="0"/>
    <n v="1"/>
    <s v="Not_Satisfied(&lt;=2)"/>
    <x v="1"/>
    <n v="1"/>
    <s v="Y"/>
    <x v="1"/>
    <n v="15"/>
    <x v="0"/>
    <n v="5"/>
    <n v="3"/>
    <s v="Good(&gt;=3)"/>
    <n v="5"/>
    <s v="Long(5-10)"/>
    <n v="4"/>
    <x v="0"/>
    <n v="1"/>
    <s v="Reasonable(&lt;=3)"/>
  </r>
  <r>
    <x v="23"/>
    <s v="Middle_Age(30-50)"/>
    <x v="1"/>
    <s v="Rarely"/>
    <s v="Research &amp; Development"/>
    <n v="27"/>
    <s v="Far(&gt;=15)"/>
    <n v="4"/>
    <s v="Satisfied(&gt;=3)"/>
    <x v="1"/>
    <n v="4"/>
    <s v="High"/>
    <n v="1"/>
    <x v="0"/>
    <x v="2"/>
    <n v="2"/>
    <s v="Not_Satisfied(&lt;=2)"/>
    <x v="2"/>
    <n v="5"/>
    <s v="Y"/>
    <x v="1"/>
    <n v="12"/>
    <x v="0"/>
    <n v="8"/>
    <n v="3"/>
    <s v="Good(&gt;=3)"/>
    <n v="6"/>
    <s v="Long(5-10)"/>
    <n v="4"/>
    <x v="0"/>
    <n v="0"/>
    <s v="Reasonable(&lt;=3)"/>
  </r>
  <r>
    <x v="10"/>
    <s v="Middle_Age(30-50)"/>
    <x v="1"/>
    <s v="Rarely"/>
    <s v="Research &amp; Development"/>
    <n v="7"/>
    <s v="Middistance(6-14)"/>
    <n v="3"/>
    <s v="Satisfied(&gt;=3)"/>
    <x v="1"/>
    <n v="2"/>
    <s v="Low"/>
    <n v="1"/>
    <x v="0"/>
    <x v="2"/>
    <n v="4"/>
    <s v="Satisfied(&gt;=3)"/>
    <x v="1"/>
    <n v="1"/>
    <s v="Y"/>
    <x v="1"/>
    <n v="18"/>
    <x v="0"/>
    <n v="1"/>
    <n v="2"/>
    <s v="Poor(&lt;=2)"/>
    <n v="1"/>
    <s v="Short(&lt;=4)"/>
    <n v="0"/>
    <x v="0"/>
    <n v="0"/>
    <s v="Reasonable(&lt;=3)"/>
  </r>
  <r>
    <x v="21"/>
    <s v="Middle_Age(30-50)"/>
    <x v="1"/>
    <s v="Rarely"/>
    <s v="Sales"/>
    <n v="1"/>
    <s v="Nearby(&lt;=5)"/>
    <n v="4"/>
    <s v="Satisfied(&gt;=3)"/>
    <x v="1"/>
    <n v="4"/>
    <s v="High"/>
    <n v="4"/>
    <x v="2"/>
    <x v="5"/>
    <n v="1"/>
    <s v="Not_Satisfied(&lt;=2)"/>
    <x v="0"/>
    <n v="1"/>
    <s v="Y"/>
    <x v="1"/>
    <n v="15"/>
    <x v="0"/>
    <n v="27"/>
    <n v="1"/>
    <s v="Poor(&lt;=2)"/>
    <n v="26"/>
    <s v="Ultra_Long(&gt;10)"/>
    <n v="0"/>
    <x v="0"/>
    <n v="0"/>
    <s v="Reasonable(&lt;=3)"/>
  </r>
  <r>
    <x v="14"/>
    <s v="Young(&lt;=29)"/>
    <x v="0"/>
    <s v="Rarely"/>
    <s v="Research &amp; Development"/>
    <n v="24"/>
    <s v="Far(&gt;=15)"/>
    <n v="3"/>
    <s v="Satisfied(&gt;=3)"/>
    <x v="1"/>
    <n v="3"/>
    <s v="Medium"/>
    <n v="1"/>
    <x v="0"/>
    <x v="2"/>
    <n v="2"/>
    <s v="Not_Satisfied(&lt;=2)"/>
    <x v="1"/>
    <n v="1"/>
    <s v="Y"/>
    <x v="0"/>
    <n v="17"/>
    <x v="0"/>
    <n v="1"/>
    <n v="3"/>
    <s v="Good(&gt;=3)"/>
    <n v="1"/>
    <s v="Short(&lt;=4)"/>
    <n v="1"/>
    <x v="0"/>
    <n v="0"/>
    <s v="Reasonable(&lt;=3)"/>
  </r>
  <r>
    <x v="15"/>
    <s v="Young(&lt;=29)"/>
    <x v="1"/>
    <s v="Rarely"/>
    <s v="Research &amp; Development"/>
    <n v="26"/>
    <s v="Far(&gt;=15)"/>
    <n v="2"/>
    <s v="Not_Satisfied(&lt;3)"/>
    <x v="0"/>
    <n v="2"/>
    <s v="Low"/>
    <n v="1"/>
    <x v="0"/>
    <x v="1"/>
    <n v="3"/>
    <s v="Satisfied(&gt;=3)"/>
    <x v="1"/>
    <n v="1"/>
    <s v="Y"/>
    <x v="0"/>
    <n v="14"/>
    <x v="0"/>
    <n v="4"/>
    <n v="2"/>
    <s v="Poor(&lt;=2)"/>
    <n v="4"/>
    <s v="Short(&lt;=4)"/>
    <n v="2"/>
    <x v="0"/>
    <n v="1"/>
    <s v="Reasonable(&lt;=3)"/>
  </r>
  <r>
    <x v="24"/>
    <s v="Middle_Age(30-50)"/>
    <x v="1"/>
    <s v="Frequently"/>
    <s v="Research &amp; Development"/>
    <n v="20"/>
    <s v="Far(&gt;=15)"/>
    <n v="2"/>
    <s v="Not_Satisfied(&lt;3)"/>
    <x v="1"/>
    <n v="3"/>
    <s v="Medium"/>
    <n v="4"/>
    <x v="2"/>
    <x v="4"/>
    <n v="3"/>
    <s v="Satisfied(&gt;=3)"/>
    <x v="1"/>
    <n v="2"/>
    <s v="Y"/>
    <x v="0"/>
    <n v="15"/>
    <x v="0"/>
    <n v="32"/>
    <n v="3"/>
    <s v="Good(&gt;=3)"/>
    <n v="30"/>
    <s v="Ultra_Long(&gt;10)"/>
    <n v="8"/>
    <x v="1"/>
    <n v="12"/>
    <s v="Not_Reasonable(&gt;3)"/>
  </r>
  <r>
    <x v="5"/>
    <s v="Middle_Age(30-50)"/>
    <x v="1"/>
    <s v="Rarely"/>
    <s v="Research &amp; Development"/>
    <n v="5"/>
    <s v="Nearby(&lt;=5)"/>
    <n v="2"/>
    <s v="Not_Satisfied(&lt;3)"/>
    <x v="0"/>
    <n v="4"/>
    <s v="High"/>
    <n v="1"/>
    <x v="0"/>
    <x v="1"/>
    <n v="4"/>
    <s v="Satisfied(&gt;=3)"/>
    <x v="1"/>
    <n v="3"/>
    <s v="Y"/>
    <x v="1"/>
    <n v="17"/>
    <x v="0"/>
    <n v="6"/>
    <n v="3"/>
    <s v="Good(&gt;=3)"/>
    <n v="3"/>
    <s v="Short(&lt;=4)"/>
    <n v="2"/>
    <x v="0"/>
    <n v="0"/>
    <s v="Reasonable(&lt;=3)"/>
  </r>
  <r>
    <x v="20"/>
    <s v="Middle_Age(30-50)"/>
    <x v="1"/>
    <s v="Rarely"/>
    <s v="Research &amp; Development"/>
    <n v="7"/>
    <s v="Middistance(6-14)"/>
    <n v="2"/>
    <s v="Not_Satisfied(&lt;3)"/>
    <x v="0"/>
    <n v="3"/>
    <s v="Medium"/>
    <n v="5"/>
    <x v="2"/>
    <x v="7"/>
    <n v="4"/>
    <s v="Satisfied(&gt;=3)"/>
    <x v="2"/>
    <n v="0"/>
    <s v="Y"/>
    <x v="0"/>
    <n v="14"/>
    <x v="0"/>
    <n v="23"/>
    <n v="2"/>
    <s v="Poor(&lt;=2)"/>
    <n v="22"/>
    <s v="Ultra_Long(&gt;10)"/>
    <n v="7"/>
    <x v="1"/>
    <n v="1"/>
    <s v="Reasonable(&lt;=3)"/>
  </r>
  <r>
    <x v="7"/>
    <s v="Middle_Age(30-50)"/>
    <x v="1"/>
    <s v="Rarely"/>
    <s v="Research &amp; Development"/>
    <n v="7"/>
    <s v="Middistance(6-14)"/>
    <n v="2"/>
    <s v="Not_Satisfied(&lt;3)"/>
    <x v="1"/>
    <n v="2"/>
    <s v="Low"/>
    <n v="1"/>
    <x v="0"/>
    <x v="1"/>
    <n v="2"/>
    <s v="Not_Satisfied(&lt;=2)"/>
    <x v="1"/>
    <n v="1"/>
    <s v="Y"/>
    <x v="1"/>
    <n v="12"/>
    <x v="0"/>
    <n v="6"/>
    <n v="2"/>
    <s v="Poor(&lt;=2)"/>
    <n v="6"/>
    <s v="Long(5-10)"/>
    <n v="4"/>
    <x v="0"/>
    <n v="1"/>
    <s v="Reasonable(&lt;=3)"/>
  </r>
  <r>
    <x v="28"/>
    <s v="Middle_Age(30-50)"/>
    <x v="1"/>
    <s v="Rarely"/>
    <s v="Research &amp; Development"/>
    <n v="5"/>
    <s v="Nearby(&lt;=5)"/>
    <n v="3"/>
    <s v="Satisfied(&gt;=3)"/>
    <x v="0"/>
    <n v="1"/>
    <s v="Low"/>
    <n v="2"/>
    <x v="0"/>
    <x v="2"/>
    <n v="1"/>
    <s v="Not_Satisfied(&lt;=2)"/>
    <x v="0"/>
    <n v="1"/>
    <s v="Y"/>
    <x v="0"/>
    <n v="14"/>
    <x v="0"/>
    <n v="10"/>
    <n v="3"/>
    <s v="Good(&gt;=3)"/>
    <n v="10"/>
    <s v="Long(5-10)"/>
    <n v="7"/>
    <x v="1"/>
    <n v="1"/>
    <s v="Reasonable(&lt;=3)"/>
  </r>
  <r>
    <x v="28"/>
    <s v="Middle_Age(30-50)"/>
    <x v="1"/>
    <s v="Rarely"/>
    <s v="Sales"/>
    <n v="26"/>
    <s v="Far(&gt;=15)"/>
    <n v="1"/>
    <s v="Not_Satisfied(&lt;3)"/>
    <x v="1"/>
    <n v="2"/>
    <s v="Low"/>
    <n v="2"/>
    <x v="0"/>
    <x v="0"/>
    <n v="1"/>
    <s v="Not_Satisfied(&lt;=2)"/>
    <x v="1"/>
    <n v="1"/>
    <s v="Y"/>
    <x v="1"/>
    <n v="15"/>
    <x v="0"/>
    <n v="10"/>
    <n v="3"/>
    <s v="Good(&gt;=3)"/>
    <n v="10"/>
    <s v="Long(5-10)"/>
    <n v="7"/>
    <x v="1"/>
    <n v="4"/>
    <s v="Not_Reasonable(&gt;3)"/>
  </r>
  <r>
    <x v="12"/>
    <s v="Middle_Age(30-50)"/>
    <x v="1"/>
    <s v="Frequently"/>
    <s v="Sales"/>
    <n v="2"/>
    <s v="Nearby(&lt;=5)"/>
    <n v="4"/>
    <s v="Satisfied(&gt;=3)"/>
    <x v="1"/>
    <n v="3"/>
    <s v="Medium"/>
    <n v="2"/>
    <x v="0"/>
    <x v="0"/>
    <n v="1"/>
    <s v="Not_Satisfied(&lt;=2)"/>
    <x v="0"/>
    <n v="7"/>
    <s v="Y"/>
    <x v="1"/>
    <n v="13"/>
    <x v="0"/>
    <n v="10"/>
    <n v="3"/>
    <s v="Good(&gt;=3)"/>
    <n v="5"/>
    <s v="Long(5-10)"/>
    <n v="2"/>
    <x v="0"/>
    <n v="0"/>
    <s v="Reasonable(&lt;=3)"/>
  </r>
  <r>
    <x v="9"/>
    <s v="Middle_Age(30-50)"/>
    <x v="1"/>
    <s v="Rarely"/>
    <s v="Research &amp; Development"/>
    <n v="12"/>
    <s v="Middistance(6-14)"/>
    <n v="3"/>
    <s v="Satisfied(&gt;=3)"/>
    <x v="0"/>
    <n v="3"/>
    <s v="Medium"/>
    <n v="2"/>
    <x v="0"/>
    <x v="3"/>
    <n v="3"/>
    <s v="Satisfied(&gt;=3)"/>
    <x v="1"/>
    <n v="9"/>
    <s v="Y"/>
    <x v="0"/>
    <n v="12"/>
    <x v="0"/>
    <n v="7"/>
    <n v="3"/>
    <s v="Good(&gt;=3)"/>
    <n v="3"/>
    <s v="Short(&lt;=4)"/>
    <n v="2"/>
    <x v="0"/>
    <n v="1"/>
    <s v="Reasonable(&lt;=3)"/>
  </r>
  <r>
    <x v="13"/>
    <s v="Middle_Age(30-50)"/>
    <x v="1"/>
    <s v="Frequently"/>
    <s v="Research &amp; Development"/>
    <n v="10"/>
    <s v="Middistance(6-14)"/>
    <n v="3"/>
    <s v="Satisfied(&gt;=3)"/>
    <x v="1"/>
    <n v="4"/>
    <s v="High"/>
    <n v="2"/>
    <x v="0"/>
    <x v="3"/>
    <n v="4"/>
    <s v="Satisfied(&gt;=3)"/>
    <x v="2"/>
    <n v="1"/>
    <s v="Y"/>
    <x v="1"/>
    <n v="13"/>
    <x v="0"/>
    <n v="9"/>
    <n v="3"/>
    <s v="Good(&gt;=3)"/>
    <n v="9"/>
    <s v="Long(5-10)"/>
    <n v="7"/>
    <x v="1"/>
    <n v="7"/>
    <s v="Not_Reasonable(&gt;3)"/>
  </r>
  <r>
    <x v="1"/>
    <s v="Middle_Age(30-50)"/>
    <x v="1"/>
    <s v="Rarely"/>
    <s v="Research &amp; Development"/>
    <n v="25"/>
    <s v="Far(&gt;=15)"/>
    <n v="3"/>
    <s v="Satisfied(&gt;=3)"/>
    <x v="0"/>
    <n v="3"/>
    <s v="Medium"/>
    <n v="1"/>
    <x v="0"/>
    <x v="2"/>
    <n v="1"/>
    <s v="Not_Satisfied(&lt;=2)"/>
    <x v="1"/>
    <n v="1"/>
    <s v="Y"/>
    <x v="1"/>
    <n v="14"/>
    <x v="0"/>
    <n v="10"/>
    <n v="2"/>
    <s v="Poor(&lt;=2)"/>
    <n v="9"/>
    <s v="Long(5-10)"/>
    <n v="6"/>
    <x v="1"/>
    <n v="1"/>
    <s v="Reasonable(&lt;=3)"/>
  </r>
  <r>
    <x v="22"/>
    <s v="Middle_Age(30-50)"/>
    <x v="1"/>
    <s v="Rarely"/>
    <s v="Research &amp; Development"/>
    <n v="10"/>
    <s v="Middistance(6-14)"/>
    <n v="2"/>
    <s v="Not_Satisfied(&lt;3)"/>
    <x v="1"/>
    <n v="3"/>
    <s v="Medium"/>
    <n v="2"/>
    <x v="0"/>
    <x v="3"/>
    <n v="1"/>
    <s v="Not_Satisfied(&lt;=2)"/>
    <x v="1"/>
    <n v="2"/>
    <s v="Y"/>
    <x v="1"/>
    <n v="13"/>
    <x v="0"/>
    <n v="10"/>
    <n v="3"/>
    <s v="Good(&gt;=3)"/>
    <n v="7"/>
    <s v="Long(5-10)"/>
    <n v="7"/>
    <x v="1"/>
    <n v="7"/>
    <s v="Not_Reasonable(&gt;3)"/>
  </r>
  <r>
    <x v="4"/>
    <s v="Young(&lt;=29)"/>
    <x v="1"/>
    <s v="Rarely"/>
    <s v="Research &amp; Development"/>
    <n v="19"/>
    <s v="Far(&gt;=15)"/>
    <n v="4"/>
    <s v="Satisfied(&gt;=3)"/>
    <x v="1"/>
    <n v="2"/>
    <s v="Low"/>
    <n v="1"/>
    <x v="0"/>
    <x v="2"/>
    <n v="1"/>
    <s v="Not_Satisfied(&lt;=2)"/>
    <x v="2"/>
    <n v="1"/>
    <s v="Y"/>
    <x v="1"/>
    <n v="11"/>
    <x v="0"/>
    <n v="7"/>
    <n v="3"/>
    <s v="Good(&gt;=3)"/>
    <n v="7"/>
    <s v="Long(5-10)"/>
    <n v="7"/>
    <x v="1"/>
    <n v="0"/>
    <s v="Reasonable(&lt;=3)"/>
  </r>
  <r>
    <x v="10"/>
    <s v="Middle_Age(30-50)"/>
    <x v="1"/>
    <s v="Rarely"/>
    <s v="Research &amp; Development"/>
    <n v="18"/>
    <s v="Far(&gt;=15)"/>
    <n v="2"/>
    <s v="Not_Satisfied(&lt;3)"/>
    <x v="1"/>
    <n v="4"/>
    <s v="High"/>
    <n v="2"/>
    <x v="0"/>
    <x v="1"/>
    <n v="1"/>
    <s v="Not_Satisfied(&lt;=2)"/>
    <x v="1"/>
    <n v="1"/>
    <s v="Y"/>
    <x v="1"/>
    <n v="11"/>
    <x v="0"/>
    <n v="16"/>
    <n v="3"/>
    <s v="Good(&gt;=3)"/>
    <n v="16"/>
    <s v="Ultra_Long(&gt;10)"/>
    <n v="15"/>
    <x v="2"/>
    <n v="1"/>
    <s v="Reasonable(&lt;=3)"/>
  </r>
  <r>
    <x v="14"/>
    <s v="Young(&lt;=29)"/>
    <x v="1"/>
    <s v="Rarely"/>
    <s v="Research &amp; Development"/>
    <n v="27"/>
    <s v="Far(&gt;=15)"/>
    <n v="2"/>
    <s v="Not_Satisfied(&lt;3)"/>
    <x v="0"/>
    <n v="1"/>
    <s v="Low"/>
    <n v="2"/>
    <x v="0"/>
    <x v="3"/>
    <n v="1"/>
    <s v="Not_Satisfied(&lt;=2)"/>
    <x v="2"/>
    <n v="0"/>
    <s v="Y"/>
    <x v="1"/>
    <n v="21"/>
    <x v="1"/>
    <n v="6"/>
    <n v="2"/>
    <s v="Poor(&lt;=2)"/>
    <n v="5"/>
    <s v="Long(5-10)"/>
    <n v="3"/>
    <x v="0"/>
    <n v="0"/>
    <s v="Reasonable(&lt;=3)"/>
  </r>
  <r>
    <x v="18"/>
    <s v="Young(&lt;=29)"/>
    <x v="1"/>
    <s v="Rarely"/>
    <s v="Research &amp; Development"/>
    <n v="5"/>
    <s v="Nearby(&lt;=5)"/>
    <n v="3"/>
    <s v="Satisfied(&gt;=3)"/>
    <x v="1"/>
    <n v="3"/>
    <s v="Medium"/>
    <n v="1"/>
    <x v="0"/>
    <x v="1"/>
    <n v="4"/>
    <s v="Satisfied(&gt;=3)"/>
    <x v="0"/>
    <n v="1"/>
    <s v="Y"/>
    <x v="1"/>
    <n v="18"/>
    <x v="0"/>
    <n v="3"/>
    <n v="3"/>
    <s v="Good(&gt;=3)"/>
    <n v="2"/>
    <s v="Short(&lt;=4)"/>
    <n v="2"/>
    <x v="0"/>
    <n v="2"/>
    <s v="Reasonable(&lt;=3)"/>
  </r>
  <r>
    <x v="41"/>
    <s v="Young(&lt;=29)"/>
    <x v="0"/>
    <s v="Frequently"/>
    <s v="Sales"/>
    <n v="3"/>
    <s v="Nearby(&lt;=5)"/>
    <n v="2"/>
    <s v="Not_Satisfied(&lt;3)"/>
    <x v="0"/>
    <n v="3"/>
    <s v="Medium"/>
    <n v="1"/>
    <x v="0"/>
    <x v="6"/>
    <n v="4"/>
    <s v="Satisfied(&gt;=3)"/>
    <x v="0"/>
    <n v="1"/>
    <s v="Y"/>
    <x v="0"/>
    <n v="12"/>
    <x v="0"/>
    <n v="0"/>
    <n v="4"/>
    <s v="Good(&gt;=3)"/>
    <n v="0"/>
    <s v="Short(&lt;=4)"/>
    <n v="0"/>
    <x v="0"/>
    <n v="0"/>
    <s v="Reasonable(&lt;=3)"/>
  </r>
  <r>
    <x v="40"/>
    <s v="Middle_Age(30-50)"/>
    <x v="1"/>
    <s v="Rarely"/>
    <s v="Human Resources"/>
    <n v="26"/>
    <s v="Far(&gt;=15)"/>
    <n v="4"/>
    <s v="Satisfied(&gt;=3)"/>
    <x v="0"/>
    <n v="3"/>
    <s v="Medium"/>
    <n v="5"/>
    <x v="2"/>
    <x v="5"/>
    <n v="3"/>
    <s v="Satisfied(&gt;=3)"/>
    <x v="1"/>
    <n v="3"/>
    <s v="Y"/>
    <x v="1"/>
    <n v="11"/>
    <x v="0"/>
    <n v="27"/>
    <n v="3"/>
    <s v="Good(&gt;=3)"/>
    <n v="5"/>
    <s v="Long(5-10)"/>
    <n v="2"/>
    <x v="0"/>
    <n v="1"/>
    <s v="Reasonable(&lt;=3)"/>
  </r>
  <r>
    <x v="22"/>
    <s v="Middle_Age(30-50)"/>
    <x v="1"/>
    <s v="Rarely"/>
    <s v="Research &amp; Development"/>
    <n v="3"/>
    <s v="Nearby(&lt;=5)"/>
    <n v="3"/>
    <s v="Satisfied(&gt;=3)"/>
    <x v="1"/>
    <n v="2"/>
    <s v="Low"/>
    <n v="2"/>
    <x v="0"/>
    <x v="2"/>
    <n v="3"/>
    <s v="Satisfied(&gt;=3)"/>
    <x v="2"/>
    <n v="0"/>
    <s v="Y"/>
    <x v="1"/>
    <n v="15"/>
    <x v="0"/>
    <n v="11"/>
    <n v="3"/>
    <s v="Good(&gt;=3)"/>
    <n v="10"/>
    <s v="Long(5-10)"/>
    <n v="8"/>
    <x v="1"/>
    <n v="0"/>
    <s v="Reasonable(&lt;=3)"/>
  </r>
  <r>
    <x v="32"/>
    <s v="Middle_Age(30-50)"/>
    <x v="1"/>
    <s v="Rarely"/>
    <s v="Research &amp; Development"/>
    <n v="15"/>
    <s v="Far(&gt;=15)"/>
    <n v="1"/>
    <s v="Not_Satisfied(&lt;3)"/>
    <x v="0"/>
    <n v="2"/>
    <s v="Low"/>
    <n v="3"/>
    <x v="1"/>
    <x v="3"/>
    <n v="3"/>
    <s v="Satisfied(&gt;=3)"/>
    <x v="1"/>
    <n v="1"/>
    <s v="Y"/>
    <x v="1"/>
    <n v="13"/>
    <x v="0"/>
    <n v="18"/>
    <n v="3"/>
    <s v="Good(&gt;=3)"/>
    <n v="18"/>
    <s v="Ultra_Long(&gt;10)"/>
    <n v="15"/>
    <x v="2"/>
    <n v="14"/>
    <s v="Not_Reasonable(&gt;3)"/>
  </r>
  <r>
    <x v="10"/>
    <s v="Middle_Age(30-50)"/>
    <x v="1"/>
    <s v="Rarely"/>
    <s v="Research &amp; Development"/>
    <n v="8"/>
    <s v="Middistance(6-14)"/>
    <n v="3"/>
    <s v="Satisfied(&gt;=3)"/>
    <x v="0"/>
    <n v="3"/>
    <s v="Medium"/>
    <n v="2"/>
    <x v="0"/>
    <x v="4"/>
    <n v="3"/>
    <s v="Satisfied(&gt;=3)"/>
    <x v="1"/>
    <n v="1"/>
    <s v="Y"/>
    <x v="1"/>
    <n v="12"/>
    <x v="0"/>
    <n v="15"/>
    <n v="3"/>
    <s v="Good(&gt;=3)"/>
    <n v="14"/>
    <s v="Ultra_Long(&gt;10)"/>
    <n v="11"/>
    <x v="2"/>
    <n v="2"/>
    <s v="Reasonable(&lt;=3)"/>
  </r>
  <r>
    <x v="2"/>
    <s v="Middle_Age(30-50)"/>
    <x v="1"/>
    <s v="Rarely"/>
    <s v="Research &amp; Development"/>
    <n v="19"/>
    <s v="Far(&gt;=15)"/>
    <n v="3"/>
    <s v="Satisfied(&gt;=3)"/>
    <x v="1"/>
    <n v="3"/>
    <s v="Medium"/>
    <n v="2"/>
    <x v="0"/>
    <x v="3"/>
    <n v="3"/>
    <s v="Satisfied(&gt;=3)"/>
    <x v="1"/>
    <n v="3"/>
    <s v="Y"/>
    <x v="1"/>
    <n v="17"/>
    <x v="0"/>
    <n v="9"/>
    <n v="2"/>
    <s v="Poor(&lt;=2)"/>
    <n v="4"/>
    <s v="Short(&lt;=4)"/>
    <n v="3"/>
    <x v="0"/>
    <n v="0"/>
    <s v="Reasonable(&lt;=3)"/>
  </r>
  <r>
    <x v="22"/>
    <s v="Middle_Age(30-50)"/>
    <x v="1"/>
    <s v="Frequently"/>
    <s v="Research &amp; Development"/>
    <n v="4"/>
    <s v="Nearby(&lt;=5)"/>
    <n v="1"/>
    <s v="Not_Satisfied(&lt;3)"/>
    <x v="0"/>
    <n v="3"/>
    <s v="Medium"/>
    <n v="2"/>
    <x v="0"/>
    <x v="3"/>
    <n v="3"/>
    <s v="Satisfied(&gt;=3)"/>
    <x v="0"/>
    <n v="0"/>
    <s v="Y"/>
    <x v="1"/>
    <n v="13"/>
    <x v="0"/>
    <n v="10"/>
    <n v="1"/>
    <s v="Poor(&lt;=2)"/>
    <n v="9"/>
    <s v="Long(5-10)"/>
    <n v="2"/>
    <x v="0"/>
    <n v="3"/>
    <s v="Reasonable(&lt;=3)"/>
  </r>
  <r>
    <x v="28"/>
    <s v="Middle_Age(30-50)"/>
    <x v="1"/>
    <s v="Rarely"/>
    <s v="Research &amp; Development"/>
    <n v="2"/>
    <s v="Nearby(&lt;=5)"/>
    <n v="4"/>
    <s v="Satisfied(&gt;=3)"/>
    <x v="0"/>
    <n v="2"/>
    <s v="Low"/>
    <n v="2"/>
    <x v="0"/>
    <x v="3"/>
    <n v="4"/>
    <s v="Satisfied(&gt;=3)"/>
    <x v="2"/>
    <n v="1"/>
    <s v="Y"/>
    <x v="1"/>
    <n v="19"/>
    <x v="0"/>
    <n v="10"/>
    <n v="3"/>
    <s v="Good(&gt;=3)"/>
    <n v="10"/>
    <s v="Long(5-10)"/>
    <n v="7"/>
    <x v="1"/>
    <n v="3"/>
    <s v="Reasonable(&lt;=3)"/>
  </r>
  <r>
    <x v="8"/>
    <s v="Middle_Age(30-50)"/>
    <x v="1"/>
    <s v="Rarely"/>
    <s v="Research &amp; Development"/>
    <n v="2"/>
    <s v="Nearby(&lt;=5)"/>
    <n v="4"/>
    <s v="Satisfied(&gt;=3)"/>
    <x v="0"/>
    <n v="2"/>
    <s v="Low"/>
    <n v="3"/>
    <x v="1"/>
    <x v="3"/>
    <n v="3"/>
    <s v="Satisfied(&gt;=3)"/>
    <x v="1"/>
    <n v="3"/>
    <s v="Y"/>
    <x v="0"/>
    <n v="19"/>
    <x v="0"/>
    <n v="10"/>
    <n v="4"/>
    <s v="Good(&gt;=3)"/>
    <n v="5"/>
    <s v="Long(5-10)"/>
    <n v="4"/>
    <x v="0"/>
    <n v="0"/>
    <s v="Reasonable(&lt;=3)"/>
  </r>
  <r>
    <x v="10"/>
    <s v="Middle_Age(30-50)"/>
    <x v="0"/>
    <s v="Rarely"/>
    <s v="Sales"/>
    <n v="10"/>
    <s v="Middistance(6-14)"/>
    <n v="4"/>
    <s v="Satisfied(&gt;=3)"/>
    <x v="1"/>
    <n v="2"/>
    <s v="Low"/>
    <n v="3"/>
    <x v="1"/>
    <x v="0"/>
    <n v="1"/>
    <s v="Not_Satisfied(&lt;=2)"/>
    <x v="1"/>
    <n v="9"/>
    <s v="Y"/>
    <x v="1"/>
    <n v="17"/>
    <x v="0"/>
    <n v="15"/>
    <n v="3"/>
    <s v="Good(&gt;=3)"/>
    <n v="13"/>
    <s v="Ultra_Long(&gt;10)"/>
    <n v="12"/>
    <x v="2"/>
    <n v="6"/>
    <s v="Not_Reasonable(&gt;3)"/>
  </r>
  <r>
    <x v="2"/>
    <s v="Middle_Age(30-50)"/>
    <x v="1"/>
    <s v="Rarely"/>
    <s v="Research &amp; Development"/>
    <n v="10"/>
    <s v="Middistance(6-14)"/>
    <n v="2"/>
    <s v="Not_Satisfied(&lt;3)"/>
    <x v="0"/>
    <n v="3"/>
    <s v="Medium"/>
    <n v="1"/>
    <x v="0"/>
    <x v="1"/>
    <n v="2"/>
    <s v="Not_Satisfied(&lt;=2)"/>
    <x v="1"/>
    <n v="1"/>
    <s v="Y"/>
    <x v="1"/>
    <n v="11"/>
    <x v="0"/>
    <n v="8"/>
    <n v="1"/>
    <s v="Poor(&lt;=2)"/>
    <n v="8"/>
    <s v="Long(5-10)"/>
    <n v="4"/>
    <x v="0"/>
    <n v="7"/>
    <s v="Not_Reasonable(&gt;3)"/>
  </r>
  <r>
    <x v="32"/>
    <s v="Middle_Age(30-50)"/>
    <x v="1"/>
    <s v="Rarely"/>
    <s v="Research &amp; Development"/>
    <n v="16"/>
    <s v="Far(&gt;=15)"/>
    <n v="3"/>
    <s v="Satisfied(&gt;=3)"/>
    <x v="0"/>
    <n v="3"/>
    <s v="Medium"/>
    <n v="3"/>
    <x v="1"/>
    <x v="3"/>
    <n v="4"/>
    <s v="Satisfied(&gt;=3)"/>
    <x v="0"/>
    <n v="6"/>
    <s v="Y"/>
    <x v="0"/>
    <n v="15"/>
    <x v="0"/>
    <n v="18"/>
    <n v="2"/>
    <s v="Poor(&lt;=2)"/>
    <n v="4"/>
    <s v="Short(&lt;=4)"/>
    <n v="2"/>
    <x v="0"/>
    <n v="3"/>
    <s v="Reasonable(&lt;=3)"/>
  </r>
  <r>
    <x v="20"/>
    <s v="Middle_Age(30-50)"/>
    <x v="1"/>
    <s v="Frequently"/>
    <s v="Human Resources"/>
    <n v="1"/>
    <s v="Nearby(&lt;=5)"/>
    <n v="1"/>
    <s v="Not_Satisfied(&lt;3)"/>
    <x v="1"/>
    <n v="3"/>
    <s v="Medium"/>
    <n v="2"/>
    <x v="0"/>
    <x v="8"/>
    <n v="4"/>
    <s v="Satisfied(&gt;=3)"/>
    <x v="1"/>
    <n v="4"/>
    <s v="Y"/>
    <x v="0"/>
    <n v="11"/>
    <x v="0"/>
    <n v="14"/>
    <n v="3"/>
    <s v="Good(&gt;=3)"/>
    <n v="10"/>
    <s v="Long(5-10)"/>
    <n v="7"/>
    <x v="1"/>
    <n v="0"/>
    <s v="Reasonable(&lt;=3)"/>
  </r>
  <r>
    <x v="26"/>
    <s v="Middle_Age(30-50)"/>
    <x v="1"/>
    <s v="Frequently"/>
    <s v="Research &amp; Development"/>
    <n v="4"/>
    <s v="Nearby(&lt;=5)"/>
    <n v="3"/>
    <s v="Satisfied(&gt;=3)"/>
    <x v="1"/>
    <n v="2"/>
    <s v="Low"/>
    <n v="4"/>
    <x v="2"/>
    <x v="5"/>
    <n v="4"/>
    <s v="Satisfied(&gt;=3)"/>
    <x v="1"/>
    <n v="2"/>
    <s v="Y"/>
    <x v="1"/>
    <n v="25"/>
    <x v="1"/>
    <n v="23"/>
    <n v="3"/>
    <s v="Good(&gt;=3)"/>
    <n v="2"/>
    <s v="Short(&lt;=4)"/>
    <n v="2"/>
    <x v="0"/>
    <n v="2"/>
    <s v="Reasonable(&lt;=3)"/>
  </r>
  <r>
    <x v="10"/>
    <s v="Middle_Age(30-50)"/>
    <x v="0"/>
    <s v="Rarely"/>
    <s v="Sales"/>
    <n v="15"/>
    <s v="Far(&gt;=15)"/>
    <n v="1"/>
    <s v="Not_Satisfied(&lt;3)"/>
    <x v="1"/>
    <n v="1"/>
    <s v="Low"/>
    <n v="2"/>
    <x v="0"/>
    <x v="0"/>
    <n v="4"/>
    <s v="Satisfied(&gt;=3)"/>
    <x v="2"/>
    <n v="6"/>
    <s v="Y"/>
    <x v="0"/>
    <n v="14"/>
    <x v="0"/>
    <n v="7"/>
    <n v="2"/>
    <s v="Poor(&lt;=2)"/>
    <n v="2"/>
    <s v="Short(&lt;=4)"/>
    <n v="2"/>
    <x v="0"/>
    <n v="2"/>
    <s v="Reasonable(&lt;=3)"/>
  </r>
  <r>
    <x v="17"/>
    <s v="Young(&lt;=29)"/>
    <x v="1"/>
    <s v="Frequently"/>
    <s v="Research &amp; Development"/>
    <n v="2"/>
    <s v="Nearby(&lt;=5)"/>
    <n v="1"/>
    <s v="Not_Satisfied(&lt;3)"/>
    <x v="0"/>
    <n v="3"/>
    <s v="Medium"/>
    <n v="1"/>
    <x v="0"/>
    <x v="1"/>
    <n v="4"/>
    <s v="Satisfied(&gt;=3)"/>
    <x v="0"/>
    <n v="1"/>
    <s v="Y"/>
    <x v="0"/>
    <n v="13"/>
    <x v="0"/>
    <n v="6"/>
    <n v="3"/>
    <s v="Good(&gt;=3)"/>
    <n v="6"/>
    <s v="Long(5-10)"/>
    <n v="3"/>
    <x v="0"/>
    <n v="1"/>
    <s v="Reasonable(&lt;=3)"/>
  </r>
  <r>
    <x v="4"/>
    <s v="Young(&lt;=29)"/>
    <x v="1"/>
    <s v="Rarely"/>
    <s v="Research &amp; Development"/>
    <n v="8"/>
    <s v="Middistance(6-14)"/>
    <n v="2"/>
    <s v="Not_Satisfied(&lt;3)"/>
    <x v="0"/>
    <n v="4"/>
    <s v="High"/>
    <n v="1"/>
    <x v="0"/>
    <x v="1"/>
    <n v="3"/>
    <s v="Satisfied(&gt;=3)"/>
    <x v="1"/>
    <n v="7"/>
    <s v="Y"/>
    <x v="1"/>
    <n v="17"/>
    <x v="0"/>
    <n v="5"/>
    <n v="3"/>
    <s v="Good(&gt;=3)"/>
    <n v="3"/>
    <s v="Short(&lt;=4)"/>
    <n v="2"/>
    <x v="0"/>
    <n v="0"/>
    <s v="Reasonable(&lt;=3)"/>
  </r>
  <r>
    <x v="4"/>
    <s v="Young(&lt;=29)"/>
    <x v="1"/>
    <s v="Frequently"/>
    <s v="Research &amp; Development"/>
    <n v="2"/>
    <s v="Nearby(&lt;=5)"/>
    <n v="4"/>
    <s v="Satisfied(&gt;=3)"/>
    <x v="1"/>
    <n v="3"/>
    <s v="Medium"/>
    <n v="1"/>
    <x v="0"/>
    <x v="1"/>
    <n v="4"/>
    <s v="Satisfied(&gt;=3)"/>
    <x v="0"/>
    <n v="2"/>
    <s v="Y"/>
    <x v="1"/>
    <n v="13"/>
    <x v="0"/>
    <n v="6"/>
    <n v="2"/>
    <s v="Poor(&lt;=2)"/>
    <n v="4"/>
    <s v="Short(&lt;=4)"/>
    <n v="2"/>
    <x v="0"/>
    <n v="1"/>
    <s v="Reasonable(&lt;=3)"/>
  </r>
  <r>
    <x v="32"/>
    <s v="Middle_Age(30-50)"/>
    <x v="0"/>
    <s v="Rarely"/>
    <s v="Research &amp; Development"/>
    <n v="7"/>
    <s v="Middistance(6-14)"/>
    <n v="1"/>
    <s v="Not_Satisfied(&lt;3)"/>
    <x v="1"/>
    <n v="3"/>
    <s v="Medium"/>
    <n v="1"/>
    <x v="0"/>
    <x v="2"/>
    <n v="1"/>
    <s v="Not_Satisfied(&lt;=2)"/>
    <x v="0"/>
    <n v="3"/>
    <s v="Y"/>
    <x v="0"/>
    <n v="14"/>
    <x v="0"/>
    <n v="10"/>
    <n v="1"/>
    <s v="Poor(&lt;=2)"/>
    <n v="4"/>
    <s v="Short(&lt;=4)"/>
    <n v="2"/>
    <x v="0"/>
    <n v="0"/>
    <s v="Reasonable(&lt;=3)"/>
  </r>
  <r>
    <x v="11"/>
    <s v="Young(&lt;=29)"/>
    <x v="1"/>
    <s v="Rarely"/>
    <s v="Sales"/>
    <n v="10"/>
    <s v="Middistance(6-14)"/>
    <n v="3"/>
    <s v="Satisfied(&gt;=3)"/>
    <x v="1"/>
    <n v="2"/>
    <s v="Low"/>
    <n v="2"/>
    <x v="0"/>
    <x v="0"/>
    <n v="3"/>
    <s v="Satisfied(&gt;=3)"/>
    <x v="0"/>
    <n v="9"/>
    <s v="Y"/>
    <x v="1"/>
    <n v="11"/>
    <x v="0"/>
    <n v="8"/>
    <n v="3"/>
    <s v="Good(&gt;=3)"/>
    <n v="5"/>
    <s v="Long(5-10)"/>
    <n v="2"/>
    <x v="0"/>
    <n v="1"/>
    <s v="Reasonable(&lt;=3)"/>
  </r>
  <r>
    <x v="9"/>
    <s v="Middle_Age(30-50)"/>
    <x v="1"/>
    <s v="Rarely"/>
    <s v="Research &amp; Development"/>
    <n v="5"/>
    <s v="Nearby(&lt;=5)"/>
    <n v="2"/>
    <s v="Not_Satisfied(&lt;3)"/>
    <x v="0"/>
    <n v="3"/>
    <s v="Medium"/>
    <n v="3"/>
    <x v="1"/>
    <x v="4"/>
    <n v="1"/>
    <s v="Not_Satisfied(&lt;=2)"/>
    <x v="1"/>
    <n v="4"/>
    <s v="Y"/>
    <x v="1"/>
    <n v="12"/>
    <x v="0"/>
    <n v="9"/>
    <n v="3"/>
    <s v="Good(&gt;=3)"/>
    <n v="3"/>
    <s v="Short(&lt;=4)"/>
    <n v="2"/>
    <x v="0"/>
    <n v="0"/>
    <s v="Reasonable(&lt;=3)"/>
  </r>
  <r>
    <x v="36"/>
    <s v="Young(&lt;=29)"/>
    <x v="1"/>
    <s v="Frequently"/>
    <s v="Research &amp; Development"/>
    <n v="2"/>
    <s v="Nearby(&lt;=5)"/>
    <n v="4"/>
    <s v="Satisfied(&gt;=3)"/>
    <x v="1"/>
    <n v="4"/>
    <s v="High"/>
    <n v="2"/>
    <x v="0"/>
    <x v="3"/>
    <n v="3"/>
    <s v="Satisfied(&gt;=3)"/>
    <x v="2"/>
    <n v="1"/>
    <s v="Y"/>
    <x v="1"/>
    <n v="17"/>
    <x v="0"/>
    <n v="7"/>
    <n v="3"/>
    <s v="Good(&gt;=3)"/>
    <n v="7"/>
    <s v="Long(5-10)"/>
    <n v="7"/>
    <x v="1"/>
    <n v="0"/>
    <s v="Reasonable(&lt;=3)"/>
  </r>
  <r>
    <x v="22"/>
    <s v="Middle_Age(30-50)"/>
    <x v="1"/>
    <s v="Rarely"/>
    <s v="Research &amp; Development"/>
    <n v="12"/>
    <s v="Middistance(6-14)"/>
    <n v="4"/>
    <s v="Satisfied(&gt;=3)"/>
    <x v="1"/>
    <n v="3"/>
    <s v="Medium"/>
    <n v="2"/>
    <x v="0"/>
    <x v="3"/>
    <n v="2"/>
    <s v="Not_Satisfied(&lt;=2)"/>
    <x v="1"/>
    <n v="4"/>
    <s v="Y"/>
    <x v="1"/>
    <n v="21"/>
    <x v="1"/>
    <n v="7"/>
    <n v="3"/>
    <s v="Good(&gt;=3)"/>
    <n v="5"/>
    <s v="Long(5-10)"/>
    <n v="4"/>
    <x v="0"/>
    <n v="1"/>
    <s v="Reasonable(&lt;=3)"/>
  </r>
  <r>
    <x v="1"/>
    <s v="Middle_Age(30-50)"/>
    <x v="1"/>
    <s v="Rarely"/>
    <s v="Research &amp; Development"/>
    <n v="22"/>
    <s v="Far(&gt;=15)"/>
    <n v="1"/>
    <s v="Not_Satisfied(&lt;3)"/>
    <x v="0"/>
    <n v="3"/>
    <s v="Medium"/>
    <n v="4"/>
    <x v="2"/>
    <x v="7"/>
    <n v="2"/>
    <s v="Not_Satisfied(&lt;=2)"/>
    <x v="1"/>
    <n v="3"/>
    <s v="Y"/>
    <x v="1"/>
    <n v="16"/>
    <x v="0"/>
    <n v="27"/>
    <n v="3"/>
    <s v="Good(&gt;=3)"/>
    <n v="4"/>
    <s v="Short(&lt;=4)"/>
    <n v="2"/>
    <x v="0"/>
    <n v="1"/>
    <s v="Reasonable(&lt;=3)"/>
  </r>
  <r>
    <x v="24"/>
    <s v="Middle_Age(30-50)"/>
    <x v="1"/>
    <s v="Rarely"/>
    <s v="Research &amp; Development"/>
    <n v="17"/>
    <s v="Far(&gt;=15)"/>
    <n v="4"/>
    <s v="Satisfied(&gt;=3)"/>
    <x v="0"/>
    <n v="2"/>
    <s v="Low"/>
    <n v="3"/>
    <x v="1"/>
    <x v="7"/>
    <n v="1"/>
    <s v="Not_Satisfied(&lt;=2)"/>
    <x v="2"/>
    <n v="5"/>
    <s v="Y"/>
    <x v="1"/>
    <n v="15"/>
    <x v="0"/>
    <n v="19"/>
    <n v="3"/>
    <s v="Good(&gt;=3)"/>
    <n v="14"/>
    <s v="Ultra_Long(&gt;10)"/>
    <n v="11"/>
    <x v="2"/>
    <n v="1"/>
    <s v="Reasonable(&lt;=3)"/>
  </r>
  <r>
    <x v="35"/>
    <s v="Young(&lt;=29)"/>
    <x v="1"/>
    <s v="Rarely"/>
    <s v="Sales"/>
    <n v="2"/>
    <s v="Nearby(&lt;=5)"/>
    <n v="3"/>
    <s v="Satisfied(&gt;=3)"/>
    <x v="0"/>
    <n v="3"/>
    <s v="Medium"/>
    <n v="1"/>
    <x v="0"/>
    <x v="6"/>
    <n v="3"/>
    <s v="Satisfied(&gt;=3)"/>
    <x v="0"/>
    <n v="1"/>
    <s v="Y"/>
    <x v="1"/>
    <n v="19"/>
    <x v="0"/>
    <n v="2"/>
    <n v="3"/>
    <s v="Good(&gt;=3)"/>
    <n v="2"/>
    <s v="Short(&lt;=4)"/>
    <n v="2"/>
    <x v="0"/>
    <n v="2"/>
    <s v="Reasonable(&lt;=3)"/>
  </r>
  <r>
    <x v="13"/>
    <s v="Middle_Age(30-50)"/>
    <x v="1"/>
    <s v="Rarely"/>
    <s v="Research &amp; Development"/>
    <n v="3"/>
    <s v="Nearby(&lt;=5)"/>
    <n v="4"/>
    <s v="Satisfied(&gt;=3)"/>
    <x v="0"/>
    <n v="3"/>
    <s v="Medium"/>
    <n v="2"/>
    <x v="0"/>
    <x v="1"/>
    <n v="2"/>
    <s v="Not_Satisfied(&lt;=2)"/>
    <x v="2"/>
    <n v="1"/>
    <s v="Y"/>
    <x v="1"/>
    <n v="12"/>
    <x v="0"/>
    <n v="11"/>
    <n v="3"/>
    <s v="Good(&gt;=3)"/>
    <n v="11"/>
    <s v="Ultra_Long(&gt;10)"/>
    <n v="8"/>
    <x v="1"/>
    <n v="7"/>
    <s v="Not_Reasonable(&gt;3)"/>
  </r>
  <r>
    <x v="9"/>
    <s v="Middle_Age(30-50)"/>
    <x v="1"/>
    <s v="Rarely"/>
    <s v="Research &amp; Development"/>
    <n v="7"/>
    <s v="Middistance(6-14)"/>
    <n v="1"/>
    <s v="Not_Satisfied(&lt;3)"/>
    <x v="1"/>
    <n v="3"/>
    <s v="Medium"/>
    <n v="1"/>
    <x v="0"/>
    <x v="2"/>
    <n v="2"/>
    <s v="Not_Satisfied(&lt;=2)"/>
    <x v="0"/>
    <n v="2"/>
    <s v="Y"/>
    <x v="1"/>
    <n v="11"/>
    <x v="0"/>
    <n v="15"/>
    <n v="3"/>
    <s v="Good(&gt;=3)"/>
    <n v="4"/>
    <s v="Short(&lt;=4)"/>
    <n v="3"/>
    <x v="0"/>
    <n v="1"/>
    <s v="Reasonable(&lt;=3)"/>
  </r>
  <r>
    <x v="1"/>
    <s v="Middle_Age(30-50)"/>
    <x v="1"/>
    <s v="Rarely"/>
    <s v="Research &amp; Development"/>
    <n v="6"/>
    <s v="Middistance(6-14)"/>
    <n v="3"/>
    <s v="Satisfied(&gt;=3)"/>
    <x v="0"/>
    <n v="2"/>
    <s v="Low"/>
    <n v="4"/>
    <x v="2"/>
    <x v="4"/>
    <n v="3"/>
    <s v="Satisfied(&gt;=3)"/>
    <x v="1"/>
    <n v="2"/>
    <s v="Y"/>
    <x v="0"/>
    <n v="19"/>
    <x v="0"/>
    <n v="30"/>
    <n v="3"/>
    <s v="Good(&gt;=3)"/>
    <n v="15"/>
    <s v="Ultra_Long(&gt;10)"/>
    <n v="11"/>
    <x v="2"/>
    <n v="2"/>
    <s v="Reasonable(&lt;=3)"/>
  </r>
  <r>
    <x v="9"/>
    <s v="Middle_Age(30-50)"/>
    <x v="1"/>
    <s v="Rarely"/>
    <s v="Research &amp; Development"/>
    <n v="1"/>
    <s v="Nearby(&lt;=5)"/>
    <n v="4"/>
    <s v="Satisfied(&gt;=3)"/>
    <x v="0"/>
    <n v="2"/>
    <s v="Low"/>
    <n v="2"/>
    <x v="0"/>
    <x v="3"/>
    <n v="3"/>
    <s v="Satisfied(&gt;=3)"/>
    <x v="1"/>
    <n v="0"/>
    <s v="Y"/>
    <x v="1"/>
    <n v="15"/>
    <x v="0"/>
    <n v="4"/>
    <n v="3"/>
    <s v="Good(&gt;=3)"/>
    <n v="3"/>
    <s v="Short(&lt;=4)"/>
    <n v="2"/>
    <x v="0"/>
    <n v="1"/>
    <s v="Reasonable(&lt;=3)"/>
  </r>
  <r>
    <x v="9"/>
    <s v="Middle_Age(30-50)"/>
    <x v="1"/>
    <s v="Rarely"/>
    <s v="Research &amp; Development"/>
    <n v="3"/>
    <s v="Nearby(&lt;=5)"/>
    <n v="4"/>
    <s v="Satisfied(&gt;=3)"/>
    <x v="1"/>
    <n v="4"/>
    <s v="High"/>
    <n v="2"/>
    <x v="0"/>
    <x v="4"/>
    <n v="1"/>
    <s v="Not_Satisfied(&lt;=2)"/>
    <x v="2"/>
    <n v="6"/>
    <s v="Y"/>
    <x v="1"/>
    <n v="20"/>
    <x v="1"/>
    <n v="13"/>
    <n v="3"/>
    <s v="Good(&gt;=3)"/>
    <n v="5"/>
    <s v="Long(5-10)"/>
    <n v="4"/>
    <x v="0"/>
    <n v="0"/>
    <s v="Reasonable(&lt;=3)"/>
  </r>
  <r>
    <x v="33"/>
    <s v="Old(&gt;50)"/>
    <x v="1"/>
    <s v="Rarely"/>
    <s v="Research &amp; Development"/>
    <n v="22"/>
    <s v="Far(&gt;=15)"/>
    <n v="2"/>
    <s v="Not_Satisfied(&lt;3)"/>
    <x v="0"/>
    <n v="3"/>
    <s v="Medium"/>
    <n v="4"/>
    <x v="2"/>
    <x v="5"/>
    <n v="3"/>
    <s v="Satisfied(&gt;=3)"/>
    <x v="1"/>
    <n v="3"/>
    <s v="Y"/>
    <x v="1"/>
    <n v="25"/>
    <x v="1"/>
    <n v="36"/>
    <n v="3"/>
    <s v="Good(&gt;=3)"/>
    <n v="10"/>
    <s v="Long(5-10)"/>
    <n v="8"/>
    <x v="1"/>
    <n v="4"/>
    <s v="Not_Reasonable(&gt;3)"/>
  </r>
  <r>
    <x v="23"/>
    <s v="Middle_Age(30-50)"/>
    <x v="1"/>
    <s v="Rarely"/>
    <s v="Research &amp; Development"/>
    <n v="15"/>
    <s v="Far(&gt;=15)"/>
    <n v="3"/>
    <s v="Satisfied(&gt;=3)"/>
    <x v="1"/>
    <n v="2"/>
    <s v="Low"/>
    <n v="4"/>
    <x v="2"/>
    <x v="7"/>
    <n v="3"/>
    <s v="Satisfied(&gt;=3)"/>
    <x v="1"/>
    <n v="1"/>
    <s v="Y"/>
    <x v="1"/>
    <n v="24"/>
    <x v="1"/>
    <n v="14"/>
    <n v="3"/>
    <s v="Good(&gt;=3)"/>
    <n v="14"/>
    <s v="Ultra_Long(&gt;10)"/>
    <n v="10"/>
    <x v="1"/>
    <n v="6"/>
    <s v="Not_Reasonable(&gt;3)"/>
  </r>
  <r>
    <x v="10"/>
    <s v="Middle_Age(30-50)"/>
    <x v="0"/>
    <s v="Frequently"/>
    <s v="Sales"/>
    <n v="12"/>
    <s v="Middistance(6-14)"/>
    <n v="4"/>
    <s v="Satisfied(&gt;=3)"/>
    <x v="1"/>
    <n v="3"/>
    <s v="Medium"/>
    <n v="2"/>
    <x v="0"/>
    <x v="0"/>
    <n v="4"/>
    <s v="Satisfied(&gt;=3)"/>
    <x v="0"/>
    <n v="3"/>
    <s v="Y"/>
    <x v="0"/>
    <n v="24"/>
    <x v="1"/>
    <n v="13"/>
    <n v="4"/>
    <s v="Good(&gt;=3)"/>
    <n v="11"/>
    <s v="Ultra_Long(&gt;10)"/>
    <n v="9"/>
    <x v="1"/>
    <n v="6"/>
    <s v="Not_Reasonable(&gt;3)"/>
  </r>
  <r>
    <x v="8"/>
    <s v="Middle_Age(30-50)"/>
    <x v="1"/>
    <s v="Frequently"/>
    <s v="Research &amp; Development"/>
    <n v="1"/>
    <s v="Nearby(&lt;=5)"/>
    <n v="4"/>
    <s v="Satisfied(&gt;=3)"/>
    <x v="1"/>
    <n v="3"/>
    <s v="Medium"/>
    <n v="2"/>
    <x v="0"/>
    <x v="1"/>
    <n v="4"/>
    <s v="Satisfied(&gt;=3)"/>
    <x v="1"/>
    <n v="7"/>
    <s v="Y"/>
    <x v="1"/>
    <n v="15"/>
    <x v="0"/>
    <n v="19"/>
    <n v="4"/>
    <s v="Good(&gt;=3)"/>
    <n v="13"/>
    <s v="Ultra_Long(&gt;10)"/>
    <n v="11"/>
    <x v="2"/>
    <n v="2"/>
    <s v="Reasonable(&lt;=3)"/>
  </r>
  <r>
    <x v="11"/>
    <s v="Young(&lt;=29)"/>
    <x v="1"/>
    <s v="Rarely"/>
    <s v="Sales"/>
    <n v="5"/>
    <s v="Nearby(&lt;=5)"/>
    <n v="1"/>
    <s v="Not_Satisfied(&lt;3)"/>
    <x v="1"/>
    <n v="2"/>
    <s v="Low"/>
    <n v="2"/>
    <x v="0"/>
    <x v="0"/>
    <n v="2"/>
    <s v="Not_Satisfied(&lt;=2)"/>
    <x v="2"/>
    <n v="1"/>
    <s v="Y"/>
    <x v="0"/>
    <n v="13"/>
    <x v="0"/>
    <n v="10"/>
    <n v="2"/>
    <s v="Poor(&lt;=2)"/>
    <n v="10"/>
    <s v="Long(5-10)"/>
    <n v="0"/>
    <x v="0"/>
    <n v="0"/>
    <s v="Reasonable(&lt;=3)"/>
  </r>
  <r>
    <x v="3"/>
    <s v="Middle_Age(30-50)"/>
    <x v="1"/>
    <s v="Rarely"/>
    <s v="Sales"/>
    <n v="2"/>
    <s v="Nearby(&lt;=5)"/>
    <n v="4"/>
    <s v="Satisfied(&gt;=3)"/>
    <x v="1"/>
    <n v="3"/>
    <s v="Medium"/>
    <n v="2"/>
    <x v="0"/>
    <x v="0"/>
    <n v="4"/>
    <s v="Satisfied(&gt;=3)"/>
    <x v="2"/>
    <n v="1"/>
    <s v="Y"/>
    <x v="1"/>
    <n v="14"/>
    <x v="0"/>
    <n v="6"/>
    <n v="3"/>
    <s v="Good(&gt;=3)"/>
    <n v="6"/>
    <s v="Long(5-10)"/>
    <n v="2"/>
    <x v="0"/>
    <n v="0"/>
    <s v="Reasonable(&lt;=3)"/>
  </r>
  <r>
    <x v="5"/>
    <s v="Middle_Age(30-50)"/>
    <x v="1"/>
    <s v="Rarely"/>
    <s v="Research &amp; Development"/>
    <n v="2"/>
    <s v="Nearby(&lt;=5)"/>
    <n v="4"/>
    <s v="Satisfied(&gt;=3)"/>
    <x v="1"/>
    <n v="3"/>
    <s v="Medium"/>
    <n v="2"/>
    <x v="0"/>
    <x v="1"/>
    <n v="2"/>
    <s v="Not_Satisfied(&lt;=2)"/>
    <x v="2"/>
    <n v="0"/>
    <s v="Y"/>
    <x v="1"/>
    <n v="13"/>
    <x v="0"/>
    <n v="10"/>
    <n v="2"/>
    <s v="Poor(&lt;=2)"/>
    <n v="9"/>
    <s v="Long(5-10)"/>
    <n v="5"/>
    <x v="1"/>
    <n v="1"/>
    <s v="Reasonable(&lt;=3)"/>
  </r>
  <r>
    <x v="12"/>
    <s v="Middle_Age(30-50)"/>
    <x v="1"/>
    <s v="Rarely"/>
    <s v="Sales"/>
    <n v="5"/>
    <s v="Nearby(&lt;=5)"/>
    <n v="1"/>
    <s v="Not_Satisfied(&lt;3)"/>
    <x v="0"/>
    <n v="3"/>
    <s v="Medium"/>
    <n v="2"/>
    <x v="0"/>
    <x v="0"/>
    <n v="4"/>
    <s v="Satisfied(&gt;=3)"/>
    <x v="1"/>
    <n v="1"/>
    <s v="Y"/>
    <x v="1"/>
    <n v="11"/>
    <x v="0"/>
    <n v="10"/>
    <n v="3"/>
    <s v="Good(&gt;=3)"/>
    <n v="10"/>
    <s v="Long(5-10)"/>
    <n v="0"/>
    <x v="0"/>
    <n v="0"/>
    <s v="Reasonable(&lt;=3)"/>
  </r>
  <r>
    <x v="1"/>
    <s v="Middle_Age(30-50)"/>
    <x v="1"/>
    <s v="Rarely"/>
    <s v="Research &amp; Development"/>
    <n v="16"/>
    <s v="Far(&gt;=15)"/>
    <n v="4"/>
    <s v="Satisfied(&gt;=3)"/>
    <x v="0"/>
    <n v="3"/>
    <s v="Medium"/>
    <n v="1"/>
    <x v="0"/>
    <x v="2"/>
    <n v="1"/>
    <s v="Not_Satisfied(&lt;=2)"/>
    <x v="2"/>
    <n v="4"/>
    <s v="Y"/>
    <x v="0"/>
    <n v="16"/>
    <x v="0"/>
    <n v="17"/>
    <n v="2"/>
    <s v="Poor(&lt;=2)"/>
    <n v="2"/>
    <s v="Short(&lt;=4)"/>
    <n v="2"/>
    <x v="0"/>
    <n v="2"/>
    <s v="Reasonable(&lt;=3)"/>
  </r>
  <r>
    <x v="8"/>
    <s v="Middle_Age(30-50)"/>
    <x v="1"/>
    <s v="Frequently"/>
    <s v="Research &amp; Development"/>
    <n v="2"/>
    <s v="Nearby(&lt;=5)"/>
    <n v="4"/>
    <s v="Satisfied(&gt;=3)"/>
    <x v="0"/>
    <n v="2"/>
    <s v="Low"/>
    <n v="1"/>
    <x v="0"/>
    <x v="2"/>
    <n v="2"/>
    <s v="Not_Satisfied(&lt;=2)"/>
    <x v="0"/>
    <n v="1"/>
    <s v="Y"/>
    <x v="1"/>
    <n v="22"/>
    <x v="1"/>
    <n v="4"/>
    <n v="3"/>
    <s v="Good(&gt;=3)"/>
    <n v="4"/>
    <s v="Short(&lt;=4)"/>
    <n v="3"/>
    <x v="0"/>
    <n v="3"/>
    <s v="Reasonable(&lt;=3)"/>
  </r>
  <r>
    <x v="40"/>
    <s v="Middle_Age(30-50)"/>
    <x v="1"/>
    <s v="Rarely"/>
    <s v="Sales"/>
    <n v="2"/>
    <s v="Nearby(&lt;=5)"/>
    <n v="2"/>
    <s v="Not_Satisfied(&lt;3)"/>
    <x v="0"/>
    <n v="4"/>
    <s v="High"/>
    <n v="4"/>
    <x v="2"/>
    <x v="5"/>
    <n v="2"/>
    <s v="Not_Satisfied(&lt;=2)"/>
    <x v="2"/>
    <n v="6"/>
    <s v="Y"/>
    <x v="1"/>
    <n v="14"/>
    <x v="0"/>
    <n v="29"/>
    <n v="3"/>
    <s v="Good(&gt;=3)"/>
    <n v="3"/>
    <s v="Short(&lt;=4)"/>
    <n v="2"/>
    <x v="0"/>
    <n v="1"/>
    <s v="Reasonable(&lt;=3)"/>
  </r>
  <r>
    <x v="1"/>
    <s v="Middle_Age(30-50)"/>
    <x v="1"/>
    <s v="Rarely"/>
    <s v="Research &amp; Development"/>
    <n v="1"/>
    <s v="Nearby(&lt;=5)"/>
    <n v="3"/>
    <s v="Satisfied(&gt;=3)"/>
    <x v="1"/>
    <n v="3"/>
    <s v="Medium"/>
    <n v="4"/>
    <x v="2"/>
    <x v="5"/>
    <n v="3"/>
    <s v="Satisfied(&gt;=3)"/>
    <x v="0"/>
    <n v="4"/>
    <s v="Y"/>
    <x v="1"/>
    <n v="14"/>
    <x v="0"/>
    <n v="23"/>
    <n v="3"/>
    <s v="Good(&gt;=3)"/>
    <n v="8"/>
    <s v="Long(5-10)"/>
    <n v="7"/>
    <x v="1"/>
    <n v="0"/>
    <s v="Reasonable(&lt;=3)"/>
  </r>
  <r>
    <x v="0"/>
    <s v="Middle_Age(30-50)"/>
    <x v="1"/>
    <s v="Rarely"/>
    <s v="Sales"/>
    <n v="23"/>
    <s v="Far(&gt;=15)"/>
    <n v="4"/>
    <s v="Satisfied(&gt;=3)"/>
    <x v="1"/>
    <n v="3"/>
    <s v="Medium"/>
    <n v="3"/>
    <x v="1"/>
    <x v="0"/>
    <n v="3"/>
    <s v="Satisfied(&gt;=3)"/>
    <x v="0"/>
    <n v="3"/>
    <s v="Y"/>
    <x v="0"/>
    <n v="16"/>
    <x v="0"/>
    <n v="21"/>
    <n v="3"/>
    <s v="Good(&gt;=3)"/>
    <n v="2"/>
    <s v="Short(&lt;=4)"/>
    <n v="0"/>
    <x v="0"/>
    <n v="0"/>
    <s v="Reasonable(&lt;=3)"/>
  </r>
  <r>
    <x v="35"/>
    <s v="Young(&lt;=29)"/>
    <x v="1"/>
    <s v="Rarely"/>
    <s v="Sales"/>
    <n v="9"/>
    <s v="Middistance(6-14)"/>
    <n v="4"/>
    <s v="Satisfied(&gt;=3)"/>
    <x v="1"/>
    <n v="3"/>
    <s v="Medium"/>
    <n v="1"/>
    <x v="0"/>
    <x v="6"/>
    <n v="1"/>
    <s v="Not_Satisfied(&lt;=2)"/>
    <x v="0"/>
    <n v="1"/>
    <s v="Y"/>
    <x v="1"/>
    <n v="11"/>
    <x v="0"/>
    <n v="2"/>
    <n v="3"/>
    <s v="Good(&gt;=3)"/>
    <n v="2"/>
    <s v="Short(&lt;=4)"/>
    <n v="2"/>
    <x v="0"/>
    <n v="0"/>
    <s v="Reasonable(&lt;=3)"/>
  </r>
  <r>
    <x v="3"/>
    <s v="Middle_Age(30-50)"/>
    <x v="1"/>
    <s v="Rarely"/>
    <s v="Sales"/>
    <n v="16"/>
    <s v="Far(&gt;=15)"/>
    <n v="3"/>
    <s v="Satisfied(&gt;=3)"/>
    <x v="0"/>
    <n v="3"/>
    <s v="Medium"/>
    <n v="2"/>
    <x v="0"/>
    <x v="0"/>
    <n v="4"/>
    <s v="Satisfied(&gt;=3)"/>
    <x v="2"/>
    <n v="1"/>
    <s v="Y"/>
    <x v="0"/>
    <n v="25"/>
    <x v="1"/>
    <n v="7"/>
    <n v="3"/>
    <s v="Good(&gt;=3)"/>
    <n v="6"/>
    <s v="Long(5-10)"/>
    <n v="5"/>
    <x v="1"/>
    <n v="1"/>
    <s v="Reasonable(&lt;=3)"/>
  </r>
  <r>
    <x v="9"/>
    <s v="Middle_Age(30-50)"/>
    <x v="1"/>
    <s v="Rarely"/>
    <s v="Research &amp; Development"/>
    <n v="26"/>
    <s v="Far(&gt;=15)"/>
    <n v="1"/>
    <s v="Not_Satisfied(&lt;3)"/>
    <x v="1"/>
    <n v="3"/>
    <s v="Medium"/>
    <n v="2"/>
    <x v="0"/>
    <x v="4"/>
    <n v="3"/>
    <s v="Satisfied(&gt;=3)"/>
    <x v="1"/>
    <n v="6"/>
    <s v="Y"/>
    <x v="1"/>
    <n v="14"/>
    <x v="0"/>
    <n v="10"/>
    <n v="2"/>
    <s v="Poor(&lt;=2)"/>
    <n v="3"/>
    <s v="Short(&lt;=4)"/>
    <n v="2"/>
    <x v="0"/>
    <n v="0"/>
    <s v="Reasonable(&lt;=3)"/>
  </r>
  <r>
    <x v="20"/>
    <s v="Middle_Age(30-50)"/>
    <x v="1"/>
    <s v="Rarely"/>
    <s v="Human Resources"/>
    <n v="1"/>
    <s v="Nearby(&lt;=5)"/>
    <n v="3"/>
    <s v="Satisfied(&gt;=3)"/>
    <x v="0"/>
    <n v="3"/>
    <s v="Medium"/>
    <n v="1"/>
    <x v="0"/>
    <x v="8"/>
    <n v="4"/>
    <s v="Satisfied(&gt;=3)"/>
    <x v="2"/>
    <n v="4"/>
    <s v="Y"/>
    <x v="0"/>
    <n v="18"/>
    <x v="0"/>
    <n v="8"/>
    <n v="3"/>
    <s v="Good(&gt;=3)"/>
    <n v="2"/>
    <s v="Short(&lt;=4)"/>
    <n v="2"/>
    <x v="0"/>
    <n v="2"/>
    <s v="Reasonable(&lt;=3)"/>
  </r>
  <r>
    <x v="30"/>
    <s v="Young(&lt;=29)"/>
    <x v="0"/>
    <s v="Rarely"/>
    <s v="Research &amp; Development"/>
    <n v="8"/>
    <s v="Middistance(6-14)"/>
    <n v="4"/>
    <s v="Satisfied(&gt;=3)"/>
    <x v="1"/>
    <n v="2"/>
    <s v="Low"/>
    <n v="1"/>
    <x v="0"/>
    <x v="2"/>
    <n v="3"/>
    <s v="Satisfied(&gt;=3)"/>
    <x v="0"/>
    <n v="1"/>
    <s v="Y"/>
    <x v="0"/>
    <n v="11"/>
    <x v="0"/>
    <n v="5"/>
    <n v="3"/>
    <s v="Good(&gt;=3)"/>
    <n v="5"/>
    <s v="Long(5-10)"/>
    <n v="4"/>
    <x v="0"/>
    <n v="1"/>
    <s v="Reasonable(&lt;=3)"/>
  </r>
  <r>
    <x v="8"/>
    <s v="Middle_Age(30-50)"/>
    <x v="1"/>
    <s v="Rarely"/>
    <s v="Research &amp; Development"/>
    <n v="4"/>
    <s v="Nearby(&lt;=5)"/>
    <n v="4"/>
    <s v="Satisfied(&gt;=3)"/>
    <x v="0"/>
    <n v="3"/>
    <s v="Medium"/>
    <n v="1"/>
    <x v="0"/>
    <x v="2"/>
    <n v="3"/>
    <s v="Satisfied(&gt;=3)"/>
    <x v="1"/>
    <n v="7"/>
    <s v="Y"/>
    <x v="1"/>
    <n v="19"/>
    <x v="0"/>
    <n v="7"/>
    <n v="2"/>
    <s v="Poor(&lt;=2)"/>
    <n v="0"/>
    <s v="Short(&lt;=4)"/>
    <n v="0"/>
    <x v="0"/>
    <n v="0"/>
    <s v="Reasonable(&lt;=3)"/>
  </r>
  <r>
    <x v="16"/>
    <s v="Old(&gt;50)"/>
    <x v="1"/>
    <s v="Rarely"/>
    <s v="Research &amp; Development"/>
    <n v="24"/>
    <s v="Far(&gt;=15)"/>
    <n v="2"/>
    <s v="Not_Satisfied(&lt;3)"/>
    <x v="1"/>
    <n v="4"/>
    <s v="High"/>
    <n v="3"/>
    <x v="1"/>
    <x v="4"/>
    <n v="4"/>
    <s v="Satisfied(&gt;=3)"/>
    <x v="1"/>
    <n v="3"/>
    <s v="Y"/>
    <x v="1"/>
    <n v="15"/>
    <x v="0"/>
    <n v="11"/>
    <n v="3"/>
    <s v="Good(&gt;=3)"/>
    <n v="4"/>
    <s v="Short(&lt;=4)"/>
    <n v="3"/>
    <x v="0"/>
    <n v="1"/>
    <s v="Reasonable(&lt;=3)"/>
  </r>
  <r>
    <x v="26"/>
    <s v="Middle_Age(30-50)"/>
    <x v="0"/>
    <s v="Frequently"/>
    <s v="Sales"/>
    <n v="7"/>
    <s v="Middistance(6-14)"/>
    <n v="4"/>
    <s v="Satisfied(&gt;=3)"/>
    <x v="0"/>
    <n v="3"/>
    <s v="Medium"/>
    <n v="1"/>
    <x v="0"/>
    <x v="6"/>
    <n v="3"/>
    <s v="Satisfied(&gt;=3)"/>
    <x v="1"/>
    <n v="2"/>
    <s v="Y"/>
    <x v="0"/>
    <n v="11"/>
    <x v="0"/>
    <n v="19"/>
    <n v="3"/>
    <s v="Good(&gt;=3)"/>
    <n v="9"/>
    <s v="Long(5-10)"/>
    <n v="7"/>
    <x v="1"/>
    <n v="7"/>
    <s v="Not_Reasonable(&gt;3)"/>
  </r>
  <r>
    <x v="5"/>
    <s v="Middle_Age(30-50)"/>
    <x v="0"/>
    <s v="Rarely"/>
    <s v="Research &amp; Development"/>
    <n v="2"/>
    <s v="Nearby(&lt;=5)"/>
    <n v="4"/>
    <s v="Satisfied(&gt;=3)"/>
    <x v="1"/>
    <n v="3"/>
    <s v="Medium"/>
    <n v="1"/>
    <x v="0"/>
    <x v="2"/>
    <n v="2"/>
    <s v="Not_Satisfied(&lt;=2)"/>
    <x v="0"/>
    <n v="1"/>
    <s v="Y"/>
    <x v="1"/>
    <n v="12"/>
    <x v="0"/>
    <n v="1"/>
    <n v="3"/>
    <s v="Good(&gt;=3)"/>
    <n v="1"/>
    <s v="Short(&lt;=4)"/>
    <n v="0"/>
    <x v="0"/>
    <n v="0"/>
    <s v="Reasonable(&lt;=3)"/>
  </r>
  <r>
    <x v="25"/>
    <s v="Young(&lt;=29)"/>
    <x v="1"/>
    <s v="Rarely"/>
    <s v="Research &amp; Development"/>
    <n v="7"/>
    <s v="Middistance(6-14)"/>
    <n v="4"/>
    <s v="Satisfied(&gt;=3)"/>
    <x v="1"/>
    <n v="3"/>
    <s v="Medium"/>
    <n v="1"/>
    <x v="0"/>
    <x v="2"/>
    <n v="4"/>
    <s v="Satisfied(&gt;=3)"/>
    <x v="0"/>
    <n v="1"/>
    <s v="Y"/>
    <x v="1"/>
    <n v="20"/>
    <x v="1"/>
    <n v="7"/>
    <n v="3"/>
    <s v="Good(&gt;=3)"/>
    <n v="7"/>
    <s v="Long(5-10)"/>
    <n v="7"/>
    <x v="1"/>
    <n v="5"/>
    <s v="Not_Reasonable(&gt;3)"/>
  </r>
  <r>
    <x v="27"/>
    <s v="Old(&gt;50)"/>
    <x v="1"/>
    <s v="Rarely"/>
    <s v="Research &amp; Development"/>
    <n v="22"/>
    <s v="Far(&gt;=15)"/>
    <n v="1"/>
    <s v="Not_Satisfied(&lt;3)"/>
    <x v="1"/>
    <n v="2"/>
    <s v="Low"/>
    <n v="1"/>
    <x v="0"/>
    <x v="1"/>
    <n v="2"/>
    <s v="Not_Satisfied(&lt;=2)"/>
    <x v="2"/>
    <n v="5"/>
    <s v="Y"/>
    <x v="1"/>
    <n v="12"/>
    <x v="0"/>
    <n v="8"/>
    <n v="3"/>
    <s v="Good(&gt;=3)"/>
    <n v="4"/>
    <s v="Short(&lt;=4)"/>
    <n v="2"/>
    <x v="0"/>
    <n v="1"/>
    <s v="Reasonable(&lt;=3)"/>
  </r>
  <r>
    <x v="13"/>
    <s v="Middle_Age(30-50)"/>
    <x v="1"/>
    <s v="Rarely"/>
    <s v="Research &amp; Development"/>
    <n v="5"/>
    <s v="Nearby(&lt;=5)"/>
    <n v="2"/>
    <s v="Not_Satisfied(&lt;3)"/>
    <x v="1"/>
    <n v="2"/>
    <s v="Low"/>
    <n v="2"/>
    <x v="0"/>
    <x v="2"/>
    <n v="4"/>
    <s v="Satisfied(&gt;=3)"/>
    <x v="1"/>
    <n v="1"/>
    <s v="Y"/>
    <x v="1"/>
    <n v="14"/>
    <x v="0"/>
    <n v="15"/>
    <n v="4"/>
    <s v="Good(&gt;=3)"/>
    <n v="15"/>
    <s v="Ultra_Long(&gt;10)"/>
    <n v="10"/>
    <x v="1"/>
    <n v="4"/>
    <s v="Not_Reasonable(&gt;3)"/>
  </r>
  <r>
    <x v="42"/>
    <s v="Old(&gt;50)"/>
    <x v="1"/>
    <s v="Rarely"/>
    <s v="Research &amp; Development"/>
    <n v="1"/>
    <s v="Nearby(&lt;=5)"/>
    <n v="3"/>
    <s v="Satisfied(&gt;=3)"/>
    <x v="1"/>
    <n v="1"/>
    <s v="Low"/>
    <n v="3"/>
    <x v="1"/>
    <x v="4"/>
    <n v="4"/>
    <s v="Satisfied(&gt;=3)"/>
    <x v="2"/>
    <n v="3"/>
    <s v="Y"/>
    <x v="1"/>
    <n v="20"/>
    <x v="1"/>
    <n v="19"/>
    <n v="4"/>
    <s v="Good(&gt;=3)"/>
    <n v="1"/>
    <s v="Short(&lt;=4)"/>
    <n v="0"/>
    <x v="0"/>
    <n v="0"/>
    <s v="Reasonable(&lt;=3)"/>
  </r>
  <r>
    <x v="3"/>
    <s v="Middle_Age(30-50)"/>
    <x v="1"/>
    <s v="Rarely"/>
    <s v="Research &amp; Development"/>
    <n v="21"/>
    <s v="Far(&gt;=15)"/>
    <n v="2"/>
    <s v="Not_Satisfied(&lt;3)"/>
    <x v="1"/>
    <n v="4"/>
    <s v="High"/>
    <n v="1"/>
    <x v="0"/>
    <x v="2"/>
    <n v="2"/>
    <s v="Not_Satisfied(&lt;=2)"/>
    <x v="1"/>
    <n v="1"/>
    <s v="Y"/>
    <x v="1"/>
    <n v="18"/>
    <x v="0"/>
    <n v="14"/>
    <n v="3"/>
    <s v="Good(&gt;=3)"/>
    <n v="14"/>
    <s v="Ultra_Long(&gt;10)"/>
    <n v="11"/>
    <x v="2"/>
    <n v="2"/>
    <s v="Reasonable(&lt;=3)"/>
  </r>
  <r>
    <x v="2"/>
    <s v="Middle_Age(30-50)"/>
    <x v="1"/>
    <s v="Frequently"/>
    <s v="Sales"/>
    <n v="1"/>
    <s v="Nearby(&lt;=5)"/>
    <n v="3"/>
    <s v="Satisfied(&gt;=3)"/>
    <x v="1"/>
    <n v="1"/>
    <s v="Low"/>
    <n v="2"/>
    <x v="0"/>
    <x v="0"/>
    <n v="4"/>
    <s v="Satisfied(&gt;=3)"/>
    <x v="2"/>
    <n v="1"/>
    <s v="Y"/>
    <x v="1"/>
    <n v="14"/>
    <x v="0"/>
    <n v="6"/>
    <n v="2"/>
    <s v="Poor(&lt;=2)"/>
    <n v="6"/>
    <s v="Long(5-10)"/>
    <n v="3"/>
    <x v="0"/>
    <n v="1"/>
    <s v="Reasonable(&lt;=3)"/>
  </r>
  <r>
    <x v="13"/>
    <s v="Middle_Age(30-50)"/>
    <x v="1"/>
    <s v="Rarely"/>
    <s v="Research &amp; Development"/>
    <n v="19"/>
    <s v="Far(&gt;=15)"/>
    <n v="2"/>
    <s v="Not_Satisfied(&lt;3)"/>
    <x v="0"/>
    <n v="2"/>
    <s v="Low"/>
    <n v="1"/>
    <x v="0"/>
    <x v="1"/>
    <n v="4"/>
    <s v="Satisfied(&gt;=3)"/>
    <x v="1"/>
    <n v="1"/>
    <s v="Y"/>
    <x v="1"/>
    <n v="12"/>
    <x v="0"/>
    <n v="10"/>
    <n v="3"/>
    <s v="Good(&gt;=3)"/>
    <n v="10"/>
    <s v="Long(5-10)"/>
    <n v="9"/>
    <x v="1"/>
    <n v="8"/>
    <s v="Not_Reasonable(&gt;3)"/>
  </r>
  <r>
    <x v="30"/>
    <s v="Young(&lt;=29)"/>
    <x v="0"/>
    <s v="Rarely"/>
    <s v="Sales"/>
    <n v="7"/>
    <s v="Middistance(6-14)"/>
    <n v="3"/>
    <s v="Satisfied(&gt;=3)"/>
    <x v="1"/>
    <n v="3"/>
    <s v="Medium"/>
    <n v="1"/>
    <x v="0"/>
    <x v="6"/>
    <n v="4"/>
    <s v="Satisfied(&gt;=3)"/>
    <x v="2"/>
    <n v="1"/>
    <s v="Y"/>
    <x v="0"/>
    <n v="21"/>
    <x v="1"/>
    <n v="3"/>
    <n v="3"/>
    <s v="Good(&gt;=3)"/>
    <n v="3"/>
    <s v="Short(&lt;=4)"/>
    <n v="2"/>
    <x v="0"/>
    <n v="0"/>
    <s v="Reasonable(&lt;=3)"/>
  </r>
  <r>
    <x v="20"/>
    <s v="Middle_Age(30-50)"/>
    <x v="1"/>
    <s v="Rarely"/>
    <s v="Research &amp; Development"/>
    <n v="2"/>
    <s v="Nearby(&lt;=5)"/>
    <n v="3"/>
    <s v="Satisfied(&gt;=3)"/>
    <x v="0"/>
    <n v="4"/>
    <s v="High"/>
    <n v="3"/>
    <x v="1"/>
    <x v="4"/>
    <n v="4"/>
    <s v="Satisfied(&gt;=3)"/>
    <x v="1"/>
    <n v="1"/>
    <s v="Y"/>
    <x v="0"/>
    <n v="19"/>
    <x v="0"/>
    <n v="9"/>
    <n v="3"/>
    <s v="Good(&gt;=3)"/>
    <n v="8"/>
    <s v="Long(5-10)"/>
    <n v="7"/>
    <x v="1"/>
    <n v="6"/>
    <s v="Not_Reasonable(&gt;3)"/>
  </r>
  <r>
    <x v="10"/>
    <s v="Middle_Age(30-50)"/>
    <x v="1"/>
    <s v="Frequently"/>
    <s v="Research &amp; Development"/>
    <n v="2"/>
    <s v="Nearby(&lt;=5)"/>
    <n v="1"/>
    <s v="Not_Satisfied(&lt;3)"/>
    <x v="1"/>
    <n v="2"/>
    <s v="Low"/>
    <n v="1"/>
    <x v="0"/>
    <x v="1"/>
    <n v="4"/>
    <s v="Satisfied(&gt;=3)"/>
    <x v="0"/>
    <n v="0"/>
    <s v="Y"/>
    <x v="0"/>
    <n v="14"/>
    <x v="0"/>
    <n v="6"/>
    <n v="4"/>
    <s v="Good(&gt;=3)"/>
    <n v="5"/>
    <s v="Long(5-10)"/>
    <n v="4"/>
    <x v="0"/>
    <n v="1"/>
    <s v="Reasonable(&lt;=3)"/>
  </r>
  <r>
    <x v="23"/>
    <s v="Middle_Age(30-50)"/>
    <x v="1"/>
    <s v="Rarely"/>
    <s v="Sales"/>
    <n v="2"/>
    <s v="Nearby(&lt;=5)"/>
    <n v="4"/>
    <s v="Satisfied(&gt;=3)"/>
    <x v="1"/>
    <n v="3"/>
    <s v="Medium"/>
    <n v="2"/>
    <x v="0"/>
    <x v="0"/>
    <n v="4"/>
    <s v="Satisfied(&gt;=3)"/>
    <x v="1"/>
    <n v="1"/>
    <s v="Y"/>
    <x v="0"/>
    <n v="17"/>
    <x v="0"/>
    <n v="10"/>
    <n v="3"/>
    <s v="Good(&gt;=3)"/>
    <n v="10"/>
    <s v="Long(5-10)"/>
    <n v="9"/>
    <x v="1"/>
    <n v="8"/>
    <s v="Not_Reasonable(&gt;3)"/>
  </r>
  <r>
    <x v="17"/>
    <s v="Young(&lt;=29)"/>
    <x v="1"/>
    <s v="Rarely"/>
    <s v="Research &amp; Development"/>
    <n v="9"/>
    <s v="Middistance(6-14)"/>
    <n v="3"/>
    <s v="Satisfied(&gt;=3)"/>
    <x v="1"/>
    <n v="4"/>
    <s v="High"/>
    <n v="1"/>
    <x v="0"/>
    <x v="1"/>
    <n v="3"/>
    <s v="Satisfied(&gt;=3)"/>
    <x v="1"/>
    <n v="1"/>
    <s v="Y"/>
    <x v="1"/>
    <n v="16"/>
    <x v="0"/>
    <n v="5"/>
    <n v="3"/>
    <s v="Good(&gt;=3)"/>
    <n v="5"/>
    <s v="Long(5-10)"/>
    <n v="3"/>
    <x v="0"/>
    <n v="0"/>
    <s v="Reasonable(&lt;=3)"/>
  </r>
  <r>
    <x v="0"/>
    <s v="Middle_Age(30-50)"/>
    <x v="1"/>
    <s v="Rarely"/>
    <s v="Sales"/>
    <n v="6"/>
    <s v="Middistance(6-14)"/>
    <n v="4"/>
    <s v="Satisfied(&gt;=3)"/>
    <x v="1"/>
    <n v="3"/>
    <s v="Medium"/>
    <n v="3"/>
    <x v="1"/>
    <x v="0"/>
    <n v="3"/>
    <s v="Satisfied(&gt;=3)"/>
    <x v="0"/>
    <n v="1"/>
    <s v="Y"/>
    <x v="1"/>
    <n v="12"/>
    <x v="0"/>
    <n v="10"/>
    <n v="3"/>
    <s v="Good(&gt;=3)"/>
    <n v="10"/>
    <s v="Long(5-10)"/>
    <n v="8"/>
    <x v="1"/>
    <n v="8"/>
    <s v="Not_Reasonable(&gt;3)"/>
  </r>
  <r>
    <x v="11"/>
    <s v="Young(&lt;=29)"/>
    <x v="1"/>
    <s v="Rarely"/>
    <s v="Research &amp; Development"/>
    <n v="9"/>
    <s v="Middistance(6-14)"/>
    <n v="4"/>
    <s v="Satisfied(&gt;=3)"/>
    <x v="0"/>
    <n v="3"/>
    <s v="Medium"/>
    <n v="1"/>
    <x v="0"/>
    <x v="2"/>
    <n v="3"/>
    <s v="Satisfied(&gt;=3)"/>
    <x v="1"/>
    <n v="9"/>
    <s v="Y"/>
    <x v="1"/>
    <n v="17"/>
    <x v="0"/>
    <n v="9"/>
    <n v="3"/>
    <s v="Good(&gt;=3)"/>
    <n v="5"/>
    <s v="Long(5-10)"/>
    <n v="3"/>
    <x v="0"/>
    <n v="1"/>
    <s v="Reasonable(&lt;=3)"/>
  </r>
  <r>
    <x v="9"/>
    <s v="Middle_Age(30-50)"/>
    <x v="1"/>
    <s v="Rarely"/>
    <s v="Sales"/>
    <n v="2"/>
    <s v="Nearby(&lt;=5)"/>
    <n v="3"/>
    <s v="Satisfied(&gt;=3)"/>
    <x v="0"/>
    <n v="3"/>
    <s v="Medium"/>
    <n v="2"/>
    <x v="0"/>
    <x v="6"/>
    <n v="4"/>
    <s v="Satisfied(&gt;=3)"/>
    <x v="0"/>
    <n v="3"/>
    <s v="Y"/>
    <x v="1"/>
    <n v="15"/>
    <x v="0"/>
    <n v="17"/>
    <n v="2"/>
    <s v="Poor(&lt;=2)"/>
    <n v="13"/>
    <s v="Ultra_Long(&gt;10)"/>
    <n v="7"/>
    <x v="1"/>
    <n v="6"/>
    <s v="Not_Reasonable(&gt;3)"/>
  </r>
  <r>
    <x v="28"/>
    <s v="Middle_Age(30-50)"/>
    <x v="1"/>
    <s v="Rarely"/>
    <s v="Research &amp; Development"/>
    <n v="1"/>
    <s v="Nearby(&lt;=5)"/>
    <n v="3"/>
    <s v="Satisfied(&gt;=3)"/>
    <x v="1"/>
    <n v="2"/>
    <s v="Low"/>
    <n v="3"/>
    <x v="1"/>
    <x v="4"/>
    <n v="3"/>
    <s v="Satisfied(&gt;=3)"/>
    <x v="1"/>
    <n v="3"/>
    <s v="Y"/>
    <x v="1"/>
    <n v="23"/>
    <x v="1"/>
    <n v="25"/>
    <n v="2"/>
    <s v="Poor(&lt;=2)"/>
    <n v="23"/>
    <s v="Ultra_Long(&gt;10)"/>
    <n v="15"/>
    <x v="2"/>
    <n v="14"/>
    <s v="Not_Reasonable(&gt;3)"/>
  </r>
  <r>
    <x v="17"/>
    <s v="Young(&lt;=29)"/>
    <x v="0"/>
    <s v="Rarely"/>
    <s v="Human Resources"/>
    <n v="22"/>
    <s v="Far(&gt;=15)"/>
    <n v="4"/>
    <s v="Satisfied(&gt;=3)"/>
    <x v="1"/>
    <n v="1"/>
    <s v="Low"/>
    <n v="1"/>
    <x v="0"/>
    <x v="8"/>
    <n v="3"/>
    <s v="Satisfied(&gt;=3)"/>
    <x v="1"/>
    <n v="1"/>
    <s v="Y"/>
    <x v="1"/>
    <n v="11"/>
    <x v="0"/>
    <n v="1"/>
    <n v="3"/>
    <s v="Good(&gt;=3)"/>
    <n v="1"/>
    <s v="Short(&lt;=4)"/>
    <n v="0"/>
    <x v="0"/>
    <n v="0"/>
    <s v="Reasonable(&lt;=3)"/>
  </r>
  <r>
    <x v="40"/>
    <s v="Middle_Age(30-50)"/>
    <x v="0"/>
    <s v="Frequently"/>
    <s v="Sales"/>
    <n v="9"/>
    <s v="Middistance(6-14)"/>
    <n v="3"/>
    <s v="Satisfied(&gt;=3)"/>
    <x v="1"/>
    <n v="1"/>
    <s v="Low"/>
    <n v="4"/>
    <x v="2"/>
    <x v="0"/>
    <n v="3"/>
    <s v="Satisfied(&gt;=3)"/>
    <x v="1"/>
    <n v="7"/>
    <s v="Y"/>
    <x v="1"/>
    <n v="11"/>
    <x v="0"/>
    <n v="25"/>
    <n v="1"/>
    <s v="Poor(&lt;=2)"/>
    <n v="23"/>
    <s v="Ultra_Long(&gt;10)"/>
    <n v="5"/>
    <x v="1"/>
    <n v="14"/>
    <s v="Not_Reasonable(&gt;3)"/>
  </r>
  <r>
    <x v="25"/>
    <s v="Young(&lt;=29)"/>
    <x v="1"/>
    <s v="Rarely"/>
    <s v="Research &amp; Development"/>
    <n v="17"/>
    <s v="Far(&gt;=15)"/>
    <n v="4"/>
    <s v="Satisfied(&gt;=3)"/>
    <x v="1"/>
    <n v="1"/>
    <s v="Low"/>
    <n v="1"/>
    <x v="0"/>
    <x v="2"/>
    <n v="3"/>
    <s v="Satisfied(&gt;=3)"/>
    <x v="1"/>
    <n v="1"/>
    <s v="Y"/>
    <x v="1"/>
    <n v="15"/>
    <x v="0"/>
    <n v="3"/>
    <n v="4"/>
    <s v="Good(&gt;=3)"/>
    <n v="3"/>
    <s v="Short(&lt;=4)"/>
    <n v="2"/>
    <x v="0"/>
    <n v="0"/>
    <s v="Reasonable(&lt;=3)"/>
  </r>
  <r>
    <x v="28"/>
    <s v="Middle_Age(30-50)"/>
    <x v="1"/>
    <s v="Rarely"/>
    <s v="Research &amp; Development"/>
    <n v="28"/>
    <s v="Far(&gt;=15)"/>
    <n v="4"/>
    <s v="Satisfied(&gt;=3)"/>
    <x v="0"/>
    <n v="2"/>
    <s v="Low"/>
    <n v="4"/>
    <x v="2"/>
    <x v="7"/>
    <n v="2"/>
    <s v="Not_Satisfied(&lt;=2)"/>
    <x v="0"/>
    <n v="1"/>
    <s v="Y"/>
    <x v="1"/>
    <n v="11"/>
    <x v="0"/>
    <n v="21"/>
    <n v="3"/>
    <s v="Good(&gt;=3)"/>
    <n v="21"/>
    <s v="Ultra_Long(&gt;10)"/>
    <n v="6"/>
    <x v="1"/>
    <n v="8"/>
    <s v="Not_Reasonable(&gt;3)"/>
  </r>
  <r>
    <x v="5"/>
    <s v="Middle_Age(30-50)"/>
    <x v="1"/>
    <s v="Frequently"/>
    <s v="Research &amp; Development"/>
    <n v="10"/>
    <s v="Middistance(6-14)"/>
    <n v="1"/>
    <s v="Not_Satisfied(&lt;3)"/>
    <x v="1"/>
    <n v="3"/>
    <s v="Medium"/>
    <n v="1"/>
    <x v="0"/>
    <x v="1"/>
    <n v="3"/>
    <s v="Satisfied(&gt;=3)"/>
    <x v="1"/>
    <n v="6"/>
    <s v="Y"/>
    <x v="1"/>
    <n v="13"/>
    <x v="0"/>
    <n v="10"/>
    <n v="2"/>
    <s v="Poor(&lt;=2)"/>
    <n v="5"/>
    <s v="Long(5-10)"/>
    <n v="2"/>
    <x v="0"/>
    <n v="1"/>
    <s v="Reasonable(&lt;=3)"/>
  </r>
  <r>
    <x v="12"/>
    <s v="Middle_Age(30-50)"/>
    <x v="1"/>
    <s v="Rarely"/>
    <s v="Research &amp; Development"/>
    <n v="2"/>
    <s v="Nearby(&lt;=5)"/>
    <n v="2"/>
    <s v="Not_Satisfied(&lt;3)"/>
    <x v="1"/>
    <n v="3"/>
    <s v="Medium"/>
    <n v="1"/>
    <x v="0"/>
    <x v="2"/>
    <n v="3"/>
    <s v="Satisfied(&gt;=3)"/>
    <x v="1"/>
    <n v="1"/>
    <s v="Y"/>
    <x v="1"/>
    <n v="14"/>
    <x v="0"/>
    <n v="6"/>
    <n v="4"/>
    <s v="Good(&gt;=3)"/>
    <n v="5"/>
    <s v="Long(5-10)"/>
    <n v="2"/>
    <x v="0"/>
    <n v="0"/>
    <s v="Reasonable(&lt;=3)"/>
  </r>
  <r>
    <x v="0"/>
    <s v="Middle_Age(30-50)"/>
    <x v="1"/>
    <s v="Rarely"/>
    <s v="Human Resources"/>
    <n v="4"/>
    <s v="Nearby(&lt;=5)"/>
    <n v="3"/>
    <s v="Satisfied(&gt;=3)"/>
    <x v="1"/>
    <n v="1"/>
    <s v="Low"/>
    <n v="2"/>
    <x v="0"/>
    <x v="8"/>
    <n v="2"/>
    <s v="Not_Satisfied(&lt;=2)"/>
    <x v="1"/>
    <n v="6"/>
    <s v="Y"/>
    <x v="1"/>
    <n v="19"/>
    <x v="0"/>
    <n v="10"/>
    <n v="3"/>
    <s v="Good(&gt;=3)"/>
    <n v="3"/>
    <s v="Short(&lt;=4)"/>
    <n v="2"/>
    <x v="0"/>
    <n v="1"/>
    <s v="Reasonable(&lt;=3)"/>
  </r>
  <r>
    <x v="32"/>
    <s v="Middle_Age(30-50)"/>
    <x v="1"/>
    <s v="Rarely"/>
    <s v="Research &amp; Development"/>
    <n v="8"/>
    <s v="Middistance(6-14)"/>
    <n v="2"/>
    <s v="Not_Satisfied(&lt;3)"/>
    <x v="0"/>
    <n v="3"/>
    <s v="Medium"/>
    <n v="2"/>
    <x v="0"/>
    <x v="3"/>
    <n v="1"/>
    <s v="Not_Satisfied(&lt;=2)"/>
    <x v="1"/>
    <n v="2"/>
    <s v="Y"/>
    <x v="0"/>
    <n v="16"/>
    <x v="0"/>
    <n v="18"/>
    <n v="3"/>
    <s v="Good(&gt;=3)"/>
    <n v="1"/>
    <s v="Short(&lt;=4)"/>
    <n v="0"/>
    <x v="0"/>
    <n v="0"/>
    <s v="Reasonable(&lt;=3)"/>
  </r>
  <r>
    <x v="17"/>
    <s v="Young(&lt;=29)"/>
    <x v="1"/>
    <s v="Rarely"/>
    <s v="Research &amp; Development"/>
    <n v="29"/>
    <s v="Far(&gt;=15)"/>
    <n v="2"/>
    <s v="Not_Satisfied(&lt;3)"/>
    <x v="1"/>
    <n v="3"/>
    <s v="Medium"/>
    <n v="1"/>
    <x v="0"/>
    <x v="2"/>
    <n v="1"/>
    <s v="Not_Satisfied(&lt;=2)"/>
    <x v="2"/>
    <n v="1"/>
    <s v="Y"/>
    <x v="1"/>
    <n v="13"/>
    <x v="0"/>
    <n v="6"/>
    <n v="4"/>
    <s v="Good(&gt;=3)"/>
    <n v="6"/>
    <s v="Long(5-10)"/>
    <n v="2"/>
    <x v="0"/>
    <n v="1"/>
    <s v="Reasonable(&lt;=3)"/>
  </r>
  <r>
    <x v="21"/>
    <s v="Middle_Age(30-50)"/>
    <x v="1"/>
    <s v="Rarely"/>
    <s v="Research &amp; Development"/>
    <n v="13"/>
    <s v="Middistance(6-14)"/>
    <n v="3"/>
    <s v="Satisfied(&gt;=3)"/>
    <x v="1"/>
    <n v="3"/>
    <s v="Medium"/>
    <n v="2"/>
    <x v="0"/>
    <x v="4"/>
    <n v="2"/>
    <s v="Not_Satisfied(&lt;=2)"/>
    <x v="0"/>
    <n v="6"/>
    <s v="Y"/>
    <x v="1"/>
    <n v="14"/>
    <x v="0"/>
    <n v="19"/>
    <n v="3"/>
    <s v="Good(&gt;=3)"/>
    <n v="10"/>
    <s v="Long(5-10)"/>
    <n v="7"/>
    <x v="1"/>
    <n v="0"/>
    <s v="Reasonable(&lt;=3)"/>
  </r>
  <r>
    <x v="10"/>
    <s v="Middle_Age(30-50)"/>
    <x v="1"/>
    <s v="Rarely"/>
    <s v="Research &amp; Development"/>
    <n v="27"/>
    <s v="Far(&gt;=15)"/>
    <n v="4"/>
    <s v="Satisfied(&gt;=3)"/>
    <x v="1"/>
    <n v="3"/>
    <s v="Medium"/>
    <n v="2"/>
    <x v="0"/>
    <x v="3"/>
    <n v="3"/>
    <s v="Satisfied(&gt;=3)"/>
    <x v="1"/>
    <n v="2"/>
    <s v="Y"/>
    <x v="1"/>
    <n v="16"/>
    <x v="0"/>
    <n v="17"/>
    <n v="3"/>
    <s v="Good(&gt;=3)"/>
    <n v="7"/>
    <s v="Long(5-10)"/>
    <n v="7"/>
    <x v="1"/>
    <n v="0"/>
    <s v="Reasonable(&lt;=3)"/>
  </r>
  <r>
    <x v="7"/>
    <s v="Middle_Age(30-50)"/>
    <x v="1"/>
    <s v="Rarely"/>
    <s v="Research &amp; Development"/>
    <n v="16"/>
    <s v="Far(&gt;=15)"/>
    <n v="2"/>
    <s v="Not_Satisfied(&lt;3)"/>
    <x v="1"/>
    <n v="3"/>
    <s v="Medium"/>
    <n v="1"/>
    <x v="0"/>
    <x v="1"/>
    <n v="4"/>
    <s v="Satisfied(&gt;=3)"/>
    <x v="1"/>
    <n v="1"/>
    <s v="Y"/>
    <x v="1"/>
    <n v="12"/>
    <x v="0"/>
    <n v="10"/>
    <n v="2"/>
    <s v="Poor(&lt;=2)"/>
    <n v="10"/>
    <s v="Long(5-10)"/>
    <n v="0"/>
    <x v="0"/>
    <n v="0"/>
    <s v="Reasonable(&lt;=3)"/>
  </r>
  <r>
    <x v="40"/>
    <s v="Middle_Age(30-50)"/>
    <x v="1"/>
    <s v="Rarely"/>
    <s v="Sales"/>
    <n v="2"/>
    <s v="Nearby(&lt;=5)"/>
    <n v="3"/>
    <s v="Satisfied(&gt;=3)"/>
    <x v="1"/>
    <n v="3"/>
    <s v="Medium"/>
    <n v="2"/>
    <x v="0"/>
    <x v="0"/>
    <n v="2"/>
    <s v="Not_Satisfied(&lt;=2)"/>
    <x v="1"/>
    <n v="7"/>
    <s v="Y"/>
    <x v="1"/>
    <n v="11"/>
    <x v="0"/>
    <n v="4"/>
    <n v="1"/>
    <s v="Poor(&lt;=2)"/>
    <n v="1"/>
    <s v="Short(&lt;=4)"/>
    <n v="0"/>
    <x v="0"/>
    <n v="0"/>
    <s v="Reasonable(&lt;=3)"/>
  </r>
  <r>
    <x v="21"/>
    <s v="Middle_Age(30-50)"/>
    <x v="1"/>
    <s v="Rarely"/>
    <s v="Sales"/>
    <n v="2"/>
    <s v="Nearby(&lt;=5)"/>
    <n v="3"/>
    <s v="Satisfied(&gt;=3)"/>
    <x v="1"/>
    <n v="3"/>
    <s v="Medium"/>
    <n v="3"/>
    <x v="1"/>
    <x v="0"/>
    <n v="4"/>
    <s v="Satisfied(&gt;=3)"/>
    <x v="2"/>
    <n v="4"/>
    <s v="Y"/>
    <x v="0"/>
    <n v="12"/>
    <x v="0"/>
    <n v="13"/>
    <n v="2"/>
    <s v="Poor(&lt;=2)"/>
    <n v="10"/>
    <s v="Long(5-10)"/>
    <n v="6"/>
    <x v="1"/>
    <n v="0"/>
    <s v="Reasonable(&lt;=3)"/>
  </r>
  <r>
    <x v="9"/>
    <s v="Middle_Age(30-50)"/>
    <x v="0"/>
    <s v="Rarely"/>
    <s v="Sales"/>
    <n v="13"/>
    <s v="Middistance(6-14)"/>
    <n v="2"/>
    <s v="Not_Satisfied(&lt;3)"/>
    <x v="1"/>
    <n v="2"/>
    <s v="Low"/>
    <n v="2"/>
    <x v="0"/>
    <x v="0"/>
    <n v="1"/>
    <s v="Not_Satisfied(&lt;=2)"/>
    <x v="2"/>
    <n v="5"/>
    <s v="Y"/>
    <x v="0"/>
    <n v="13"/>
    <x v="0"/>
    <n v="16"/>
    <n v="3"/>
    <s v="Good(&gt;=3)"/>
    <n v="2"/>
    <s v="Short(&lt;=4)"/>
    <n v="2"/>
    <x v="0"/>
    <n v="2"/>
    <s v="Reasonable(&lt;=3)"/>
  </r>
  <r>
    <x v="5"/>
    <s v="Middle_Age(30-50)"/>
    <x v="0"/>
    <s v="Rarely"/>
    <s v="Sales"/>
    <n v="1"/>
    <s v="Nearby(&lt;=5)"/>
    <n v="1"/>
    <s v="Not_Satisfied(&lt;3)"/>
    <x v="1"/>
    <n v="1"/>
    <s v="Low"/>
    <n v="2"/>
    <x v="0"/>
    <x v="0"/>
    <n v="2"/>
    <s v="Not_Satisfied(&lt;=2)"/>
    <x v="0"/>
    <n v="6"/>
    <s v="Y"/>
    <x v="1"/>
    <n v="15"/>
    <x v="0"/>
    <n v="10"/>
    <n v="3"/>
    <s v="Good(&gt;=3)"/>
    <n v="0"/>
    <s v="Short(&lt;=4)"/>
    <n v="0"/>
    <x v="0"/>
    <n v="0"/>
    <s v="Reasonable(&lt;=3)"/>
  </r>
  <r>
    <x v="30"/>
    <s v="Young(&lt;=29)"/>
    <x v="1"/>
    <s v="Rarely"/>
    <s v="Research &amp; Development"/>
    <n v="4"/>
    <s v="Nearby(&lt;=5)"/>
    <n v="3"/>
    <s v="Satisfied(&gt;=3)"/>
    <x v="0"/>
    <n v="3"/>
    <s v="Medium"/>
    <n v="1"/>
    <x v="0"/>
    <x v="2"/>
    <n v="2"/>
    <s v="Not_Satisfied(&lt;=2)"/>
    <x v="0"/>
    <n v="1"/>
    <s v="Y"/>
    <x v="1"/>
    <n v="13"/>
    <x v="0"/>
    <n v="3"/>
    <n v="1"/>
    <s v="Poor(&lt;=2)"/>
    <n v="3"/>
    <s v="Short(&lt;=4)"/>
    <n v="2"/>
    <x v="0"/>
    <n v="1"/>
    <s v="Reasonable(&lt;=3)"/>
  </r>
  <r>
    <x v="12"/>
    <s v="Middle_Age(30-50)"/>
    <x v="1"/>
    <s v="Frequently"/>
    <s v="Research &amp; Development"/>
    <n v="24"/>
    <s v="Far(&gt;=15)"/>
    <n v="4"/>
    <s v="Satisfied(&gt;=3)"/>
    <x v="0"/>
    <n v="3"/>
    <s v="Medium"/>
    <n v="2"/>
    <x v="0"/>
    <x v="3"/>
    <n v="4"/>
    <s v="Satisfied(&gt;=3)"/>
    <x v="0"/>
    <n v="2"/>
    <s v="Y"/>
    <x v="1"/>
    <n v="20"/>
    <x v="1"/>
    <n v="9"/>
    <n v="2"/>
    <s v="Poor(&lt;=2)"/>
    <n v="5"/>
    <s v="Long(5-10)"/>
    <n v="4"/>
    <x v="0"/>
    <n v="1"/>
    <s v="Reasonable(&lt;=3)"/>
  </r>
  <r>
    <x v="22"/>
    <s v="Middle_Age(30-50)"/>
    <x v="1"/>
    <s v="Rarely"/>
    <s v="Research &amp; Development"/>
    <n v="1"/>
    <s v="Nearby(&lt;=5)"/>
    <n v="4"/>
    <s v="Satisfied(&gt;=3)"/>
    <x v="1"/>
    <n v="3"/>
    <s v="Medium"/>
    <n v="2"/>
    <x v="0"/>
    <x v="2"/>
    <n v="4"/>
    <s v="Satisfied(&gt;=3)"/>
    <x v="1"/>
    <n v="1"/>
    <s v="Y"/>
    <x v="0"/>
    <n v="15"/>
    <x v="0"/>
    <n v="9"/>
    <n v="3"/>
    <s v="Good(&gt;=3)"/>
    <n v="9"/>
    <s v="Long(5-10)"/>
    <n v="8"/>
    <x v="1"/>
    <n v="5"/>
    <s v="Not_Reasonable(&gt;3)"/>
  </r>
  <r>
    <x v="5"/>
    <s v="Middle_Age(30-50)"/>
    <x v="1"/>
    <s v="Rarely"/>
    <s v="Sales"/>
    <n v="19"/>
    <s v="Far(&gt;=15)"/>
    <n v="4"/>
    <s v="Satisfied(&gt;=3)"/>
    <x v="1"/>
    <n v="1"/>
    <s v="Low"/>
    <n v="3"/>
    <x v="1"/>
    <x v="0"/>
    <n v="3"/>
    <s v="Satisfied(&gt;=3)"/>
    <x v="1"/>
    <n v="3"/>
    <s v="Y"/>
    <x v="1"/>
    <n v="13"/>
    <x v="0"/>
    <n v="10"/>
    <n v="1"/>
    <s v="Poor(&lt;=2)"/>
    <n v="4"/>
    <s v="Short(&lt;=4)"/>
    <n v="3"/>
    <x v="0"/>
    <n v="0"/>
    <s v="Reasonable(&lt;=3)"/>
  </r>
  <r>
    <x v="32"/>
    <s v="Middle_Age(30-50)"/>
    <x v="1"/>
    <s v="Rarely"/>
    <s v="Sales"/>
    <n v="7"/>
    <s v="Middistance(6-14)"/>
    <n v="2"/>
    <s v="Not_Satisfied(&lt;3)"/>
    <x v="1"/>
    <n v="3"/>
    <s v="Medium"/>
    <n v="5"/>
    <x v="2"/>
    <x v="5"/>
    <n v="2"/>
    <s v="Not_Satisfied(&lt;=2)"/>
    <x v="0"/>
    <n v="1"/>
    <s v="Y"/>
    <x v="1"/>
    <n v="14"/>
    <x v="0"/>
    <n v="21"/>
    <n v="2"/>
    <s v="Poor(&lt;=2)"/>
    <n v="21"/>
    <s v="Ultra_Long(&gt;10)"/>
    <n v="8"/>
    <x v="1"/>
    <n v="12"/>
    <s v="Not_Reasonable(&gt;3)"/>
  </r>
  <r>
    <x v="28"/>
    <s v="Middle_Age(30-50)"/>
    <x v="1"/>
    <s v="Rarely"/>
    <s v="Human Resources"/>
    <n v="4"/>
    <s v="Nearby(&lt;=5)"/>
    <n v="3"/>
    <s v="Satisfied(&gt;=3)"/>
    <x v="0"/>
    <n v="1"/>
    <s v="Low"/>
    <n v="3"/>
    <x v="1"/>
    <x v="8"/>
    <n v="3"/>
    <s v="Satisfied(&gt;=3)"/>
    <x v="1"/>
    <n v="4"/>
    <s v="Y"/>
    <x v="1"/>
    <n v="21"/>
    <x v="1"/>
    <n v="9"/>
    <n v="4"/>
    <s v="Good(&gt;=3)"/>
    <n v="5"/>
    <s v="Long(5-10)"/>
    <n v="0"/>
    <x v="0"/>
    <n v="0"/>
    <s v="Reasonable(&lt;=3)"/>
  </r>
  <r>
    <x v="7"/>
    <s v="Middle_Age(30-50)"/>
    <x v="1"/>
    <s v="Frequently"/>
    <s v="Research &amp; Development"/>
    <n v="2"/>
    <s v="Nearby(&lt;=5)"/>
    <n v="4"/>
    <s v="Satisfied(&gt;=3)"/>
    <x v="0"/>
    <n v="2"/>
    <s v="Low"/>
    <n v="1"/>
    <x v="0"/>
    <x v="1"/>
    <n v="1"/>
    <s v="Not_Satisfied(&lt;=2)"/>
    <x v="0"/>
    <n v="0"/>
    <s v="Y"/>
    <x v="1"/>
    <n v="16"/>
    <x v="0"/>
    <n v="10"/>
    <n v="3"/>
    <s v="Good(&gt;=3)"/>
    <n v="9"/>
    <s v="Long(5-10)"/>
    <n v="7"/>
    <x v="1"/>
    <n v="0"/>
    <s v="Reasonable(&lt;=3)"/>
  </r>
  <r>
    <x v="17"/>
    <s v="Young(&lt;=29)"/>
    <x v="1"/>
    <s v="Frequently"/>
    <s v="Human Resources"/>
    <n v="10"/>
    <s v="Middistance(6-14)"/>
    <n v="1"/>
    <s v="Not_Satisfied(&lt;3)"/>
    <x v="1"/>
    <n v="3"/>
    <s v="Medium"/>
    <n v="1"/>
    <x v="0"/>
    <x v="8"/>
    <n v="4"/>
    <s v="Satisfied(&gt;=3)"/>
    <x v="1"/>
    <n v="0"/>
    <s v="Y"/>
    <x v="1"/>
    <n v="14"/>
    <x v="0"/>
    <n v="3"/>
    <n v="3"/>
    <s v="Good(&gt;=3)"/>
    <n v="2"/>
    <s v="Short(&lt;=4)"/>
    <n v="2"/>
    <x v="0"/>
    <n v="2"/>
    <s v="Reasonable(&lt;=3)"/>
  </r>
  <r>
    <x v="7"/>
    <s v="Middle_Age(30-50)"/>
    <x v="0"/>
    <s v="Frequently"/>
    <s v="Human Resources"/>
    <n v="8"/>
    <s v="Middistance(6-14)"/>
    <n v="3"/>
    <s v="Satisfied(&gt;=3)"/>
    <x v="0"/>
    <n v="2"/>
    <s v="Low"/>
    <n v="1"/>
    <x v="0"/>
    <x v="8"/>
    <n v="4"/>
    <s v="Satisfied(&gt;=3)"/>
    <x v="2"/>
    <n v="6"/>
    <s v="Y"/>
    <x v="1"/>
    <n v="11"/>
    <x v="0"/>
    <n v="6"/>
    <n v="2"/>
    <s v="Poor(&lt;=2)"/>
    <n v="4"/>
    <s v="Short(&lt;=4)"/>
    <n v="2"/>
    <x v="0"/>
    <n v="1"/>
    <s v="Reasonable(&lt;=3)"/>
  </r>
  <r>
    <x v="12"/>
    <s v="Middle_Age(30-50)"/>
    <x v="1"/>
    <s v="Rarely"/>
    <s v="Sales"/>
    <n v="5"/>
    <s v="Nearby(&lt;=5)"/>
    <n v="1"/>
    <s v="Not_Satisfied(&lt;3)"/>
    <x v="1"/>
    <n v="3"/>
    <s v="Medium"/>
    <n v="2"/>
    <x v="0"/>
    <x v="0"/>
    <n v="3"/>
    <s v="Satisfied(&gt;=3)"/>
    <x v="1"/>
    <n v="1"/>
    <s v="Y"/>
    <x v="1"/>
    <n v="19"/>
    <x v="0"/>
    <n v="6"/>
    <n v="3"/>
    <s v="Good(&gt;=3)"/>
    <n v="5"/>
    <s v="Long(5-10)"/>
    <n v="2"/>
    <x v="0"/>
    <n v="0"/>
    <s v="Reasonable(&lt;=3)"/>
  </r>
  <r>
    <x v="4"/>
    <s v="Young(&lt;=29)"/>
    <x v="1"/>
    <s v="Rarely"/>
    <s v="Research &amp; Development"/>
    <n v="8"/>
    <s v="Middistance(6-14)"/>
    <n v="3"/>
    <s v="Satisfied(&gt;=3)"/>
    <x v="0"/>
    <n v="3"/>
    <s v="Medium"/>
    <n v="1"/>
    <x v="0"/>
    <x v="1"/>
    <n v="4"/>
    <s v="Satisfied(&gt;=3)"/>
    <x v="0"/>
    <n v="1"/>
    <s v="Y"/>
    <x v="1"/>
    <n v="11"/>
    <x v="0"/>
    <n v="6"/>
    <n v="2"/>
    <s v="Poor(&lt;=2)"/>
    <n v="6"/>
    <s v="Long(5-10)"/>
    <n v="2"/>
    <x v="0"/>
    <n v="1"/>
    <s v="Reasonable(&lt;=3)"/>
  </r>
  <r>
    <x v="11"/>
    <s v="Young(&lt;=29)"/>
    <x v="0"/>
    <s v="Rarely"/>
    <s v="Sales"/>
    <n v="9"/>
    <s v="Middistance(6-14)"/>
    <n v="2"/>
    <s v="Not_Satisfied(&lt;3)"/>
    <x v="0"/>
    <n v="1"/>
    <s v="Low"/>
    <n v="1"/>
    <x v="0"/>
    <x v="6"/>
    <n v="2"/>
    <s v="Not_Satisfied(&lt;=2)"/>
    <x v="0"/>
    <n v="1"/>
    <s v="Y"/>
    <x v="1"/>
    <n v="13"/>
    <x v="0"/>
    <n v="2"/>
    <n v="3"/>
    <s v="Good(&gt;=3)"/>
    <n v="2"/>
    <s v="Short(&lt;=4)"/>
    <n v="2"/>
    <x v="0"/>
    <n v="2"/>
    <s v="Reasonable(&lt;=3)"/>
  </r>
  <r>
    <x v="11"/>
    <s v="Young(&lt;=29)"/>
    <x v="1"/>
    <s v="Frequently"/>
    <s v="Research &amp; Development"/>
    <n v="1"/>
    <s v="Nearby(&lt;=5)"/>
    <n v="4"/>
    <s v="Satisfied(&gt;=3)"/>
    <x v="1"/>
    <n v="4"/>
    <s v="High"/>
    <n v="2"/>
    <x v="0"/>
    <x v="4"/>
    <n v="3"/>
    <s v="Satisfied(&gt;=3)"/>
    <x v="0"/>
    <n v="8"/>
    <s v="Y"/>
    <x v="0"/>
    <n v="12"/>
    <x v="0"/>
    <n v="10"/>
    <n v="4"/>
    <s v="Good(&gt;=3)"/>
    <n v="3"/>
    <s v="Short(&lt;=4)"/>
    <n v="2"/>
    <x v="0"/>
    <n v="0"/>
    <s v="Reasonable(&lt;=3)"/>
  </r>
  <r>
    <x v="7"/>
    <s v="Middle_Age(30-50)"/>
    <x v="1"/>
    <s v="Rarely"/>
    <s v="Sales"/>
    <n v="15"/>
    <s v="Far(&gt;=15)"/>
    <n v="3"/>
    <s v="Satisfied(&gt;=3)"/>
    <x v="1"/>
    <n v="2"/>
    <s v="Low"/>
    <n v="3"/>
    <x v="1"/>
    <x v="0"/>
    <n v="1"/>
    <s v="Not_Satisfied(&lt;=2)"/>
    <x v="2"/>
    <n v="2"/>
    <s v="Y"/>
    <x v="1"/>
    <n v="11"/>
    <x v="0"/>
    <n v="12"/>
    <n v="3"/>
    <s v="Good(&gt;=3)"/>
    <n v="7"/>
    <s v="Long(5-10)"/>
    <n v="7"/>
    <x v="1"/>
    <n v="1"/>
    <s v="Reasonable(&lt;=3)"/>
  </r>
  <r>
    <x v="13"/>
    <s v="Middle_Age(30-50)"/>
    <x v="1"/>
    <s v="Rarely"/>
    <s v="Research &amp; Development"/>
    <n v="2"/>
    <s v="Nearby(&lt;=5)"/>
    <n v="4"/>
    <s v="Satisfied(&gt;=3)"/>
    <x v="1"/>
    <n v="4"/>
    <s v="High"/>
    <n v="1"/>
    <x v="0"/>
    <x v="1"/>
    <n v="4"/>
    <s v="Satisfied(&gt;=3)"/>
    <x v="1"/>
    <n v="0"/>
    <s v="Y"/>
    <x v="0"/>
    <n v="14"/>
    <x v="0"/>
    <n v="6"/>
    <n v="3"/>
    <s v="Good(&gt;=3)"/>
    <n v="5"/>
    <s v="Long(5-10)"/>
    <n v="0"/>
    <x v="0"/>
    <n v="1"/>
    <s v="Reasonable(&lt;=3)"/>
  </r>
  <r>
    <x v="3"/>
    <s v="Middle_Age(30-50)"/>
    <x v="1"/>
    <s v="Rarely"/>
    <s v="Sales"/>
    <n v="2"/>
    <s v="Nearby(&lt;=5)"/>
    <n v="4"/>
    <s v="Satisfied(&gt;=3)"/>
    <x v="0"/>
    <n v="3"/>
    <s v="Medium"/>
    <n v="2"/>
    <x v="0"/>
    <x v="0"/>
    <n v="2"/>
    <s v="Not_Satisfied(&lt;=2)"/>
    <x v="0"/>
    <n v="8"/>
    <s v="Y"/>
    <x v="1"/>
    <n v="15"/>
    <x v="0"/>
    <n v="13"/>
    <n v="2"/>
    <s v="Poor(&lt;=2)"/>
    <n v="11"/>
    <s v="Ultra_Long(&gt;10)"/>
    <n v="7"/>
    <x v="1"/>
    <n v="1"/>
    <s v="Reasonable(&lt;=3)"/>
  </r>
  <r>
    <x v="1"/>
    <s v="Middle_Age(30-50)"/>
    <x v="1"/>
    <s v="Rarely"/>
    <s v="Sales"/>
    <n v="11"/>
    <s v="Middistance(6-14)"/>
    <n v="4"/>
    <s v="Satisfied(&gt;=3)"/>
    <x v="0"/>
    <n v="3"/>
    <s v="Medium"/>
    <n v="2"/>
    <x v="0"/>
    <x v="0"/>
    <n v="4"/>
    <s v="Satisfied(&gt;=3)"/>
    <x v="0"/>
    <n v="3"/>
    <s v="Y"/>
    <x v="1"/>
    <n v="12"/>
    <x v="0"/>
    <n v="8"/>
    <n v="4"/>
    <s v="Good(&gt;=3)"/>
    <n v="5"/>
    <s v="Long(5-10)"/>
    <n v="1"/>
    <x v="0"/>
    <n v="0"/>
    <s v="Reasonable(&lt;=3)"/>
  </r>
  <r>
    <x v="3"/>
    <s v="Middle_Age(30-50)"/>
    <x v="0"/>
    <s v="Rarely"/>
    <s v="Sales"/>
    <n v="16"/>
    <s v="Far(&gt;=15)"/>
    <n v="1"/>
    <s v="Not_Satisfied(&lt;3)"/>
    <x v="0"/>
    <n v="3"/>
    <s v="Medium"/>
    <n v="3"/>
    <x v="1"/>
    <x v="0"/>
    <n v="1"/>
    <s v="Not_Satisfied(&lt;=2)"/>
    <x v="0"/>
    <n v="2"/>
    <s v="Y"/>
    <x v="0"/>
    <n v="20"/>
    <x v="1"/>
    <n v="11"/>
    <n v="2"/>
    <s v="Poor(&lt;=2)"/>
    <n v="0"/>
    <s v="Short(&lt;=4)"/>
    <n v="0"/>
    <x v="0"/>
    <n v="0"/>
    <s v="Reasonable(&lt;=3)"/>
  </r>
  <r>
    <x v="8"/>
    <s v="Middle_Age(30-50)"/>
    <x v="1"/>
    <s v="Frequently"/>
    <s v="Research &amp; Development"/>
    <n v="2"/>
    <s v="Nearby(&lt;=5)"/>
    <n v="3"/>
    <s v="Satisfied(&gt;=3)"/>
    <x v="0"/>
    <n v="2"/>
    <s v="Low"/>
    <n v="1"/>
    <x v="0"/>
    <x v="2"/>
    <n v="2"/>
    <s v="Not_Satisfied(&lt;=2)"/>
    <x v="1"/>
    <n v="4"/>
    <s v="Y"/>
    <x v="1"/>
    <n v="14"/>
    <x v="0"/>
    <n v="9"/>
    <n v="2"/>
    <s v="Poor(&lt;=2)"/>
    <n v="6"/>
    <s v="Long(5-10)"/>
    <n v="1"/>
    <x v="0"/>
    <n v="0"/>
    <s v="Reasonable(&lt;=3)"/>
  </r>
  <r>
    <x v="12"/>
    <s v="Middle_Age(30-50)"/>
    <x v="0"/>
    <s v="Rarely"/>
    <s v="Sales"/>
    <n v="16"/>
    <s v="Far(&gt;=15)"/>
    <n v="1"/>
    <s v="Not_Satisfied(&lt;3)"/>
    <x v="1"/>
    <n v="3"/>
    <s v="Medium"/>
    <n v="3"/>
    <x v="1"/>
    <x v="0"/>
    <n v="3"/>
    <s v="Satisfied(&gt;=3)"/>
    <x v="1"/>
    <n v="2"/>
    <s v="Y"/>
    <x v="1"/>
    <n v="13"/>
    <x v="0"/>
    <n v="10"/>
    <n v="3"/>
    <s v="Good(&gt;=3)"/>
    <n v="1"/>
    <s v="Short(&lt;=4)"/>
    <n v="0"/>
    <x v="0"/>
    <n v="0"/>
    <s v="Reasonable(&lt;=3)"/>
  </r>
  <r>
    <x v="11"/>
    <s v="Young(&lt;=29)"/>
    <x v="1"/>
    <s v="Rarely"/>
    <s v="Research &amp; Development"/>
    <n v="4"/>
    <s v="Nearby(&lt;=5)"/>
    <n v="4"/>
    <s v="Satisfied(&gt;=3)"/>
    <x v="0"/>
    <n v="2"/>
    <s v="Low"/>
    <n v="1"/>
    <x v="0"/>
    <x v="1"/>
    <n v="1"/>
    <s v="Not_Satisfied(&lt;=2)"/>
    <x v="2"/>
    <n v="1"/>
    <s v="Y"/>
    <x v="1"/>
    <n v="13"/>
    <x v="0"/>
    <n v="1"/>
    <n v="3"/>
    <s v="Good(&gt;=3)"/>
    <n v="1"/>
    <s v="Short(&lt;=4)"/>
    <n v="0"/>
    <x v="0"/>
    <n v="0"/>
    <s v="Reasonable(&lt;=3)"/>
  </r>
  <r>
    <x v="7"/>
    <s v="Middle_Age(30-50)"/>
    <x v="1"/>
    <s v="Rarely"/>
    <s v="Research &amp; Development"/>
    <n v="16"/>
    <s v="Far(&gt;=15)"/>
    <n v="3"/>
    <s v="Satisfied(&gt;=3)"/>
    <x v="1"/>
    <n v="4"/>
    <s v="High"/>
    <n v="2"/>
    <x v="0"/>
    <x v="4"/>
    <n v="3"/>
    <s v="Satisfied(&gt;=3)"/>
    <x v="1"/>
    <n v="3"/>
    <s v="Y"/>
    <x v="1"/>
    <n v="16"/>
    <x v="0"/>
    <n v="10"/>
    <n v="3"/>
    <s v="Good(&gt;=3)"/>
    <n v="7"/>
    <s v="Long(5-10)"/>
    <n v="0"/>
    <x v="0"/>
    <n v="1"/>
    <s v="Reasonable(&lt;=3)"/>
  </r>
  <r>
    <x v="5"/>
    <s v="Middle_Age(30-50)"/>
    <x v="1"/>
    <s v="Rarely"/>
    <s v="Research &amp; Development"/>
    <n v="5"/>
    <s v="Nearby(&lt;=5)"/>
    <n v="2"/>
    <s v="Not_Satisfied(&lt;3)"/>
    <x v="1"/>
    <n v="3"/>
    <s v="Medium"/>
    <n v="1"/>
    <x v="0"/>
    <x v="1"/>
    <n v="2"/>
    <s v="Not_Satisfied(&lt;=2)"/>
    <x v="0"/>
    <n v="2"/>
    <s v="Y"/>
    <x v="1"/>
    <n v="14"/>
    <x v="0"/>
    <n v="12"/>
    <n v="3"/>
    <s v="Good(&gt;=3)"/>
    <n v="7"/>
    <s v="Long(5-10)"/>
    <n v="7"/>
    <x v="1"/>
    <n v="0"/>
    <s v="Reasonable(&lt;=3)"/>
  </r>
  <r>
    <x v="8"/>
    <s v="Middle_Age(30-50)"/>
    <x v="1"/>
    <s v="Rarely"/>
    <s v="Research &amp; Development"/>
    <n v="18"/>
    <s v="Far(&gt;=15)"/>
    <n v="2"/>
    <s v="Not_Satisfied(&lt;3)"/>
    <x v="1"/>
    <n v="1"/>
    <s v="Low"/>
    <n v="2"/>
    <x v="0"/>
    <x v="4"/>
    <n v="4"/>
    <s v="Satisfied(&gt;=3)"/>
    <x v="1"/>
    <n v="3"/>
    <s v="Y"/>
    <x v="0"/>
    <n v="16"/>
    <x v="0"/>
    <n v="15"/>
    <n v="3"/>
    <s v="Good(&gt;=3)"/>
    <n v="1"/>
    <s v="Short(&lt;=4)"/>
    <n v="0"/>
    <x v="0"/>
    <n v="1"/>
    <s v="Reasonable(&lt;=3)"/>
  </r>
  <r>
    <x v="23"/>
    <s v="Middle_Age(30-50)"/>
    <x v="0"/>
    <s v="Frequently"/>
    <s v="Research &amp; Development"/>
    <n v="17"/>
    <s v="Far(&gt;=15)"/>
    <n v="3"/>
    <s v="Satisfied(&gt;=3)"/>
    <x v="1"/>
    <n v="2"/>
    <s v="Low"/>
    <n v="1"/>
    <x v="0"/>
    <x v="1"/>
    <n v="3"/>
    <s v="Satisfied(&gt;=3)"/>
    <x v="1"/>
    <n v="9"/>
    <s v="Y"/>
    <x v="0"/>
    <n v="16"/>
    <x v="0"/>
    <n v="6"/>
    <n v="3"/>
    <s v="Good(&gt;=3)"/>
    <n v="1"/>
    <s v="Short(&lt;=4)"/>
    <n v="0"/>
    <x v="0"/>
    <n v="0"/>
    <s v="Reasonable(&lt;=3)"/>
  </r>
  <r>
    <x v="19"/>
    <s v="Middle_Age(30-50)"/>
    <x v="1"/>
    <s v="Rarely"/>
    <s v="Research &amp; Development"/>
    <n v="12"/>
    <s v="Middistance(6-14)"/>
    <n v="2"/>
    <s v="Not_Satisfied(&lt;3)"/>
    <x v="1"/>
    <n v="3"/>
    <s v="Medium"/>
    <n v="1"/>
    <x v="0"/>
    <x v="2"/>
    <n v="2"/>
    <s v="Not_Satisfied(&lt;=2)"/>
    <x v="2"/>
    <n v="8"/>
    <s v="Y"/>
    <x v="1"/>
    <n v="22"/>
    <x v="1"/>
    <n v="7"/>
    <n v="2"/>
    <s v="Poor(&lt;=2)"/>
    <n v="5"/>
    <s v="Long(5-10)"/>
    <n v="3"/>
    <x v="0"/>
    <n v="0"/>
    <s v="Reasonable(&lt;=3)"/>
  </r>
  <r>
    <x v="27"/>
    <s v="Old(&gt;50)"/>
    <x v="1"/>
    <s v="Rarely"/>
    <s v="Research &amp; Development"/>
    <n v="2"/>
    <s v="Nearby(&lt;=5)"/>
    <n v="3"/>
    <s v="Satisfied(&gt;=3)"/>
    <x v="1"/>
    <n v="2"/>
    <s v="Low"/>
    <n v="5"/>
    <x v="2"/>
    <x v="7"/>
    <n v="1"/>
    <s v="Not_Satisfied(&lt;=2)"/>
    <x v="1"/>
    <n v="8"/>
    <s v="Y"/>
    <x v="1"/>
    <n v="12"/>
    <x v="0"/>
    <n v="34"/>
    <n v="3"/>
    <s v="Good(&gt;=3)"/>
    <n v="1"/>
    <s v="Short(&lt;=4)"/>
    <n v="0"/>
    <x v="0"/>
    <n v="0"/>
    <s v="Reasonable(&lt;=3)"/>
  </r>
  <r>
    <x v="3"/>
    <s v="Middle_Age(30-50)"/>
    <x v="1"/>
    <s v="Rarely"/>
    <s v="Research &amp; Development"/>
    <n v="4"/>
    <s v="Nearby(&lt;=5)"/>
    <n v="4"/>
    <s v="Satisfied(&gt;=3)"/>
    <x v="1"/>
    <n v="3"/>
    <s v="Medium"/>
    <n v="2"/>
    <x v="0"/>
    <x v="1"/>
    <n v="2"/>
    <s v="Not_Satisfied(&lt;=2)"/>
    <x v="2"/>
    <n v="5"/>
    <s v="Y"/>
    <x v="1"/>
    <n v="15"/>
    <x v="0"/>
    <n v="11"/>
    <n v="2"/>
    <s v="Poor(&lt;=2)"/>
    <n v="9"/>
    <s v="Long(5-10)"/>
    <n v="8"/>
    <x v="1"/>
    <n v="1"/>
    <s v="Reasonable(&lt;=3)"/>
  </r>
  <r>
    <x v="0"/>
    <s v="Middle_Age(30-50)"/>
    <x v="1"/>
    <s v="Rarely"/>
    <s v="Research &amp; Development"/>
    <n v="9"/>
    <s v="Middistance(6-14)"/>
    <n v="3"/>
    <s v="Satisfied(&gt;=3)"/>
    <x v="1"/>
    <n v="3"/>
    <s v="Medium"/>
    <n v="1"/>
    <x v="0"/>
    <x v="2"/>
    <n v="1"/>
    <s v="Not_Satisfied(&lt;=2)"/>
    <x v="2"/>
    <n v="1"/>
    <s v="Y"/>
    <x v="1"/>
    <n v="20"/>
    <x v="1"/>
    <n v="5"/>
    <n v="3"/>
    <s v="Good(&gt;=3)"/>
    <n v="5"/>
    <s v="Long(5-10)"/>
    <n v="3"/>
    <x v="0"/>
    <n v="0"/>
    <s v="Reasonable(&lt;=3)"/>
  </r>
  <r>
    <x v="13"/>
    <s v="Middle_Age(30-50)"/>
    <x v="1"/>
    <s v="Rarely"/>
    <s v="Sales"/>
    <n v="10"/>
    <s v="Middistance(6-14)"/>
    <n v="4"/>
    <s v="Satisfied(&gt;=3)"/>
    <x v="1"/>
    <n v="3"/>
    <s v="Medium"/>
    <n v="2"/>
    <x v="0"/>
    <x v="0"/>
    <n v="3"/>
    <s v="Satisfied(&gt;=3)"/>
    <x v="2"/>
    <n v="1"/>
    <s v="Y"/>
    <x v="0"/>
    <n v="14"/>
    <x v="0"/>
    <n v="15"/>
    <n v="3"/>
    <s v="Good(&gt;=3)"/>
    <n v="15"/>
    <s v="Ultra_Long(&gt;10)"/>
    <n v="14"/>
    <x v="2"/>
    <n v="0"/>
    <s v="Reasonable(&lt;=3)"/>
  </r>
  <r>
    <x v="16"/>
    <s v="Old(&gt;50)"/>
    <x v="1"/>
    <s v="Rarely"/>
    <s v="Research &amp; Development"/>
    <n v="1"/>
    <s v="Nearby(&lt;=5)"/>
    <n v="1"/>
    <s v="Not_Satisfied(&lt;3)"/>
    <x v="0"/>
    <n v="2"/>
    <s v="Low"/>
    <n v="4"/>
    <x v="2"/>
    <x v="3"/>
    <n v="3"/>
    <s v="Satisfied(&gt;=3)"/>
    <x v="1"/>
    <n v="4"/>
    <s v="Y"/>
    <x v="0"/>
    <n v="20"/>
    <x v="1"/>
    <n v="27"/>
    <n v="2"/>
    <s v="Poor(&lt;=2)"/>
    <n v="3"/>
    <s v="Short(&lt;=4)"/>
    <n v="2"/>
    <x v="0"/>
    <n v="0"/>
    <s v="Reasonable(&lt;=3)"/>
  </r>
  <r>
    <x v="23"/>
    <s v="Middle_Age(30-50)"/>
    <x v="1"/>
    <s v="Rarely"/>
    <s v="Human Resources"/>
    <n v="2"/>
    <s v="Nearby(&lt;=5)"/>
    <n v="2"/>
    <s v="Not_Satisfied(&lt;3)"/>
    <x v="1"/>
    <n v="3"/>
    <s v="Medium"/>
    <n v="1"/>
    <x v="0"/>
    <x v="8"/>
    <n v="4"/>
    <s v="Satisfied(&gt;=3)"/>
    <x v="0"/>
    <n v="0"/>
    <s v="Y"/>
    <x v="1"/>
    <n v="13"/>
    <x v="0"/>
    <n v="10"/>
    <n v="3"/>
    <s v="Good(&gt;=3)"/>
    <n v="9"/>
    <s v="Long(5-10)"/>
    <n v="7"/>
    <x v="1"/>
    <n v="1"/>
    <s v="Reasonable(&lt;=3)"/>
  </r>
  <r>
    <x v="13"/>
    <s v="Middle_Age(30-50)"/>
    <x v="1"/>
    <s v="Rarely"/>
    <s v="Sales"/>
    <n v="3"/>
    <s v="Nearby(&lt;=5)"/>
    <n v="4"/>
    <s v="Satisfied(&gt;=3)"/>
    <x v="0"/>
    <n v="1"/>
    <s v="Low"/>
    <n v="2"/>
    <x v="0"/>
    <x v="0"/>
    <n v="4"/>
    <s v="Satisfied(&gt;=3)"/>
    <x v="0"/>
    <n v="5"/>
    <s v="Y"/>
    <x v="1"/>
    <n v="12"/>
    <x v="0"/>
    <n v="6"/>
    <n v="3"/>
    <s v="Good(&gt;=3)"/>
    <n v="2"/>
    <s v="Short(&lt;=4)"/>
    <n v="2"/>
    <x v="0"/>
    <n v="2"/>
    <s v="Reasonable(&lt;=3)"/>
  </r>
  <r>
    <x v="18"/>
    <s v="Young(&lt;=29)"/>
    <x v="0"/>
    <s v="Rarely"/>
    <s v="Sales"/>
    <n v="7"/>
    <s v="Middistance(6-14)"/>
    <n v="2"/>
    <s v="Not_Satisfied(&lt;3)"/>
    <x v="1"/>
    <n v="3"/>
    <s v="Medium"/>
    <n v="1"/>
    <x v="0"/>
    <x v="6"/>
    <n v="2"/>
    <s v="Not_Satisfied(&lt;=2)"/>
    <x v="0"/>
    <n v="1"/>
    <s v="Y"/>
    <x v="1"/>
    <n v="13"/>
    <x v="0"/>
    <n v="1"/>
    <n v="3"/>
    <s v="Good(&gt;=3)"/>
    <n v="1"/>
    <s v="Short(&lt;=4)"/>
    <n v="0"/>
    <x v="0"/>
    <n v="1"/>
    <s v="Reasonable(&lt;=3)"/>
  </r>
  <r>
    <x v="8"/>
    <s v="Middle_Age(30-50)"/>
    <x v="1"/>
    <s v="Rarely"/>
    <s v="Research &amp; Development"/>
    <n v="6"/>
    <s v="Middistance(6-14)"/>
    <n v="4"/>
    <s v="Satisfied(&gt;=3)"/>
    <x v="0"/>
    <n v="2"/>
    <s v="Low"/>
    <n v="1"/>
    <x v="0"/>
    <x v="2"/>
    <n v="3"/>
    <s v="Satisfied(&gt;=3)"/>
    <x v="1"/>
    <n v="1"/>
    <s v="Y"/>
    <x v="1"/>
    <n v="11"/>
    <x v="0"/>
    <n v="5"/>
    <n v="3"/>
    <s v="Good(&gt;=3)"/>
    <n v="5"/>
    <s v="Long(5-10)"/>
    <n v="4"/>
    <x v="0"/>
    <n v="0"/>
    <s v="Reasonable(&lt;=3)"/>
  </r>
  <r>
    <x v="15"/>
    <s v="Young(&lt;=29)"/>
    <x v="0"/>
    <s v="Rarely"/>
    <s v="Research &amp; Development"/>
    <n v="8"/>
    <s v="Middistance(6-14)"/>
    <n v="3"/>
    <s v="Satisfied(&gt;=3)"/>
    <x v="0"/>
    <n v="3"/>
    <s v="Medium"/>
    <n v="1"/>
    <x v="0"/>
    <x v="2"/>
    <n v="1"/>
    <s v="Not_Satisfied(&lt;=2)"/>
    <x v="1"/>
    <n v="1"/>
    <s v="Y"/>
    <x v="0"/>
    <n v="17"/>
    <x v="0"/>
    <n v="1"/>
    <n v="3"/>
    <s v="Good(&gt;=3)"/>
    <n v="1"/>
    <s v="Short(&lt;=4)"/>
    <n v="0"/>
    <x v="0"/>
    <n v="0"/>
    <s v="Reasonable(&lt;=3)"/>
  </r>
  <r>
    <x v="12"/>
    <s v="Middle_Age(30-50)"/>
    <x v="1"/>
    <s v="Rarely"/>
    <s v="Sales"/>
    <n v="29"/>
    <s v="Far(&gt;=15)"/>
    <n v="1"/>
    <s v="Not_Satisfied(&lt;3)"/>
    <x v="0"/>
    <n v="2"/>
    <s v="Low"/>
    <n v="2"/>
    <x v="0"/>
    <x v="0"/>
    <n v="4"/>
    <s v="Satisfied(&gt;=3)"/>
    <x v="1"/>
    <n v="1"/>
    <s v="Y"/>
    <x v="1"/>
    <n v="14"/>
    <x v="0"/>
    <n v="13"/>
    <n v="3"/>
    <s v="Good(&gt;=3)"/>
    <n v="12"/>
    <s v="Ultra_Long(&gt;10)"/>
    <n v="7"/>
    <x v="1"/>
    <n v="5"/>
    <s v="Not_Reasonable(&gt;3)"/>
  </r>
  <r>
    <x v="31"/>
    <s v="Old(&gt;50)"/>
    <x v="1"/>
    <s v="Rarely"/>
    <s v="Research &amp; Development"/>
    <n v="3"/>
    <s v="Nearby(&lt;=5)"/>
    <n v="1"/>
    <s v="Not_Satisfied(&lt;3)"/>
    <x v="0"/>
    <n v="3"/>
    <s v="Medium"/>
    <n v="3"/>
    <x v="1"/>
    <x v="5"/>
    <n v="3"/>
    <s v="Satisfied(&gt;=3)"/>
    <x v="1"/>
    <n v="2"/>
    <s v="Y"/>
    <x v="1"/>
    <n v="11"/>
    <x v="0"/>
    <n v="15"/>
    <n v="3"/>
    <s v="Good(&gt;=3)"/>
    <n v="2"/>
    <s v="Short(&lt;=4)"/>
    <n v="2"/>
    <x v="0"/>
    <n v="2"/>
    <s v="Reasonable(&lt;=3)"/>
  </r>
  <r>
    <x v="2"/>
    <s v="Middle_Age(30-50)"/>
    <x v="1"/>
    <s v="Rarely"/>
    <s v="Sales"/>
    <n v="9"/>
    <s v="Middistance(6-14)"/>
    <n v="2"/>
    <s v="Not_Satisfied(&lt;3)"/>
    <x v="1"/>
    <n v="2"/>
    <s v="Low"/>
    <n v="2"/>
    <x v="0"/>
    <x v="0"/>
    <n v="2"/>
    <s v="Not_Satisfied(&lt;=2)"/>
    <x v="1"/>
    <n v="1"/>
    <s v="Y"/>
    <x v="1"/>
    <n v="14"/>
    <x v="0"/>
    <n v="5"/>
    <n v="3"/>
    <s v="Good(&gt;=3)"/>
    <n v="5"/>
    <s v="Long(5-10)"/>
    <n v="2"/>
    <x v="0"/>
    <n v="0"/>
    <s v="Reasonable(&lt;=3)"/>
  </r>
  <r>
    <x v="21"/>
    <s v="Middle_Age(30-50)"/>
    <x v="1"/>
    <s v="Rarely"/>
    <s v="Research &amp; Development"/>
    <n v="2"/>
    <s v="Nearby(&lt;=5)"/>
    <n v="3"/>
    <s v="Satisfied(&gt;=3)"/>
    <x v="1"/>
    <n v="3"/>
    <s v="Medium"/>
    <n v="5"/>
    <x v="2"/>
    <x v="7"/>
    <n v="4"/>
    <s v="Satisfied(&gt;=3)"/>
    <x v="2"/>
    <n v="7"/>
    <s v="Y"/>
    <x v="0"/>
    <n v="17"/>
    <x v="0"/>
    <n v="24"/>
    <n v="3"/>
    <s v="Good(&gt;=3)"/>
    <n v="2"/>
    <s v="Short(&lt;=4)"/>
    <n v="1"/>
    <x v="0"/>
    <n v="2"/>
    <s v="Reasonable(&lt;=3)"/>
  </r>
  <r>
    <x v="9"/>
    <s v="Middle_Age(30-50)"/>
    <x v="1"/>
    <s v="Rarely"/>
    <s v="Research &amp; Development"/>
    <n v="10"/>
    <s v="Middistance(6-14)"/>
    <n v="4"/>
    <s v="Satisfied(&gt;=3)"/>
    <x v="1"/>
    <n v="3"/>
    <s v="Medium"/>
    <n v="3"/>
    <x v="1"/>
    <x v="4"/>
    <n v="1"/>
    <s v="Not_Satisfied(&lt;=2)"/>
    <x v="1"/>
    <n v="7"/>
    <s v="Y"/>
    <x v="0"/>
    <n v="13"/>
    <x v="0"/>
    <n v="15"/>
    <n v="3"/>
    <s v="Good(&gt;=3)"/>
    <n v="12"/>
    <s v="Ultra_Long(&gt;10)"/>
    <n v="8"/>
    <x v="1"/>
    <n v="5"/>
    <s v="Not_Reasonable(&gt;3)"/>
  </r>
  <r>
    <x v="20"/>
    <s v="Middle_Age(30-50)"/>
    <x v="0"/>
    <s v="Frequently"/>
    <s v="Research &amp; Development"/>
    <n v="1"/>
    <s v="Nearby(&lt;=5)"/>
    <n v="3"/>
    <s v="Satisfied(&gt;=3)"/>
    <x v="1"/>
    <n v="3"/>
    <s v="Medium"/>
    <n v="1"/>
    <x v="0"/>
    <x v="1"/>
    <n v="2"/>
    <s v="Not_Satisfied(&lt;=2)"/>
    <x v="2"/>
    <n v="1"/>
    <s v="Y"/>
    <x v="0"/>
    <n v="12"/>
    <x v="0"/>
    <n v="6"/>
    <n v="2"/>
    <s v="Poor(&lt;=2)"/>
    <n v="5"/>
    <s v="Long(5-10)"/>
    <n v="3"/>
    <x v="0"/>
    <n v="2"/>
    <s v="Reasonable(&lt;=3)"/>
  </r>
  <r>
    <x v="2"/>
    <s v="Middle_Age(30-50)"/>
    <x v="1"/>
    <s v="Rarely"/>
    <s v="Human Resources"/>
    <n v="8"/>
    <s v="Middistance(6-14)"/>
    <n v="3"/>
    <s v="Satisfied(&gt;=3)"/>
    <x v="1"/>
    <n v="3"/>
    <s v="Medium"/>
    <n v="2"/>
    <x v="0"/>
    <x v="8"/>
    <n v="2"/>
    <s v="Not_Satisfied(&lt;=2)"/>
    <x v="2"/>
    <n v="2"/>
    <s v="Y"/>
    <x v="1"/>
    <n v="13"/>
    <x v="0"/>
    <n v="19"/>
    <n v="2"/>
    <s v="Poor(&lt;=2)"/>
    <n v="10"/>
    <s v="Long(5-10)"/>
    <n v="0"/>
    <x v="0"/>
    <n v="4"/>
    <s v="Not_Reasonable(&gt;3)"/>
  </r>
  <r>
    <x v="10"/>
    <s v="Middle_Age(30-50)"/>
    <x v="0"/>
    <s v="Rarely"/>
    <s v="Sales"/>
    <n v="27"/>
    <s v="Far(&gt;=15)"/>
    <n v="3"/>
    <s v="Satisfied(&gt;=3)"/>
    <x v="1"/>
    <n v="3"/>
    <s v="Medium"/>
    <n v="2"/>
    <x v="0"/>
    <x v="0"/>
    <n v="4"/>
    <s v="Satisfied(&gt;=3)"/>
    <x v="0"/>
    <n v="1"/>
    <s v="Y"/>
    <x v="0"/>
    <n v="18"/>
    <x v="0"/>
    <n v="10"/>
    <n v="3"/>
    <s v="Good(&gt;=3)"/>
    <n v="10"/>
    <s v="Long(5-10)"/>
    <n v="7"/>
    <x v="1"/>
    <n v="7"/>
    <s v="Not_Reasonable(&gt;3)"/>
  </r>
  <r>
    <x v="3"/>
    <s v="Middle_Age(30-50)"/>
    <x v="1"/>
    <s v="Rarely"/>
    <s v="Research &amp; Development"/>
    <n v="8"/>
    <s v="Middistance(6-14)"/>
    <n v="4"/>
    <s v="Satisfied(&gt;=3)"/>
    <x v="1"/>
    <n v="4"/>
    <s v="High"/>
    <n v="1"/>
    <x v="0"/>
    <x v="1"/>
    <n v="1"/>
    <s v="Not_Satisfied(&lt;=2)"/>
    <x v="1"/>
    <n v="6"/>
    <s v="Y"/>
    <x v="1"/>
    <n v="19"/>
    <x v="0"/>
    <n v="14"/>
    <n v="3"/>
    <s v="Good(&gt;=3)"/>
    <n v="10"/>
    <s v="Long(5-10)"/>
    <n v="8"/>
    <x v="1"/>
    <n v="7"/>
    <s v="Not_Reasonable(&gt;3)"/>
  </r>
  <r>
    <x v="14"/>
    <s v="Young(&lt;=29)"/>
    <x v="1"/>
    <s v="Rarely"/>
    <s v="Research &amp; Development"/>
    <n v="1"/>
    <s v="Nearby(&lt;=5)"/>
    <n v="3"/>
    <s v="Satisfied(&gt;=3)"/>
    <x v="1"/>
    <n v="3"/>
    <s v="Medium"/>
    <n v="1"/>
    <x v="0"/>
    <x v="1"/>
    <n v="4"/>
    <s v="Satisfied(&gt;=3)"/>
    <x v="1"/>
    <n v="1"/>
    <s v="Y"/>
    <x v="1"/>
    <n v="11"/>
    <x v="0"/>
    <n v="5"/>
    <n v="4"/>
    <s v="Good(&gt;=3)"/>
    <n v="5"/>
    <s v="Long(5-10)"/>
    <n v="3"/>
    <x v="0"/>
    <n v="0"/>
    <s v="Reasonable(&lt;=3)"/>
  </r>
  <r>
    <x v="22"/>
    <s v="Middle_Age(30-50)"/>
    <x v="1"/>
    <s v="Rarely"/>
    <s v="Research &amp; Development"/>
    <n v="10"/>
    <s v="Middistance(6-14)"/>
    <n v="3"/>
    <s v="Satisfied(&gt;=3)"/>
    <x v="1"/>
    <n v="3"/>
    <s v="Medium"/>
    <n v="3"/>
    <x v="1"/>
    <x v="7"/>
    <n v="3"/>
    <s v="Satisfied(&gt;=3)"/>
    <x v="0"/>
    <n v="7"/>
    <s v="Y"/>
    <x v="1"/>
    <n v="21"/>
    <x v="1"/>
    <n v="9"/>
    <n v="3"/>
    <s v="Good(&gt;=3)"/>
    <n v="4"/>
    <s v="Short(&lt;=4)"/>
    <n v="3"/>
    <x v="0"/>
    <n v="2"/>
    <s v="Reasonable(&lt;=3)"/>
  </r>
  <r>
    <x v="21"/>
    <s v="Middle_Age(30-50)"/>
    <x v="1"/>
    <s v="Rarely"/>
    <s v="Sales"/>
    <n v="26"/>
    <s v="Far(&gt;=15)"/>
    <n v="2"/>
    <s v="Not_Satisfied(&lt;3)"/>
    <x v="1"/>
    <n v="2"/>
    <s v="Low"/>
    <n v="2"/>
    <x v="0"/>
    <x v="0"/>
    <n v="2"/>
    <s v="Not_Satisfied(&lt;=2)"/>
    <x v="0"/>
    <n v="8"/>
    <s v="Y"/>
    <x v="1"/>
    <n v="15"/>
    <x v="0"/>
    <n v="6"/>
    <n v="3"/>
    <s v="Good(&gt;=3)"/>
    <n v="2"/>
    <s v="Short(&lt;=4)"/>
    <n v="2"/>
    <x v="0"/>
    <n v="2"/>
    <s v="Reasonable(&lt;=3)"/>
  </r>
  <r>
    <x v="32"/>
    <s v="Middle_Age(30-50)"/>
    <x v="1"/>
    <s v="Rarely"/>
    <s v="Research &amp; Development"/>
    <n v="2"/>
    <s v="Nearby(&lt;=5)"/>
    <n v="3"/>
    <s v="Satisfied(&gt;=3)"/>
    <x v="0"/>
    <n v="3"/>
    <s v="Medium"/>
    <n v="1"/>
    <x v="0"/>
    <x v="2"/>
    <n v="1"/>
    <s v="Not_Satisfied(&lt;=2)"/>
    <x v="1"/>
    <n v="4"/>
    <s v="Y"/>
    <x v="1"/>
    <n v="17"/>
    <x v="0"/>
    <n v="7"/>
    <n v="2"/>
    <s v="Poor(&lt;=2)"/>
    <n v="4"/>
    <s v="Short(&lt;=4)"/>
    <n v="3"/>
    <x v="0"/>
    <n v="0"/>
    <s v="Reasonable(&lt;=3)"/>
  </r>
  <r>
    <x v="19"/>
    <s v="Middle_Age(30-50)"/>
    <x v="1"/>
    <s v="Rarely"/>
    <s v="Research &amp; Development"/>
    <n v="13"/>
    <s v="Middistance(6-14)"/>
    <n v="2"/>
    <s v="Not_Satisfied(&lt;3)"/>
    <x v="1"/>
    <n v="4"/>
    <s v="High"/>
    <n v="2"/>
    <x v="0"/>
    <x v="4"/>
    <n v="1"/>
    <s v="Not_Satisfied(&lt;=2)"/>
    <x v="1"/>
    <n v="5"/>
    <s v="Y"/>
    <x v="1"/>
    <n v="18"/>
    <x v="0"/>
    <n v="10"/>
    <n v="2"/>
    <s v="Poor(&lt;=2)"/>
    <n v="0"/>
    <s v="Short(&lt;=4)"/>
    <n v="0"/>
    <x v="0"/>
    <n v="0"/>
    <s v="Reasonable(&lt;=3)"/>
  </r>
  <r>
    <x v="10"/>
    <s v="Middle_Age(30-50)"/>
    <x v="1"/>
    <s v="Rarely"/>
    <s v="Research &amp; Development"/>
    <n v="2"/>
    <s v="Nearby(&lt;=5)"/>
    <n v="2"/>
    <s v="Not_Satisfied(&lt;3)"/>
    <x v="1"/>
    <n v="3"/>
    <s v="Medium"/>
    <n v="2"/>
    <x v="0"/>
    <x v="3"/>
    <n v="4"/>
    <s v="Satisfied(&gt;=3)"/>
    <x v="2"/>
    <n v="2"/>
    <s v="Y"/>
    <x v="1"/>
    <n v="14"/>
    <x v="0"/>
    <n v="15"/>
    <n v="3"/>
    <s v="Good(&gt;=3)"/>
    <n v="7"/>
    <s v="Long(5-10)"/>
    <n v="7"/>
    <x v="1"/>
    <n v="1"/>
    <s v="Reasonable(&lt;=3)"/>
  </r>
  <r>
    <x v="8"/>
    <s v="Middle_Age(30-50)"/>
    <x v="1"/>
    <s v="Rarely"/>
    <s v="Human Resources"/>
    <n v="2"/>
    <s v="Nearby(&lt;=5)"/>
    <n v="1"/>
    <s v="Not_Satisfied(&lt;3)"/>
    <x v="1"/>
    <n v="3"/>
    <s v="Medium"/>
    <n v="1"/>
    <x v="0"/>
    <x v="8"/>
    <n v="2"/>
    <s v="Not_Satisfied(&lt;=2)"/>
    <x v="2"/>
    <n v="5"/>
    <s v="Y"/>
    <x v="1"/>
    <n v="13"/>
    <x v="0"/>
    <n v="13"/>
    <n v="3"/>
    <s v="Good(&gt;=3)"/>
    <n v="11"/>
    <s v="Ultra_Long(&gt;10)"/>
    <n v="10"/>
    <x v="1"/>
    <n v="3"/>
    <s v="Reasonable(&lt;=3)"/>
  </r>
  <r>
    <x v="13"/>
    <s v="Middle_Age(30-50)"/>
    <x v="0"/>
    <s v="Frequently"/>
    <s v="Research &amp; Development"/>
    <n v="9"/>
    <s v="Middistance(6-14)"/>
    <n v="4"/>
    <s v="Satisfied(&gt;=3)"/>
    <x v="1"/>
    <n v="3"/>
    <s v="Medium"/>
    <n v="2"/>
    <x v="0"/>
    <x v="2"/>
    <n v="1"/>
    <s v="Not_Satisfied(&lt;=2)"/>
    <x v="1"/>
    <n v="4"/>
    <s v="Y"/>
    <x v="1"/>
    <n v="17"/>
    <x v="0"/>
    <n v="11"/>
    <n v="2"/>
    <s v="Poor(&lt;=2)"/>
    <n v="7"/>
    <s v="Long(5-10)"/>
    <n v="1"/>
    <x v="0"/>
    <n v="0"/>
    <s v="Reasonable(&lt;=3)"/>
  </r>
  <r>
    <x v="2"/>
    <s v="Middle_Age(30-50)"/>
    <x v="0"/>
    <s v="Rarely"/>
    <s v="Research &amp; Development"/>
    <n v="10"/>
    <s v="Middistance(6-14)"/>
    <n v="4"/>
    <s v="Satisfied(&gt;=3)"/>
    <x v="1"/>
    <n v="3"/>
    <s v="Medium"/>
    <n v="2"/>
    <x v="0"/>
    <x v="3"/>
    <n v="1"/>
    <s v="Not_Satisfied(&lt;=2)"/>
    <x v="0"/>
    <n v="1"/>
    <s v="Y"/>
    <x v="1"/>
    <n v="15"/>
    <x v="0"/>
    <n v="10"/>
    <n v="1"/>
    <s v="Poor(&lt;=2)"/>
    <n v="10"/>
    <s v="Long(5-10)"/>
    <n v="3"/>
    <x v="0"/>
    <n v="0"/>
    <s v="Reasonable(&lt;=3)"/>
  </r>
  <r>
    <x v="22"/>
    <s v="Middle_Age(30-50)"/>
    <x v="1"/>
    <s v="Frequently"/>
    <s v="Sales"/>
    <n v="20"/>
    <s v="Far(&gt;=15)"/>
    <n v="3"/>
    <s v="Satisfied(&gt;=3)"/>
    <x v="1"/>
    <n v="3"/>
    <s v="Medium"/>
    <n v="2"/>
    <x v="0"/>
    <x v="0"/>
    <n v="4"/>
    <s v="Satisfied(&gt;=3)"/>
    <x v="2"/>
    <n v="2"/>
    <s v="Y"/>
    <x v="1"/>
    <n v="18"/>
    <x v="0"/>
    <n v="7"/>
    <n v="3"/>
    <s v="Good(&gt;=3)"/>
    <n v="2"/>
    <s v="Short(&lt;=4)"/>
    <n v="1"/>
    <x v="0"/>
    <n v="2"/>
    <s v="Reasonable(&lt;=3)"/>
  </r>
  <r>
    <x v="23"/>
    <s v="Middle_Age(30-50)"/>
    <x v="1"/>
    <s v="Rarely"/>
    <s v="Research &amp; Development"/>
    <n v="9"/>
    <s v="Middistance(6-14)"/>
    <n v="1"/>
    <s v="Not_Satisfied(&lt;3)"/>
    <x v="1"/>
    <n v="3"/>
    <s v="Medium"/>
    <n v="1"/>
    <x v="0"/>
    <x v="1"/>
    <n v="3"/>
    <s v="Satisfied(&gt;=3)"/>
    <x v="0"/>
    <n v="4"/>
    <s v="Y"/>
    <x v="1"/>
    <n v="13"/>
    <x v="0"/>
    <n v="7"/>
    <n v="2"/>
    <s v="Poor(&lt;=2)"/>
    <n v="3"/>
    <s v="Short(&lt;=4)"/>
    <n v="2"/>
    <x v="0"/>
    <n v="1"/>
    <s v="Reasonable(&lt;=3)"/>
  </r>
  <r>
    <x v="0"/>
    <s v="Middle_Age(30-50)"/>
    <x v="1"/>
    <s v="Rarely"/>
    <s v="Research &amp; Development"/>
    <n v="5"/>
    <s v="Nearby(&lt;=5)"/>
    <n v="2"/>
    <s v="Not_Satisfied(&lt;3)"/>
    <x v="1"/>
    <n v="4"/>
    <s v="High"/>
    <n v="2"/>
    <x v="0"/>
    <x v="4"/>
    <n v="2"/>
    <s v="Not_Satisfied(&lt;=2)"/>
    <x v="0"/>
    <n v="3"/>
    <s v="Y"/>
    <x v="1"/>
    <n v="12"/>
    <x v="0"/>
    <n v="11"/>
    <n v="1"/>
    <s v="Poor(&lt;=2)"/>
    <n v="3"/>
    <s v="Short(&lt;=4)"/>
    <n v="2"/>
    <x v="0"/>
    <n v="1"/>
    <s v="Reasonable(&lt;=3)"/>
  </r>
  <r>
    <x v="0"/>
    <s v="Middle_Age(30-50)"/>
    <x v="1"/>
    <s v="Rarely"/>
    <s v="Sales"/>
    <n v="4"/>
    <s v="Nearby(&lt;=5)"/>
    <n v="3"/>
    <s v="Satisfied(&gt;=3)"/>
    <x v="0"/>
    <n v="3"/>
    <s v="Medium"/>
    <n v="3"/>
    <x v="1"/>
    <x v="0"/>
    <n v="3"/>
    <s v="Satisfied(&gt;=3)"/>
    <x v="2"/>
    <n v="0"/>
    <s v="Y"/>
    <x v="0"/>
    <n v="13"/>
    <x v="0"/>
    <n v="23"/>
    <n v="4"/>
    <s v="Good(&gt;=3)"/>
    <n v="22"/>
    <s v="Ultra_Long(&gt;10)"/>
    <n v="14"/>
    <x v="2"/>
    <n v="13"/>
    <s v="Not_Reasonable(&gt;3)"/>
  </r>
  <r>
    <x v="7"/>
    <s v="Middle_Age(30-50)"/>
    <x v="1"/>
    <s v="Rarely"/>
    <s v="Research &amp; Development"/>
    <n v="10"/>
    <s v="Middistance(6-14)"/>
    <n v="1"/>
    <s v="Not_Satisfied(&lt;3)"/>
    <x v="0"/>
    <n v="3"/>
    <s v="Medium"/>
    <n v="3"/>
    <x v="1"/>
    <x v="3"/>
    <n v="3"/>
    <s v="Satisfied(&gt;=3)"/>
    <x v="0"/>
    <n v="9"/>
    <s v="Y"/>
    <x v="1"/>
    <n v="14"/>
    <x v="0"/>
    <n v="9"/>
    <n v="3"/>
    <s v="Good(&gt;=3)"/>
    <n v="7"/>
    <s v="Long(5-10)"/>
    <n v="7"/>
    <x v="1"/>
    <n v="0"/>
    <s v="Reasonable(&lt;=3)"/>
  </r>
  <r>
    <x v="25"/>
    <s v="Young(&lt;=29)"/>
    <x v="0"/>
    <s v="Rarely"/>
    <s v="Human Resources"/>
    <n v="20"/>
    <s v="Far(&gt;=15)"/>
    <n v="4"/>
    <s v="Satisfied(&gt;=3)"/>
    <x v="0"/>
    <n v="3"/>
    <s v="Medium"/>
    <n v="1"/>
    <x v="0"/>
    <x v="8"/>
    <n v="2"/>
    <s v="Not_Satisfied(&lt;=2)"/>
    <x v="1"/>
    <n v="0"/>
    <s v="Y"/>
    <x v="0"/>
    <n v="11"/>
    <x v="0"/>
    <n v="6"/>
    <n v="3"/>
    <s v="Good(&gt;=3)"/>
    <n v="5"/>
    <s v="Long(5-10)"/>
    <n v="1"/>
    <x v="0"/>
    <n v="1"/>
    <s v="Reasonable(&lt;=3)"/>
  </r>
  <r>
    <x v="21"/>
    <s v="Middle_Age(30-50)"/>
    <x v="0"/>
    <s v="Rarely"/>
    <s v="Research &amp; Development"/>
    <n v="21"/>
    <s v="Far(&gt;=15)"/>
    <n v="4"/>
    <s v="Satisfied(&gt;=3)"/>
    <x v="0"/>
    <n v="3"/>
    <s v="Medium"/>
    <n v="2"/>
    <x v="0"/>
    <x v="4"/>
    <n v="2"/>
    <s v="Not_Satisfied(&lt;=2)"/>
    <x v="1"/>
    <n v="4"/>
    <s v="Y"/>
    <x v="1"/>
    <n v="22"/>
    <x v="1"/>
    <n v="13"/>
    <n v="4"/>
    <s v="Good(&gt;=3)"/>
    <n v="9"/>
    <s v="Long(5-10)"/>
    <n v="7"/>
    <x v="1"/>
    <n v="3"/>
    <s v="Reasonable(&lt;=3)"/>
  </r>
  <r>
    <x v="32"/>
    <s v="Middle_Age(30-50)"/>
    <x v="1"/>
    <s v="Rarely"/>
    <s v="Research &amp; Development"/>
    <n v="1"/>
    <s v="Nearby(&lt;=5)"/>
    <n v="3"/>
    <s v="Satisfied(&gt;=3)"/>
    <x v="0"/>
    <n v="3"/>
    <s v="Medium"/>
    <n v="2"/>
    <x v="0"/>
    <x v="4"/>
    <n v="4"/>
    <s v="Satisfied(&gt;=3)"/>
    <x v="2"/>
    <n v="4"/>
    <s v="Y"/>
    <x v="1"/>
    <n v="17"/>
    <x v="0"/>
    <n v="12"/>
    <n v="3"/>
    <s v="Good(&gt;=3)"/>
    <n v="5"/>
    <s v="Long(5-10)"/>
    <n v="3"/>
    <x v="0"/>
    <n v="0"/>
    <s v="Reasonable(&lt;=3)"/>
  </r>
  <r>
    <x v="13"/>
    <s v="Middle_Age(30-50)"/>
    <x v="1"/>
    <s v="Rarely"/>
    <s v="Sales"/>
    <n v="8"/>
    <s v="Middistance(6-14)"/>
    <n v="2"/>
    <s v="Not_Satisfied(&lt;3)"/>
    <x v="1"/>
    <n v="4"/>
    <s v="High"/>
    <n v="2"/>
    <x v="0"/>
    <x v="0"/>
    <n v="3"/>
    <s v="Satisfied(&gt;=3)"/>
    <x v="1"/>
    <n v="1"/>
    <s v="Y"/>
    <x v="1"/>
    <n v="21"/>
    <x v="1"/>
    <n v="10"/>
    <n v="3"/>
    <s v="Good(&gt;=3)"/>
    <n v="10"/>
    <s v="Long(5-10)"/>
    <n v="8"/>
    <x v="1"/>
    <n v="4"/>
    <s v="Not_Reasonable(&gt;3)"/>
  </r>
  <r>
    <x v="34"/>
    <s v="Old(&gt;50)"/>
    <x v="1"/>
    <s v="Rarely"/>
    <s v="Sales"/>
    <n v="2"/>
    <s v="Nearby(&lt;=5)"/>
    <n v="2"/>
    <s v="Not_Satisfied(&lt;3)"/>
    <x v="1"/>
    <n v="3"/>
    <s v="Medium"/>
    <n v="4"/>
    <x v="2"/>
    <x v="5"/>
    <n v="2"/>
    <s v="Not_Satisfied(&lt;=2)"/>
    <x v="2"/>
    <n v="4"/>
    <s v="Y"/>
    <x v="1"/>
    <n v="22"/>
    <x v="1"/>
    <n v="37"/>
    <n v="2"/>
    <s v="Poor(&lt;=2)"/>
    <n v="16"/>
    <s v="Ultra_Long(&gt;10)"/>
    <n v="9"/>
    <x v="1"/>
    <n v="14"/>
    <s v="Not_Reasonable(&gt;3)"/>
  </r>
  <r>
    <x v="10"/>
    <s v="Middle_Age(30-50)"/>
    <x v="1"/>
    <s v="Rarely"/>
    <s v="Research &amp; Development"/>
    <n v="23"/>
    <s v="Far(&gt;=15)"/>
    <n v="2"/>
    <s v="Not_Satisfied(&lt;3)"/>
    <x v="1"/>
    <n v="1"/>
    <s v="Low"/>
    <n v="1"/>
    <x v="0"/>
    <x v="2"/>
    <n v="3"/>
    <s v="Satisfied(&gt;=3)"/>
    <x v="1"/>
    <n v="0"/>
    <s v="Y"/>
    <x v="1"/>
    <n v="16"/>
    <x v="0"/>
    <n v="6"/>
    <n v="4"/>
    <s v="Good(&gt;=3)"/>
    <n v="5"/>
    <s v="Long(5-10)"/>
    <n v="4"/>
    <x v="0"/>
    <n v="0"/>
    <s v="Reasonable(&lt;=3)"/>
  </r>
  <r>
    <x v="40"/>
    <s v="Middle_Age(30-50)"/>
    <x v="1"/>
    <s v="Rarely"/>
    <s v="Research &amp; Development"/>
    <n v="4"/>
    <s v="Nearby(&lt;=5)"/>
    <n v="3"/>
    <s v="Satisfied(&gt;=3)"/>
    <x v="0"/>
    <n v="2"/>
    <s v="Low"/>
    <n v="3"/>
    <x v="1"/>
    <x v="3"/>
    <n v="2"/>
    <s v="Not_Satisfied(&lt;=2)"/>
    <x v="2"/>
    <n v="8"/>
    <s v="Y"/>
    <x v="0"/>
    <n v="12"/>
    <x v="0"/>
    <n v="28"/>
    <n v="3"/>
    <s v="Good(&gt;=3)"/>
    <n v="22"/>
    <s v="Ultra_Long(&gt;10)"/>
    <n v="11"/>
    <x v="2"/>
    <n v="14"/>
    <s v="Not_Reasonable(&gt;3)"/>
  </r>
  <r>
    <x v="32"/>
    <s v="Middle_Age(30-50)"/>
    <x v="1"/>
    <s v="Rarely"/>
    <s v="Research &amp; Development"/>
    <n v="12"/>
    <s v="Middistance(6-14)"/>
    <n v="2"/>
    <s v="Not_Satisfied(&lt;3)"/>
    <x v="0"/>
    <n v="3"/>
    <s v="Medium"/>
    <n v="2"/>
    <x v="0"/>
    <x v="4"/>
    <n v="1"/>
    <s v="Not_Satisfied(&lt;=2)"/>
    <x v="2"/>
    <n v="2"/>
    <s v="Y"/>
    <x v="1"/>
    <n v="12"/>
    <x v="0"/>
    <n v="15"/>
    <n v="3"/>
    <s v="Good(&gt;=3)"/>
    <n v="7"/>
    <s v="Long(5-10)"/>
    <n v="4"/>
    <x v="0"/>
    <n v="7"/>
    <s v="Not_Reasonable(&gt;3)"/>
  </r>
  <r>
    <x v="33"/>
    <s v="Old(&gt;50)"/>
    <x v="1"/>
    <s v="Rarely"/>
    <s v="Research &amp; Development"/>
    <n v="7"/>
    <s v="Middistance(6-14)"/>
    <n v="4"/>
    <s v="Satisfied(&gt;=3)"/>
    <x v="0"/>
    <n v="3"/>
    <s v="Medium"/>
    <n v="2"/>
    <x v="0"/>
    <x v="1"/>
    <n v="4"/>
    <s v="Satisfied(&gt;=3)"/>
    <x v="1"/>
    <n v="4"/>
    <s v="Y"/>
    <x v="1"/>
    <n v="15"/>
    <x v="0"/>
    <n v="14"/>
    <n v="2"/>
    <s v="Poor(&lt;=2)"/>
    <n v="7"/>
    <s v="Long(5-10)"/>
    <n v="1"/>
    <x v="0"/>
    <n v="1"/>
    <s v="Reasonable(&lt;=3)"/>
  </r>
  <r>
    <x v="12"/>
    <s v="Middle_Age(30-50)"/>
    <x v="1"/>
    <s v="Frequently"/>
    <s v="Sales"/>
    <n v="7"/>
    <s v="Middistance(6-14)"/>
    <n v="1"/>
    <s v="Not_Satisfied(&lt;3)"/>
    <x v="0"/>
    <n v="3"/>
    <s v="Medium"/>
    <n v="3"/>
    <x v="1"/>
    <x v="0"/>
    <n v="1"/>
    <s v="Not_Satisfied(&lt;=2)"/>
    <x v="1"/>
    <n v="2"/>
    <s v="Y"/>
    <x v="1"/>
    <n v="14"/>
    <x v="0"/>
    <n v="9"/>
    <n v="3"/>
    <s v="Good(&gt;=3)"/>
    <n v="3"/>
    <s v="Short(&lt;=4)"/>
    <n v="2"/>
    <x v="0"/>
    <n v="2"/>
    <s v="Reasonable(&lt;=3)"/>
  </r>
  <r>
    <x v="14"/>
    <s v="Young(&lt;=29)"/>
    <x v="1"/>
    <s v="Rarely"/>
    <s v="Research &amp; Development"/>
    <n v="1"/>
    <s v="Nearby(&lt;=5)"/>
    <n v="3"/>
    <s v="Satisfied(&gt;=3)"/>
    <x v="0"/>
    <n v="3"/>
    <s v="Medium"/>
    <n v="1"/>
    <x v="0"/>
    <x v="1"/>
    <n v="1"/>
    <s v="Not_Satisfied(&lt;=2)"/>
    <x v="1"/>
    <n v="1"/>
    <s v="Y"/>
    <x v="1"/>
    <n v="25"/>
    <x v="1"/>
    <n v="3"/>
    <n v="3"/>
    <s v="Good(&gt;=3)"/>
    <n v="3"/>
    <s v="Short(&lt;=4)"/>
    <n v="2"/>
    <x v="0"/>
    <n v="1"/>
    <s v="Reasonable(&lt;=3)"/>
  </r>
  <r>
    <x v="8"/>
    <s v="Middle_Age(30-50)"/>
    <x v="1"/>
    <s v="Rarely"/>
    <s v="Sales"/>
    <n v="2"/>
    <s v="Nearby(&lt;=5)"/>
    <n v="2"/>
    <s v="Not_Satisfied(&lt;3)"/>
    <x v="0"/>
    <n v="1"/>
    <s v="Low"/>
    <n v="2"/>
    <x v="0"/>
    <x v="6"/>
    <n v="4"/>
    <s v="Satisfied(&gt;=3)"/>
    <x v="1"/>
    <n v="2"/>
    <s v="Y"/>
    <x v="0"/>
    <n v="20"/>
    <x v="1"/>
    <n v="20"/>
    <n v="2"/>
    <s v="Poor(&lt;=2)"/>
    <n v="4"/>
    <s v="Short(&lt;=4)"/>
    <n v="2"/>
    <x v="0"/>
    <n v="0"/>
    <s v="Reasonable(&lt;=3)"/>
  </r>
  <r>
    <x v="25"/>
    <s v="Young(&lt;=29)"/>
    <x v="1"/>
    <s v="Rarely"/>
    <s v="Sales"/>
    <n v="10"/>
    <s v="Middistance(6-14)"/>
    <n v="3"/>
    <s v="Satisfied(&gt;=3)"/>
    <x v="1"/>
    <n v="3"/>
    <s v="Medium"/>
    <n v="2"/>
    <x v="0"/>
    <x v="0"/>
    <n v="4"/>
    <s v="Satisfied(&gt;=3)"/>
    <x v="0"/>
    <n v="1"/>
    <s v="Y"/>
    <x v="1"/>
    <n v="13"/>
    <x v="0"/>
    <n v="5"/>
    <n v="3"/>
    <s v="Good(&gt;=3)"/>
    <n v="5"/>
    <s v="Long(5-10)"/>
    <n v="3"/>
    <x v="0"/>
    <n v="1"/>
    <s v="Reasonable(&lt;=3)"/>
  </r>
  <r>
    <x v="34"/>
    <s v="Old(&gt;50)"/>
    <x v="1"/>
    <s v="Frequently"/>
    <s v="Research &amp; Development"/>
    <n v="15"/>
    <s v="Far(&gt;=15)"/>
    <n v="1"/>
    <s v="Not_Satisfied(&lt;3)"/>
    <x v="1"/>
    <n v="3"/>
    <s v="Medium"/>
    <n v="4"/>
    <x v="2"/>
    <x v="7"/>
    <n v="3"/>
    <s v="Satisfied(&gt;=3)"/>
    <x v="1"/>
    <n v="2"/>
    <s v="Y"/>
    <x v="0"/>
    <n v="14"/>
    <x v="0"/>
    <n v="23"/>
    <n v="3"/>
    <s v="Good(&gt;=3)"/>
    <n v="2"/>
    <s v="Short(&lt;=4)"/>
    <n v="2"/>
    <x v="0"/>
    <n v="2"/>
    <s v="Reasonable(&lt;=3)"/>
  </r>
  <r>
    <x v="41"/>
    <s v="Young(&lt;=29)"/>
    <x v="1"/>
    <s v="Rarely"/>
    <s v="Research &amp; Development"/>
    <n v="14"/>
    <s v="Middistance(6-14)"/>
    <n v="2"/>
    <s v="Not_Satisfied(&lt;3)"/>
    <x v="0"/>
    <n v="3"/>
    <s v="Medium"/>
    <n v="1"/>
    <x v="0"/>
    <x v="1"/>
    <n v="3"/>
    <s v="Satisfied(&gt;=3)"/>
    <x v="0"/>
    <n v="1"/>
    <s v="Y"/>
    <x v="1"/>
    <n v="16"/>
    <x v="0"/>
    <n v="0"/>
    <n v="1"/>
    <s v="Poor(&lt;=2)"/>
    <n v="0"/>
    <s v="Short(&lt;=4)"/>
    <n v="0"/>
    <x v="0"/>
    <n v="0"/>
    <s v="Reasonable(&lt;=3)"/>
  </r>
  <r>
    <x v="12"/>
    <s v="Middle_Age(30-50)"/>
    <x v="0"/>
    <s v="Rarely"/>
    <s v="Human Resources"/>
    <n v="18"/>
    <s v="Far(&gt;=15)"/>
    <n v="4"/>
    <s v="Satisfied(&gt;=3)"/>
    <x v="1"/>
    <n v="4"/>
    <s v="High"/>
    <n v="1"/>
    <x v="0"/>
    <x v="8"/>
    <n v="1"/>
    <s v="Not_Satisfied(&lt;=2)"/>
    <x v="1"/>
    <n v="0"/>
    <s v="Y"/>
    <x v="1"/>
    <n v="17"/>
    <x v="0"/>
    <n v="2"/>
    <n v="3"/>
    <s v="Good(&gt;=3)"/>
    <n v="1"/>
    <s v="Short(&lt;=4)"/>
    <n v="0"/>
    <x v="0"/>
    <n v="0"/>
    <s v="Reasonable(&lt;=3)"/>
  </r>
  <r>
    <x v="11"/>
    <s v="Young(&lt;=29)"/>
    <x v="0"/>
    <s v="Rarely"/>
    <s v="Human Resources"/>
    <n v="13"/>
    <s v="Middistance(6-14)"/>
    <n v="1"/>
    <s v="Not_Satisfied(&lt;3)"/>
    <x v="1"/>
    <n v="2"/>
    <s v="Low"/>
    <n v="1"/>
    <x v="0"/>
    <x v="8"/>
    <n v="1"/>
    <s v="Not_Satisfied(&lt;=2)"/>
    <x v="2"/>
    <n v="4"/>
    <s v="Y"/>
    <x v="0"/>
    <n v="15"/>
    <x v="0"/>
    <n v="4"/>
    <n v="3"/>
    <s v="Good(&gt;=3)"/>
    <n v="2"/>
    <s v="Short(&lt;=4)"/>
    <n v="2"/>
    <x v="0"/>
    <n v="2"/>
    <s v="Reasonable(&lt;=3)"/>
  </r>
  <r>
    <x v="28"/>
    <s v="Middle_Age(30-50)"/>
    <x v="1"/>
    <s v="Rarely"/>
    <s v="Sales"/>
    <n v="2"/>
    <s v="Nearby(&lt;=5)"/>
    <n v="3"/>
    <s v="Satisfied(&gt;=3)"/>
    <x v="0"/>
    <n v="3"/>
    <s v="Medium"/>
    <n v="2"/>
    <x v="0"/>
    <x v="0"/>
    <n v="3"/>
    <s v="Satisfied(&gt;=3)"/>
    <x v="1"/>
    <n v="4"/>
    <s v="Y"/>
    <x v="1"/>
    <n v="22"/>
    <x v="1"/>
    <n v="10"/>
    <n v="4"/>
    <s v="Good(&gt;=3)"/>
    <n v="8"/>
    <s v="Long(5-10)"/>
    <n v="7"/>
    <x v="1"/>
    <n v="5"/>
    <s v="Not_Reasonable(&gt;3)"/>
  </r>
  <r>
    <x v="9"/>
    <s v="Middle_Age(30-50)"/>
    <x v="1"/>
    <s v="Rarely"/>
    <s v="Research &amp; Development"/>
    <n v="2"/>
    <s v="Nearby(&lt;=5)"/>
    <n v="4"/>
    <s v="Satisfied(&gt;=3)"/>
    <x v="0"/>
    <n v="3"/>
    <s v="Medium"/>
    <n v="2"/>
    <x v="0"/>
    <x v="1"/>
    <n v="2"/>
    <s v="Not_Satisfied(&lt;=2)"/>
    <x v="1"/>
    <n v="4"/>
    <s v="Y"/>
    <x v="0"/>
    <n v="22"/>
    <x v="1"/>
    <n v="15"/>
    <n v="3"/>
    <s v="Good(&gt;=3)"/>
    <n v="1"/>
    <s v="Short(&lt;=4)"/>
    <n v="0"/>
    <x v="0"/>
    <n v="0"/>
    <s v="Reasonable(&lt;=3)"/>
  </r>
  <r>
    <x v="23"/>
    <s v="Middle_Age(30-50)"/>
    <x v="1"/>
    <s v="Frequently"/>
    <s v="Sales"/>
    <n v="2"/>
    <s v="Nearby(&lt;=5)"/>
    <n v="1"/>
    <s v="Not_Satisfied(&lt;3)"/>
    <x v="1"/>
    <n v="3"/>
    <s v="Medium"/>
    <n v="2"/>
    <x v="0"/>
    <x v="0"/>
    <n v="4"/>
    <s v="Satisfied(&gt;=3)"/>
    <x v="1"/>
    <n v="1"/>
    <s v="Y"/>
    <x v="1"/>
    <n v="20"/>
    <x v="1"/>
    <n v="7"/>
    <n v="3"/>
    <s v="Good(&gt;=3)"/>
    <n v="7"/>
    <s v="Long(5-10)"/>
    <n v="7"/>
    <x v="1"/>
    <n v="7"/>
    <s v="Not_Reasonable(&gt;3)"/>
  </r>
  <r>
    <x v="4"/>
    <s v="Young(&lt;=29)"/>
    <x v="1"/>
    <s v="Frequently"/>
    <s v="Research &amp; Development"/>
    <n v="5"/>
    <s v="Nearby(&lt;=5)"/>
    <n v="4"/>
    <s v="Satisfied(&gt;=3)"/>
    <x v="0"/>
    <n v="3"/>
    <s v="Medium"/>
    <n v="1"/>
    <x v="0"/>
    <x v="2"/>
    <n v="4"/>
    <s v="Satisfied(&gt;=3)"/>
    <x v="0"/>
    <n v="0"/>
    <s v="Y"/>
    <x v="0"/>
    <n v="14"/>
    <x v="0"/>
    <n v="6"/>
    <n v="2"/>
    <s v="Poor(&lt;=2)"/>
    <n v="5"/>
    <s v="Long(5-10)"/>
    <n v="4"/>
    <x v="0"/>
    <n v="0"/>
    <s v="Reasonable(&lt;=3)"/>
  </r>
  <r>
    <x v="11"/>
    <s v="Young(&lt;=29)"/>
    <x v="1"/>
    <s v="Frequently"/>
    <s v="Research &amp; Development"/>
    <n v="20"/>
    <s v="Far(&gt;=15)"/>
    <n v="4"/>
    <s v="Satisfied(&gt;=3)"/>
    <x v="1"/>
    <n v="3"/>
    <s v="Medium"/>
    <n v="1"/>
    <x v="0"/>
    <x v="2"/>
    <n v="4"/>
    <s v="Satisfied(&gt;=3)"/>
    <x v="1"/>
    <n v="1"/>
    <s v="Y"/>
    <x v="1"/>
    <n v="13"/>
    <x v="0"/>
    <n v="11"/>
    <n v="4"/>
    <s v="Good(&gt;=3)"/>
    <n v="11"/>
    <s v="Ultra_Long(&gt;10)"/>
    <n v="8"/>
    <x v="1"/>
    <n v="3"/>
    <s v="Reasonable(&lt;=3)"/>
  </r>
  <r>
    <x v="5"/>
    <s v="Middle_Age(30-50)"/>
    <x v="1"/>
    <s v="Frequently"/>
    <s v="Sales"/>
    <n v="10"/>
    <s v="Middistance(6-14)"/>
    <n v="4"/>
    <s v="Satisfied(&gt;=3)"/>
    <x v="1"/>
    <n v="3"/>
    <s v="Medium"/>
    <n v="2"/>
    <x v="0"/>
    <x v="0"/>
    <n v="4"/>
    <s v="Satisfied(&gt;=3)"/>
    <x v="0"/>
    <n v="8"/>
    <s v="Y"/>
    <x v="1"/>
    <n v="13"/>
    <x v="0"/>
    <n v="4"/>
    <n v="4"/>
    <s v="Good(&gt;=3)"/>
    <n v="0"/>
    <s v="Short(&lt;=4)"/>
    <n v="0"/>
    <x v="0"/>
    <n v="0"/>
    <s v="Reasonable(&lt;=3)"/>
  </r>
  <r>
    <x v="19"/>
    <s v="Middle_Age(30-50)"/>
    <x v="1"/>
    <s v="Rarely"/>
    <s v="Research &amp; Development"/>
    <n v="10"/>
    <s v="Middistance(6-14)"/>
    <n v="3"/>
    <s v="Satisfied(&gt;=3)"/>
    <x v="1"/>
    <n v="3"/>
    <s v="Medium"/>
    <n v="1"/>
    <x v="0"/>
    <x v="1"/>
    <n v="3"/>
    <s v="Satisfied(&gt;=3)"/>
    <x v="1"/>
    <n v="3"/>
    <s v="Y"/>
    <x v="1"/>
    <n v="22"/>
    <x v="1"/>
    <n v="10"/>
    <n v="2"/>
    <s v="Poor(&lt;=2)"/>
    <n v="6"/>
    <s v="Long(5-10)"/>
    <n v="3"/>
    <x v="0"/>
    <n v="3"/>
    <s v="Reasonable(&lt;=3)"/>
  </r>
  <r>
    <x v="40"/>
    <s v="Middle_Age(30-50)"/>
    <x v="1"/>
    <s v="Rarely"/>
    <s v="Research &amp; Development"/>
    <n v="9"/>
    <s v="Middistance(6-14)"/>
    <n v="2"/>
    <s v="Not_Satisfied(&lt;3)"/>
    <x v="0"/>
    <n v="3"/>
    <s v="Medium"/>
    <n v="1"/>
    <x v="0"/>
    <x v="2"/>
    <n v="3"/>
    <s v="Satisfied(&gt;=3)"/>
    <x v="0"/>
    <n v="4"/>
    <s v="Y"/>
    <x v="1"/>
    <n v="12"/>
    <x v="0"/>
    <n v="7"/>
    <n v="3"/>
    <s v="Good(&gt;=3)"/>
    <n v="2"/>
    <s v="Short(&lt;=4)"/>
    <n v="2"/>
    <x v="0"/>
    <n v="2"/>
    <s v="Reasonable(&lt;=3)"/>
  </r>
  <r>
    <x v="21"/>
    <s v="Middle_Age(30-50)"/>
    <x v="1"/>
    <s v="Rarely"/>
    <s v="Research &amp; Development"/>
    <n v="2"/>
    <s v="Nearby(&lt;=5)"/>
    <n v="4"/>
    <s v="Satisfied(&gt;=3)"/>
    <x v="1"/>
    <n v="3"/>
    <s v="Medium"/>
    <n v="3"/>
    <x v="1"/>
    <x v="3"/>
    <n v="4"/>
    <s v="Satisfied(&gt;=3)"/>
    <x v="2"/>
    <n v="3"/>
    <s v="Y"/>
    <x v="1"/>
    <n v="14"/>
    <x v="0"/>
    <n v="12"/>
    <n v="2"/>
    <s v="Poor(&lt;=2)"/>
    <n v="9"/>
    <s v="Long(5-10)"/>
    <n v="8"/>
    <x v="1"/>
    <n v="4"/>
    <s v="Not_Reasonable(&gt;3)"/>
  </r>
  <r>
    <x v="14"/>
    <s v="Young(&lt;=29)"/>
    <x v="1"/>
    <s v="Rarely"/>
    <s v="Human Resources"/>
    <n v="1"/>
    <s v="Nearby(&lt;=5)"/>
    <n v="3"/>
    <s v="Satisfied(&gt;=3)"/>
    <x v="1"/>
    <n v="3"/>
    <s v="Medium"/>
    <n v="1"/>
    <x v="0"/>
    <x v="8"/>
    <n v="4"/>
    <s v="Satisfied(&gt;=3)"/>
    <x v="2"/>
    <n v="1"/>
    <s v="Y"/>
    <x v="1"/>
    <n v="15"/>
    <x v="0"/>
    <n v="3"/>
    <n v="3"/>
    <s v="Good(&gt;=3)"/>
    <n v="3"/>
    <s v="Short(&lt;=4)"/>
    <n v="2"/>
    <x v="0"/>
    <n v="2"/>
    <s v="Reasonable(&lt;=3)"/>
  </r>
  <r>
    <x v="11"/>
    <s v="Young(&lt;=29)"/>
    <x v="1"/>
    <s v="Rarely"/>
    <s v="Research &amp; Development"/>
    <n v="29"/>
    <s v="Far(&gt;=15)"/>
    <n v="4"/>
    <s v="Satisfied(&gt;=3)"/>
    <x v="1"/>
    <n v="1"/>
    <s v="Low"/>
    <n v="2"/>
    <x v="0"/>
    <x v="4"/>
    <n v="3"/>
    <s v="Satisfied(&gt;=3)"/>
    <x v="2"/>
    <n v="8"/>
    <s v="Y"/>
    <x v="1"/>
    <n v="17"/>
    <x v="0"/>
    <n v="11"/>
    <n v="3"/>
    <s v="Good(&gt;=3)"/>
    <n v="7"/>
    <s v="Long(5-10)"/>
    <n v="0"/>
    <x v="0"/>
    <n v="1"/>
    <s v="Reasonable(&lt;=3)"/>
  </r>
  <r>
    <x v="19"/>
    <s v="Middle_Age(30-50)"/>
    <x v="1"/>
    <s v="Rarely"/>
    <s v="Research &amp; Development"/>
    <n v="8"/>
    <s v="Middistance(6-14)"/>
    <n v="4"/>
    <s v="Satisfied(&gt;=3)"/>
    <x v="1"/>
    <n v="3"/>
    <s v="Medium"/>
    <n v="1"/>
    <x v="0"/>
    <x v="2"/>
    <n v="3"/>
    <s v="Satisfied(&gt;=3)"/>
    <x v="0"/>
    <n v="4"/>
    <s v="Y"/>
    <x v="1"/>
    <n v="13"/>
    <x v="0"/>
    <n v="8"/>
    <n v="3"/>
    <s v="Good(&gt;=3)"/>
    <n v="0"/>
    <s v="Short(&lt;=4)"/>
    <n v="0"/>
    <x v="0"/>
    <n v="0"/>
    <s v="Reasonable(&lt;=3)"/>
  </r>
  <r>
    <x v="5"/>
    <s v="Middle_Age(30-50)"/>
    <x v="0"/>
    <s v="Rarely"/>
    <s v="Sales"/>
    <n v="2"/>
    <s v="Nearby(&lt;=5)"/>
    <n v="3"/>
    <s v="Satisfied(&gt;=3)"/>
    <x v="1"/>
    <n v="2"/>
    <s v="Low"/>
    <n v="2"/>
    <x v="0"/>
    <x v="0"/>
    <n v="2"/>
    <s v="Not_Satisfied(&lt;=2)"/>
    <x v="0"/>
    <n v="7"/>
    <s v="Y"/>
    <x v="0"/>
    <n v="12"/>
    <x v="0"/>
    <n v="7"/>
    <n v="2"/>
    <s v="Poor(&lt;=2)"/>
    <n v="2"/>
    <s v="Short(&lt;=4)"/>
    <n v="2"/>
    <x v="0"/>
    <n v="2"/>
    <s v="Reasonable(&lt;=3)"/>
  </r>
  <r>
    <x v="21"/>
    <s v="Middle_Age(30-50)"/>
    <x v="1"/>
    <s v="Rarely"/>
    <s v="Sales"/>
    <n v="3"/>
    <s v="Nearby(&lt;=5)"/>
    <n v="1"/>
    <s v="Not_Satisfied(&lt;3)"/>
    <x v="0"/>
    <n v="4"/>
    <s v="High"/>
    <n v="4"/>
    <x v="2"/>
    <x v="0"/>
    <n v="1"/>
    <s v="Not_Satisfied(&lt;=2)"/>
    <x v="2"/>
    <n v="2"/>
    <s v="Y"/>
    <x v="1"/>
    <n v="12"/>
    <x v="0"/>
    <n v="25"/>
    <n v="3"/>
    <s v="Good(&gt;=3)"/>
    <n v="19"/>
    <s v="Ultra_Long(&gt;10)"/>
    <n v="17"/>
    <x v="2"/>
    <n v="2"/>
    <s v="Reasonable(&lt;=3)"/>
  </r>
  <r>
    <x v="4"/>
    <s v="Young(&lt;=29)"/>
    <x v="1"/>
    <s v="Rarely"/>
    <s v="Sales"/>
    <n v="23"/>
    <s v="Far(&gt;=15)"/>
    <n v="2"/>
    <s v="Not_Satisfied(&lt;3)"/>
    <x v="0"/>
    <n v="2"/>
    <s v="Low"/>
    <n v="2"/>
    <x v="0"/>
    <x v="6"/>
    <n v="3"/>
    <s v="Satisfied(&gt;=3)"/>
    <x v="1"/>
    <n v="1"/>
    <s v="Y"/>
    <x v="1"/>
    <n v="21"/>
    <x v="1"/>
    <n v="9"/>
    <n v="3"/>
    <s v="Good(&gt;=3)"/>
    <n v="9"/>
    <s v="Long(5-10)"/>
    <n v="8"/>
    <x v="1"/>
    <n v="5"/>
    <s v="Not_Reasonable(&gt;3)"/>
  </r>
  <r>
    <x v="11"/>
    <s v="Young(&lt;=29)"/>
    <x v="1"/>
    <s v="Rarely"/>
    <s v="Human Resources"/>
    <n v="6"/>
    <s v="Middistance(6-14)"/>
    <n v="4"/>
    <s v="Satisfied(&gt;=3)"/>
    <x v="1"/>
    <n v="2"/>
    <s v="Low"/>
    <n v="1"/>
    <x v="0"/>
    <x v="8"/>
    <n v="2"/>
    <s v="Not_Satisfied(&lt;=2)"/>
    <x v="1"/>
    <n v="1"/>
    <s v="Y"/>
    <x v="1"/>
    <n v="11"/>
    <x v="0"/>
    <n v="1"/>
    <n v="3"/>
    <s v="Good(&gt;=3)"/>
    <n v="1"/>
    <s v="Short(&lt;=4)"/>
    <n v="0"/>
    <x v="0"/>
    <n v="0"/>
    <s v="Reasonable(&lt;=3)"/>
  </r>
  <r>
    <x v="23"/>
    <s v="Middle_Age(30-50)"/>
    <x v="1"/>
    <s v="Rarely"/>
    <s v="Research &amp; Development"/>
    <n v="6"/>
    <s v="Middistance(6-14)"/>
    <n v="1"/>
    <s v="Not_Satisfied(&lt;3)"/>
    <x v="0"/>
    <n v="2"/>
    <s v="Low"/>
    <n v="5"/>
    <x v="2"/>
    <x v="5"/>
    <n v="3"/>
    <s v="Satisfied(&gt;=3)"/>
    <x v="1"/>
    <n v="7"/>
    <s v="Y"/>
    <x v="1"/>
    <n v="13"/>
    <x v="0"/>
    <n v="21"/>
    <n v="3"/>
    <s v="Good(&gt;=3)"/>
    <n v="16"/>
    <s v="Ultra_Long(&gt;10)"/>
    <n v="12"/>
    <x v="2"/>
    <n v="6"/>
    <s v="Not_Reasonable(&gt;3)"/>
  </r>
  <r>
    <x v="26"/>
    <s v="Middle_Age(30-50)"/>
    <x v="1"/>
    <s v="Rarely"/>
    <s v="Research &amp; Development"/>
    <n v="10"/>
    <s v="Middistance(6-14)"/>
    <n v="4"/>
    <s v="Satisfied(&gt;=3)"/>
    <x v="1"/>
    <n v="2"/>
    <s v="Low"/>
    <n v="5"/>
    <x v="2"/>
    <x v="7"/>
    <n v="2"/>
    <s v="Not_Satisfied(&lt;=2)"/>
    <x v="1"/>
    <n v="4"/>
    <s v="Y"/>
    <x v="1"/>
    <n v="12"/>
    <x v="0"/>
    <n v="29"/>
    <n v="3"/>
    <s v="Good(&gt;=3)"/>
    <n v="22"/>
    <s v="Ultra_Long(&gt;10)"/>
    <n v="10"/>
    <x v="1"/>
    <n v="12"/>
    <s v="Not_Reasonable(&gt;3)"/>
  </r>
  <r>
    <x v="11"/>
    <s v="Young(&lt;=29)"/>
    <x v="0"/>
    <s v="Frequently"/>
    <s v="Research &amp; Development"/>
    <n v="24"/>
    <s v="Far(&gt;=15)"/>
    <n v="4"/>
    <s v="Satisfied(&gt;=3)"/>
    <x v="1"/>
    <n v="2"/>
    <s v="Low"/>
    <n v="1"/>
    <x v="0"/>
    <x v="1"/>
    <n v="4"/>
    <s v="Satisfied(&gt;=3)"/>
    <x v="0"/>
    <n v="1"/>
    <s v="Y"/>
    <x v="0"/>
    <n v="24"/>
    <x v="1"/>
    <n v="1"/>
    <n v="2"/>
    <s v="Poor(&lt;=2)"/>
    <n v="1"/>
    <s v="Short(&lt;=4)"/>
    <n v="0"/>
    <x v="0"/>
    <n v="1"/>
    <s v="Reasonable(&lt;=3)"/>
  </r>
  <r>
    <x v="21"/>
    <s v="Middle_Age(30-50)"/>
    <x v="0"/>
    <s v="Rarely"/>
    <s v="Sales"/>
    <n v="10"/>
    <s v="Middistance(6-14)"/>
    <n v="3"/>
    <s v="Satisfied(&gt;=3)"/>
    <x v="0"/>
    <n v="3"/>
    <s v="Medium"/>
    <n v="3"/>
    <x v="1"/>
    <x v="0"/>
    <n v="2"/>
    <s v="Not_Satisfied(&lt;=2)"/>
    <x v="1"/>
    <n v="5"/>
    <s v="Y"/>
    <x v="1"/>
    <n v="21"/>
    <x v="1"/>
    <n v="14"/>
    <n v="3"/>
    <s v="Good(&gt;=3)"/>
    <n v="8"/>
    <s v="Long(5-10)"/>
    <n v="7"/>
    <x v="1"/>
    <n v="0"/>
    <s v="Reasonable(&lt;=3)"/>
  </r>
  <r>
    <x v="4"/>
    <s v="Young(&lt;=29)"/>
    <x v="1"/>
    <s v="Frequently"/>
    <s v="Research &amp; Development"/>
    <n v="15"/>
    <s v="Far(&gt;=15)"/>
    <n v="4"/>
    <s v="Satisfied(&gt;=3)"/>
    <x v="0"/>
    <n v="2"/>
    <s v="Low"/>
    <n v="1"/>
    <x v="0"/>
    <x v="1"/>
    <n v="1"/>
    <s v="Not_Satisfied(&lt;=2)"/>
    <x v="1"/>
    <n v="0"/>
    <s v="Y"/>
    <x v="1"/>
    <n v="19"/>
    <x v="0"/>
    <n v="8"/>
    <n v="2"/>
    <s v="Poor(&lt;=2)"/>
    <n v="7"/>
    <s v="Long(5-10)"/>
    <n v="6"/>
    <x v="1"/>
    <n v="7"/>
    <s v="Not_Reasonable(&gt;3)"/>
  </r>
  <r>
    <x v="22"/>
    <s v="Middle_Age(30-50)"/>
    <x v="1"/>
    <s v="Rarely"/>
    <s v="Research &amp; Development"/>
    <n v="19"/>
    <s v="Far(&gt;=15)"/>
    <n v="4"/>
    <s v="Satisfied(&gt;=3)"/>
    <x v="1"/>
    <n v="3"/>
    <s v="Medium"/>
    <n v="2"/>
    <x v="0"/>
    <x v="1"/>
    <n v="4"/>
    <s v="Satisfied(&gt;=3)"/>
    <x v="2"/>
    <n v="8"/>
    <s v="Y"/>
    <x v="1"/>
    <n v="14"/>
    <x v="0"/>
    <n v="7"/>
    <n v="3"/>
    <s v="Good(&gt;=3)"/>
    <n v="2"/>
    <s v="Short(&lt;=4)"/>
    <n v="2"/>
    <x v="0"/>
    <n v="2"/>
    <s v="Reasonable(&lt;=3)"/>
  </r>
  <r>
    <x v="27"/>
    <s v="Old(&gt;50)"/>
    <x v="1"/>
    <s v="Rarely"/>
    <s v="Research &amp; Development"/>
    <n v="2"/>
    <s v="Nearby(&lt;=5)"/>
    <n v="2"/>
    <s v="Not_Satisfied(&lt;3)"/>
    <x v="1"/>
    <n v="2"/>
    <s v="Low"/>
    <n v="1"/>
    <x v="0"/>
    <x v="1"/>
    <n v="4"/>
    <s v="Satisfied(&gt;=3)"/>
    <x v="1"/>
    <n v="8"/>
    <s v="Y"/>
    <x v="1"/>
    <n v="20"/>
    <x v="1"/>
    <n v="19"/>
    <n v="4"/>
    <s v="Good(&gt;=3)"/>
    <n v="5"/>
    <s v="Long(5-10)"/>
    <n v="2"/>
    <x v="0"/>
    <n v="0"/>
    <s v="Reasonable(&lt;=3)"/>
  </r>
  <r>
    <x v="14"/>
    <s v="Young(&lt;=29)"/>
    <x v="1"/>
    <s v="Rarely"/>
    <s v="Sales"/>
    <n v="3"/>
    <s v="Nearby(&lt;=5)"/>
    <n v="2"/>
    <s v="Not_Satisfied(&lt;3)"/>
    <x v="0"/>
    <n v="3"/>
    <s v="Medium"/>
    <n v="1"/>
    <x v="0"/>
    <x v="6"/>
    <n v="2"/>
    <s v="Not_Satisfied(&lt;=2)"/>
    <x v="1"/>
    <n v="1"/>
    <s v="Y"/>
    <x v="1"/>
    <n v="19"/>
    <x v="0"/>
    <n v="1"/>
    <n v="3"/>
    <s v="Good(&gt;=3)"/>
    <n v="1"/>
    <s v="Short(&lt;=4)"/>
    <n v="0"/>
    <x v="0"/>
    <n v="0"/>
    <s v="Reasonable(&lt;=3)"/>
  </r>
  <r>
    <x v="7"/>
    <s v="Middle_Age(30-50)"/>
    <x v="0"/>
    <s v="Rarely"/>
    <s v="Sales"/>
    <n v="9"/>
    <s v="Middistance(6-14)"/>
    <n v="2"/>
    <s v="Not_Satisfied(&lt;3)"/>
    <x v="1"/>
    <n v="3"/>
    <s v="Medium"/>
    <n v="1"/>
    <x v="0"/>
    <x v="6"/>
    <n v="4"/>
    <s v="Satisfied(&gt;=3)"/>
    <x v="0"/>
    <n v="1"/>
    <s v="Y"/>
    <x v="1"/>
    <n v="13"/>
    <x v="0"/>
    <n v="1"/>
    <n v="2"/>
    <s v="Poor(&lt;=2)"/>
    <n v="1"/>
    <s v="Short(&lt;=4)"/>
    <n v="0"/>
    <x v="0"/>
    <n v="0"/>
    <s v="Reasonable(&lt;=3)"/>
  </r>
  <r>
    <x v="15"/>
    <s v="Young(&lt;=29)"/>
    <x v="0"/>
    <s v="Rarely"/>
    <s v="Research &amp; Development"/>
    <n v="7"/>
    <s v="Middistance(6-14)"/>
    <n v="4"/>
    <s v="Satisfied(&gt;=3)"/>
    <x v="1"/>
    <n v="3"/>
    <s v="Medium"/>
    <n v="1"/>
    <x v="0"/>
    <x v="1"/>
    <n v="2"/>
    <s v="Not_Satisfied(&lt;=2)"/>
    <x v="0"/>
    <n v="1"/>
    <s v="Y"/>
    <x v="0"/>
    <n v="23"/>
    <x v="1"/>
    <n v="1"/>
    <n v="3"/>
    <s v="Good(&gt;=3)"/>
    <n v="1"/>
    <s v="Short(&lt;=4)"/>
    <n v="0"/>
    <x v="0"/>
    <n v="0"/>
    <s v="Reasonable(&lt;=3)"/>
  </r>
  <r>
    <x v="9"/>
    <s v="Middle_Age(30-50)"/>
    <x v="1"/>
    <s v="Rarely"/>
    <s v="Sales"/>
    <n v="10"/>
    <s v="Middistance(6-14)"/>
    <n v="2"/>
    <s v="Not_Satisfied(&lt;3)"/>
    <x v="0"/>
    <n v="2"/>
    <s v="Low"/>
    <n v="2"/>
    <x v="0"/>
    <x v="0"/>
    <n v="3"/>
    <s v="Satisfied(&gt;=3)"/>
    <x v="1"/>
    <n v="1"/>
    <s v="Y"/>
    <x v="0"/>
    <n v="13"/>
    <x v="0"/>
    <n v="10"/>
    <n v="3"/>
    <s v="Good(&gt;=3)"/>
    <n v="10"/>
    <s v="Long(5-10)"/>
    <n v="9"/>
    <x v="1"/>
    <n v="1"/>
    <s v="Reasonable(&lt;=3)"/>
  </r>
  <r>
    <x v="12"/>
    <s v="Middle_Age(30-50)"/>
    <x v="1"/>
    <s v="Rarely"/>
    <s v="Research &amp; Development"/>
    <n v="20"/>
    <s v="Far(&gt;=15)"/>
    <n v="2"/>
    <s v="Not_Satisfied(&lt;3)"/>
    <x v="1"/>
    <n v="3"/>
    <s v="Medium"/>
    <n v="2"/>
    <x v="0"/>
    <x v="2"/>
    <n v="3"/>
    <s v="Satisfied(&gt;=3)"/>
    <x v="2"/>
    <n v="1"/>
    <s v="Y"/>
    <x v="1"/>
    <n v="11"/>
    <x v="0"/>
    <n v="10"/>
    <n v="3"/>
    <s v="Good(&gt;=3)"/>
    <n v="10"/>
    <s v="Long(5-10)"/>
    <n v="8"/>
    <x v="1"/>
    <n v="0"/>
    <s v="Reasonable(&lt;=3)"/>
  </r>
  <r>
    <x v="13"/>
    <s v="Middle_Age(30-50)"/>
    <x v="1"/>
    <s v="Rarely"/>
    <s v="Sales"/>
    <n v="4"/>
    <s v="Nearby(&lt;=5)"/>
    <n v="3"/>
    <s v="Satisfied(&gt;=3)"/>
    <x v="1"/>
    <n v="3"/>
    <s v="Medium"/>
    <n v="3"/>
    <x v="1"/>
    <x v="0"/>
    <n v="4"/>
    <s v="Satisfied(&gt;=3)"/>
    <x v="1"/>
    <n v="2"/>
    <s v="Y"/>
    <x v="0"/>
    <n v="13"/>
    <x v="0"/>
    <n v="9"/>
    <n v="3"/>
    <s v="Good(&gt;=3)"/>
    <n v="5"/>
    <s v="Long(5-10)"/>
    <n v="3"/>
    <x v="0"/>
    <n v="1"/>
    <s v="Reasonable(&lt;=3)"/>
  </r>
  <r>
    <x v="11"/>
    <s v="Young(&lt;=29)"/>
    <x v="1"/>
    <s v="Rarely"/>
    <s v="Research &amp; Development"/>
    <n v="7"/>
    <s v="Middistance(6-14)"/>
    <n v="4"/>
    <s v="Satisfied(&gt;=3)"/>
    <x v="1"/>
    <n v="3"/>
    <s v="Medium"/>
    <n v="1"/>
    <x v="0"/>
    <x v="2"/>
    <n v="1"/>
    <s v="Not_Satisfied(&lt;=2)"/>
    <x v="0"/>
    <n v="3"/>
    <s v="Y"/>
    <x v="1"/>
    <n v="14"/>
    <x v="0"/>
    <n v="11"/>
    <n v="3"/>
    <s v="Good(&gt;=3)"/>
    <n v="3"/>
    <s v="Short(&lt;=4)"/>
    <n v="2"/>
    <x v="0"/>
    <n v="1"/>
    <s v="Reasonable(&lt;=3)"/>
  </r>
  <r>
    <x v="2"/>
    <s v="Middle_Age(30-50)"/>
    <x v="1"/>
    <s v="Rarely"/>
    <s v="Research &amp; Development"/>
    <n v="7"/>
    <s v="Middistance(6-14)"/>
    <n v="4"/>
    <s v="Satisfied(&gt;=3)"/>
    <x v="1"/>
    <n v="3"/>
    <s v="Medium"/>
    <n v="2"/>
    <x v="0"/>
    <x v="1"/>
    <n v="1"/>
    <s v="Not_Satisfied(&lt;=2)"/>
    <x v="1"/>
    <n v="5"/>
    <s v="Y"/>
    <x v="0"/>
    <n v="22"/>
    <x v="1"/>
    <n v="16"/>
    <n v="3"/>
    <s v="Good(&gt;=3)"/>
    <n v="5"/>
    <s v="Long(5-10)"/>
    <n v="3"/>
    <x v="0"/>
    <n v="0"/>
    <s v="Reasonable(&lt;=3)"/>
  </r>
  <r>
    <x v="10"/>
    <s v="Middle_Age(30-50)"/>
    <x v="1"/>
    <s v="Rarely"/>
    <s v="Research &amp; Development"/>
    <n v="16"/>
    <s v="Far(&gt;=15)"/>
    <n v="4"/>
    <s v="Satisfied(&gt;=3)"/>
    <x v="0"/>
    <n v="2"/>
    <s v="Low"/>
    <n v="2"/>
    <x v="0"/>
    <x v="3"/>
    <n v="2"/>
    <s v="Not_Satisfied(&lt;=2)"/>
    <x v="1"/>
    <n v="0"/>
    <s v="Y"/>
    <x v="0"/>
    <n v="11"/>
    <x v="0"/>
    <n v="4"/>
    <n v="3"/>
    <s v="Good(&gt;=3)"/>
    <n v="3"/>
    <s v="Short(&lt;=4)"/>
    <n v="2"/>
    <x v="0"/>
    <n v="0"/>
    <s v="Reasonable(&lt;=3)"/>
  </r>
  <r>
    <x v="28"/>
    <s v="Middle_Age(30-50)"/>
    <x v="1"/>
    <s v="Rarely"/>
    <s v="Research &amp; Development"/>
    <n v="25"/>
    <s v="Far(&gt;=15)"/>
    <n v="2"/>
    <s v="Not_Satisfied(&lt;3)"/>
    <x v="0"/>
    <n v="2"/>
    <s v="Low"/>
    <n v="2"/>
    <x v="0"/>
    <x v="3"/>
    <n v="4"/>
    <s v="Satisfied(&gt;=3)"/>
    <x v="1"/>
    <n v="0"/>
    <s v="Y"/>
    <x v="1"/>
    <n v="13"/>
    <x v="0"/>
    <n v="10"/>
    <n v="2"/>
    <s v="Poor(&lt;=2)"/>
    <n v="9"/>
    <s v="Long(5-10)"/>
    <n v="8"/>
    <x v="1"/>
    <n v="3"/>
    <s v="Reasonable(&lt;=3)"/>
  </r>
  <r>
    <x v="9"/>
    <s v="Middle_Age(30-50)"/>
    <x v="1"/>
    <s v="Frequently"/>
    <s v="Human Resources"/>
    <n v="2"/>
    <s v="Nearby(&lt;=5)"/>
    <n v="2"/>
    <s v="Not_Satisfied(&lt;3)"/>
    <x v="1"/>
    <n v="2"/>
    <s v="Low"/>
    <n v="2"/>
    <x v="0"/>
    <x v="8"/>
    <n v="4"/>
    <s v="Satisfied(&gt;=3)"/>
    <x v="0"/>
    <n v="1"/>
    <s v="Y"/>
    <x v="1"/>
    <n v="21"/>
    <x v="1"/>
    <n v="10"/>
    <n v="2"/>
    <s v="Poor(&lt;=2)"/>
    <n v="10"/>
    <s v="Long(5-10)"/>
    <n v="1"/>
    <x v="0"/>
    <n v="0"/>
    <s v="Reasonable(&lt;=3)"/>
  </r>
  <r>
    <x v="32"/>
    <s v="Middle_Age(30-50)"/>
    <x v="1"/>
    <s v="Rarely"/>
    <s v="Research &amp; Development"/>
    <n v="1"/>
    <s v="Nearby(&lt;=5)"/>
    <n v="1"/>
    <s v="Not_Satisfied(&lt;3)"/>
    <x v="1"/>
    <n v="3"/>
    <s v="Medium"/>
    <n v="4"/>
    <x v="2"/>
    <x v="5"/>
    <n v="1"/>
    <s v="Not_Satisfied(&lt;=2)"/>
    <x v="2"/>
    <n v="2"/>
    <s v="Y"/>
    <x v="1"/>
    <n v="11"/>
    <x v="0"/>
    <n v="22"/>
    <n v="3"/>
    <s v="Good(&gt;=3)"/>
    <n v="19"/>
    <s v="Ultra_Long(&gt;10)"/>
    <n v="7"/>
    <x v="1"/>
    <n v="11"/>
    <s v="Not_Reasonable(&gt;3)"/>
  </r>
  <r>
    <x v="25"/>
    <s v="Young(&lt;=29)"/>
    <x v="1"/>
    <s v="Rarely"/>
    <s v="Research &amp; Development"/>
    <n v="1"/>
    <s v="Nearby(&lt;=5)"/>
    <n v="2"/>
    <s v="Not_Satisfied(&lt;3)"/>
    <x v="0"/>
    <n v="2"/>
    <s v="Low"/>
    <n v="1"/>
    <x v="0"/>
    <x v="1"/>
    <n v="3"/>
    <s v="Satisfied(&gt;=3)"/>
    <x v="1"/>
    <n v="1"/>
    <s v="Y"/>
    <x v="0"/>
    <n v="13"/>
    <x v="0"/>
    <n v="1"/>
    <n v="2"/>
    <s v="Poor(&lt;=2)"/>
    <n v="1"/>
    <s v="Short(&lt;=4)"/>
    <n v="0"/>
    <x v="0"/>
    <n v="1"/>
    <s v="Reasonable(&lt;=3)"/>
  </r>
  <r>
    <x v="4"/>
    <s v="Young(&lt;=29)"/>
    <x v="1"/>
    <s v="Rarely"/>
    <s v="Sales"/>
    <n v="2"/>
    <s v="Nearby(&lt;=5)"/>
    <n v="1"/>
    <s v="Not_Satisfied(&lt;3)"/>
    <x v="0"/>
    <n v="4"/>
    <s v="High"/>
    <n v="2"/>
    <x v="0"/>
    <x v="0"/>
    <n v="3"/>
    <s v="Satisfied(&gt;=3)"/>
    <x v="0"/>
    <n v="0"/>
    <s v="Y"/>
    <x v="1"/>
    <n v="14"/>
    <x v="0"/>
    <n v="9"/>
    <n v="2"/>
    <s v="Poor(&lt;=2)"/>
    <n v="8"/>
    <s v="Long(5-10)"/>
    <n v="7"/>
    <x v="1"/>
    <n v="0"/>
    <s v="Reasonable(&lt;=3)"/>
  </r>
  <r>
    <x v="26"/>
    <s v="Middle_Age(30-50)"/>
    <x v="1"/>
    <s v="Frequently"/>
    <s v="Research &amp; Development"/>
    <n v="22"/>
    <s v="Far(&gt;=15)"/>
    <n v="4"/>
    <s v="Satisfied(&gt;=3)"/>
    <x v="0"/>
    <n v="3"/>
    <s v="Medium"/>
    <n v="4"/>
    <x v="2"/>
    <x v="5"/>
    <n v="4"/>
    <s v="Satisfied(&gt;=3)"/>
    <x v="2"/>
    <n v="3"/>
    <s v="Y"/>
    <x v="1"/>
    <n v="11"/>
    <x v="0"/>
    <n v="24"/>
    <n v="3"/>
    <s v="Good(&gt;=3)"/>
    <n v="22"/>
    <s v="Ultra_Long(&gt;10)"/>
    <n v="17"/>
    <x v="2"/>
    <n v="4"/>
    <s v="Not_Reasonable(&gt;3)"/>
  </r>
  <r>
    <x v="20"/>
    <s v="Middle_Age(30-50)"/>
    <x v="1"/>
    <s v="Rarely"/>
    <s v="Research &amp; Development"/>
    <n v="1"/>
    <s v="Nearby(&lt;=5)"/>
    <n v="2"/>
    <s v="Not_Satisfied(&lt;3)"/>
    <x v="1"/>
    <n v="4"/>
    <s v="High"/>
    <n v="2"/>
    <x v="0"/>
    <x v="4"/>
    <n v="1"/>
    <s v="Not_Satisfied(&lt;=2)"/>
    <x v="1"/>
    <n v="2"/>
    <s v="Y"/>
    <x v="1"/>
    <n v="15"/>
    <x v="0"/>
    <n v="10"/>
    <n v="3"/>
    <s v="Good(&gt;=3)"/>
    <n v="2"/>
    <s v="Short(&lt;=4)"/>
    <n v="0"/>
    <x v="0"/>
    <n v="2"/>
    <s v="Reasonable(&lt;=3)"/>
  </r>
  <r>
    <x v="13"/>
    <s v="Middle_Age(30-50)"/>
    <x v="0"/>
    <s v="Rarely"/>
    <s v="Research &amp; Development"/>
    <n v="16"/>
    <s v="Far(&gt;=15)"/>
    <n v="4"/>
    <s v="Satisfied(&gt;=3)"/>
    <x v="1"/>
    <n v="1"/>
    <s v="Low"/>
    <n v="1"/>
    <x v="0"/>
    <x v="1"/>
    <n v="1"/>
    <s v="Not_Satisfied(&lt;=2)"/>
    <x v="1"/>
    <n v="1"/>
    <s v="Y"/>
    <x v="0"/>
    <n v="23"/>
    <x v="1"/>
    <n v="5"/>
    <n v="3"/>
    <s v="Good(&gt;=3)"/>
    <n v="5"/>
    <s v="Long(5-10)"/>
    <n v="2"/>
    <x v="0"/>
    <n v="3"/>
    <s v="Reasonable(&lt;=3)"/>
  </r>
  <r>
    <x v="29"/>
    <s v="Old(&gt;50)"/>
    <x v="0"/>
    <s v="Rarely"/>
    <s v="Research &amp; Development"/>
    <n v="24"/>
    <s v="Far(&gt;=15)"/>
    <n v="1"/>
    <s v="Not_Satisfied(&lt;3)"/>
    <x v="1"/>
    <n v="3"/>
    <s v="Medium"/>
    <n v="1"/>
    <x v="0"/>
    <x v="2"/>
    <n v="4"/>
    <s v="Satisfied(&gt;=3)"/>
    <x v="0"/>
    <n v="1"/>
    <s v="Y"/>
    <x v="1"/>
    <n v="16"/>
    <x v="0"/>
    <n v="5"/>
    <n v="3"/>
    <s v="Good(&gt;=3)"/>
    <n v="4"/>
    <s v="Short(&lt;=4)"/>
    <n v="2"/>
    <x v="0"/>
    <n v="1"/>
    <s v="Reasonable(&lt;=3)"/>
  </r>
  <r>
    <x v="9"/>
    <s v="Middle_Age(30-50)"/>
    <x v="1"/>
    <s v="Rarely"/>
    <s v="Sales"/>
    <n v="17"/>
    <s v="Far(&gt;=15)"/>
    <n v="3"/>
    <s v="Satisfied(&gt;=3)"/>
    <x v="1"/>
    <n v="2"/>
    <s v="Low"/>
    <n v="2"/>
    <x v="0"/>
    <x v="0"/>
    <n v="2"/>
    <s v="Not_Satisfied(&lt;=2)"/>
    <x v="1"/>
    <n v="2"/>
    <s v="Y"/>
    <x v="1"/>
    <n v="16"/>
    <x v="0"/>
    <n v="12"/>
    <n v="1"/>
    <s v="Poor(&lt;=2)"/>
    <n v="4"/>
    <s v="Short(&lt;=4)"/>
    <n v="2"/>
    <x v="0"/>
    <n v="1"/>
    <s v="Reasonable(&lt;=3)"/>
  </r>
  <r>
    <x v="0"/>
    <s v="Middle_Age(30-50)"/>
    <x v="1"/>
    <s v="Rarely"/>
    <s v="Sales"/>
    <n v="8"/>
    <s v="Middistance(6-14)"/>
    <n v="3"/>
    <s v="Satisfied(&gt;=3)"/>
    <x v="0"/>
    <n v="3"/>
    <s v="Medium"/>
    <n v="2"/>
    <x v="0"/>
    <x v="0"/>
    <n v="2"/>
    <s v="Not_Satisfied(&lt;=2)"/>
    <x v="1"/>
    <n v="5"/>
    <s v="Y"/>
    <x v="1"/>
    <n v="21"/>
    <x v="1"/>
    <n v="14"/>
    <n v="3"/>
    <s v="Good(&gt;=3)"/>
    <n v="5"/>
    <s v="Long(5-10)"/>
    <n v="4"/>
    <x v="0"/>
    <n v="1"/>
    <s v="Reasonable(&lt;=3)"/>
  </r>
  <r>
    <x v="19"/>
    <s v="Middle_Age(30-50)"/>
    <x v="1"/>
    <s v="Rarely"/>
    <s v="Research &amp; Development"/>
    <n v="6"/>
    <s v="Middistance(6-14)"/>
    <n v="3"/>
    <s v="Satisfied(&gt;=3)"/>
    <x v="1"/>
    <n v="3"/>
    <s v="Medium"/>
    <n v="3"/>
    <x v="1"/>
    <x v="7"/>
    <n v="1"/>
    <s v="Not_Satisfied(&lt;=2)"/>
    <x v="1"/>
    <n v="9"/>
    <s v="Y"/>
    <x v="1"/>
    <n v="13"/>
    <x v="0"/>
    <n v="18"/>
    <n v="4"/>
    <s v="Good(&gt;=3)"/>
    <n v="13"/>
    <s v="Ultra_Long(&gt;10)"/>
    <n v="7"/>
    <x v="1"/>
    <n v="5"/>
    <s v="Not_Reasonable(&gt;3)"/>
  </r>
  <r>
    <x v="12"/>
    <s v="Middle_Age(30-50)"/>
    <x v="1"/>
    <s v="Rarely"/>
    <s v="Sales"/>
    <n v="10"/>
    <s v="Middistance(6-14)"/>
    <n v="3"/>
    <s v="Satisfied(&gt;=3)"/>
    <x v="0"/>
    <n v="3"/>
    <s v="Medium"/>
    <n v="2"/>
    <x v="0"/>
    <x v="0"/>
    <n v="4"/>
    <s v="Satisfied(&gt;=3)"/>
    <x v="2"/>
    <n v="2"/>
    <s v="Y"/>
    <x v="0"/>
    <n v="11"/>
    <x v="0"/>
    <n v="8"/>
    <n v="3"/>
    <s v="Good(&gt;=3)"/>
    <n v="5"/>
    <s v="Long(5-10)"/>
    <n v="2"/>
    <x v="0"/>
    <n v="1"/>
    <s v="Reasonable(&lt;=3)"/>
  </r>
  <r>
    <x v="13"/>
    <s v="Middle_Age(30-50)"/>
    <x v="1"/>
    <s v="Rarely"/>
    <s v="Sales"/>
    <n v="3"/>
    <s v="Nearby(&lt;=5)"/>
    <n v="4"/>
    <s v="Satisfied(&gt;=3)"/>
    <x v="0"/>
    <n v="2"/>
    <s v="Low"/>
    <n v="2"/>
    <x v="0"/>
    <x v="0"/>
    <n v="4"/>
    <s v="Satisfied(&gt;=3)"/>
    <x v="1"/>
    <n v="3"/>
    <s v="Y"/>
    <x v="0"/>
    <n v="12"/>
    <x v="0"/>
    <n v="9"/>
    <n v="2"/>
    <s v="Poor(&lt;=2)"/>
    <n v="4"/>
    <s v="Short(&lt;=4)"/>
    <n v="2"/>
    <x v="0"/>
    <n v="0"/>
    <s v="Reasonable(&lt;=3)"/>
  </r>
  <r>
    <x v="12"/>
    <s v="Middle_Age(30-50)"/>
    <x v="1"/>
    <s v="Rarely"/>
    <s v="Research &amp; Development"/>
    <n v="4"/>
    <s v="Nearby(&lt;=5)"/>
    <n v="1"/>
    <s v="Not_Satisfied(&lt;3)"/>
    <x v="0"/>
    <n v="4"/>
    <s v="High"/>
    <n v="1"/>
    <x v="0"/>
    <x v="2"/>
    <n v="3"/>
    <s v="Satisfied(&gt;=3)"/>
    <x v="2"/>
    <n v="8"/>
    <s v="Y"/>
    <x v="1"/>
    <n v="12"/>
    <x v="0"/>
    <n v="4"/>
    <n v="2"/>
    <s v="Poor(&lt;=2)"/>
    <n v="2"/>
    <s v="Short(&lt;=4)"/>
    <n v="2"/>
    <x v="0"/>
    <n v="2"/>
    <s v="Reasonable(&lt;=3)"/>
  </r>
  <r>
    <x v="25"/>
    <s v="Young(&lt;=29)"/>
    <x v="1"/>
    <s v="Frequently"/>
    <s v="Research &amp; Development"/>
    <n v="6"/>
    <s v="Middistance(6-14)"/>
    <n v="3"/>
    <s v="Satisfied(&gt;=3)"/>
    <x v="1"/>
    <n v="4"/>
    <s v="High"/>
    <n v="1"/>
    <x v="0"/>
    <x v="2"/>
    <n v="4"/>
    <s v="Satisfied(&gt;=3)"/>
    <x v="1"/>
    <n v="0"/>
    <s v="Y"/>
    <x v="1"/>
    <n v="18"/>
    <x v="0"/>
    <n v="8"/>
    <n v="3"/>
    <s v="Good(&gt;=3)"/>
    <n v="7"/>
    <s v="Long(5-10)"/>
    <n v="7"/>
    <x v="1"/>
    <n v="7"/>
    <s v="Not_Reasonable(&gt;3)"/>
  </r>
  <r>
    <x v="28"/>
    <s v="Middle_Age(30-50)"/>
    <x v="1"/>
    <s v="Frequently"/>
    <s v="Research &amp; Development"/>
    <n v="1"/>
    <s v="Nearby(&lt;=5)"/>
    <n v="2"/>
    <s v="Not_Satisfied(&lt;3)"/>
    <x v="1"/>
    <n v="3"/>
    <s v="Medium"/>
    <n v="2"/>
    <x v="0"/>
    <x v="4"/>
    <n v="3"/>
    <s v="Satisfied(&gt;=3)"/>
    <x v="0"/>
    <n v="4"/>
    <s v="Y"/>
    <x v="1"/>
    <n v="12"/>
    <x v="0"/>
    <n v="12"/>
    <n v="3"/>
    <s v="Good(&gt;=3)"/>
    <n v="4"/>
    <s v="Short(&lt;=4)"/>
    <n v="2"/>
    <x v="0"/>
    <n v="0"/>
    <s v="Reasonable(&lt;=3)"/>
  </r>
  <r>
    <x v="3"/>
    <s v="Middle_Age(30-50)"/>
    <x v="1"/>
    <s v="Rarely"/>
    <s v="Sales"/>
    <n v="10"/>
    <s v="Middistance(6-14)"/>
    <n v="2"/>
    <s v="Not_Satisfied(&lt;3)"/>
    <x v="1"/>
    <n v="3"/>
    <s v="Medium"/>
    <n v="2"/>
    <x v="0"/>
    <x v="0"/>
    <n v="3"/>
    <s v="Satisfied(&gt;=3)"/>
    <x v="0"/>
    <n v="1"/>
    <s v="Y"/>
    <x v="1"/>
    <n v="14"/>
    <x v="0"/>
    <n v="10"/>
    <n v="2"/>
    <s v="Poor(&lt;=2)"/>
    <n v="10"/>
    <s v="Long(5-10)"/>
    <n v="4"/>
    <x v="0"/>
    <n v="0"/>
    <s v="Reasonable(&lt;=3)"/>
  </r>
  <r>
    <x v="14"/>
    <s v="Young(&lt;=29)"/>
    <x v="1"/>
    <s v="Frequently"/>
    <s v="Sales"/>
    <n v="1"/>
    <s v="Nearby(&lt;=5)"/>
    <n v="3"/>
    <s v="Satisfied(&gt;=3)"/>
    <x v="1"/>
    <n v="2"/>
    <s v="Low"/>
    <n v="2"/>
    <x v="0"/>
    <x v="0"/>
    <n v="4"/>
    <s v="Satisfied(&gt;=3)"/>
    <x v="1"/>
    <n v="1"/>
    <s v="Y"/>
    <x v="0"/>
    <n v="12"/>
    <x v="0"/>
    <n v="7"/>
    <n v="3"/>
    <s v="Good(&gt;=3)"/>
    <n v="7"/>
    <s v="Long(5-10)"/>
    <n v="7"/>
    <x v="1"/>
    <n v="0"/>
    <s v="Reasonable(&lt;=3)"/>
  </r>
  <r>
    <x v="11"/>
    <s v="Young(&lt;=29)"/>
    <x v="0"/>
    <s v="Frequently"/>
    <s v="Sales"/>
    <n v="24"/>
    <s v="Far(&gt;=15)"/>
    <n v="3"/>
    <s v="Satisfied(&gt;=3)"/>
    <x v="1"/>
    <n v="4"/>
    <s v="High"/>
    <n v="1"/>
    <x v="0"/>
    <x v="6"/>
    <n v="1"/>
    <s v="Not_Satisfied(&lt;=2)"/>
    <x v="0"/>
    <n v="1"/>
    <s v="Y"/>
    <x v="1"/>
    <n v="17"/>
    <x v="0"/>
    <n v="1"/>
    <n v="3"/>
    <s v="Good(&gt;=3)"/>
    <n v="1"/>
    <s v="Short(&lt;=4)"/>
    <n v="0"/>
    <x v="0"/>
    <n v="0"/>
    <s v="Reasonable(&lt;=3)"/>
  </r>
  <r>
    <x v="22"/>
    <s v="Middle_Age(30-50)"/>
    <x v="1"/>
    <s v="Rarely"/>
    <s v="Sales"/>
    <n v="21"/>
    <s v="Far(&gt;=15)"/>
    <n v="1"/>
    <s v="Not_Satisfied(&lt;3)"/>
    <x v="0"/>
    <n v="1"/>
    <s v="Low"/>
    <n v="2"/>
    <x v="0"/>
    <x v="0"/>
    <n v="3"/>
    <s v="Satisfied(&gt;=3)"/>
    <x v="1"/>
    <n v="6"/>
    <s v="Y"/>
    <x v="1"/>
    <n v="19"/>
    <x v="0"/>
    <n v="10"/>
    <n v="3"/>
    <s v="Good(&gt;=3)"/>
    <n v="3"/>
    <s v="Short(&lt;=4)"/>
    <n v="2"/>
    <x v="0"/>
    <n v="1"/>
    <s v="Reasonable(&lt;=3)"/>
  </r>
  <r>
    <x v="4"/>
    <s v="Young(&lt;=29)"/>
    <x v="1"/>
    <s v="Rarely"/>
    <s v="Research &amp; Development"/>
    <n v="2"/>
    <s v="Nearby(&lt;=5)"/>
    <n v="2"/>
    <s v="Not_Satisfied(&lt;3)"/>
    <x v="1"/>
    <n v="3"/>
    <s v="Medium"/>
    <n v="1"/>
    <x v="0"/>
    <x v="1"/>
    <n v="2"/>
    <s v="Not_Satisfied(&lt;=2)"/>
    <x v="1"/>
    <n v="1"/>
    <s v="Y"/>
    <x v="1"/>
    <n v="11"/>
    <x v="0"/>
    <n v="6"/>
    <n v="2"/>
    <s v="Poor(&lt;=2)"/>
    <n v="5"/>
    <s v="Long(5-10)"/>
    <n v="3"/>
    <x v="0"/>
    <n v="1"/>
    <s v="Reasonable(&lt;=3)"/>
  </r>
  <r>
    <x v="13"/>
    <s v="Middle_Age(30-50)"/>
    <x v="1"/>
    <s v="Frequently"/>
    <s v="Research &amp; Development"/>
    <n v="22"/>
    <s v="Far(&gt;=15)"/>
    <n v="3"/>
    <s v="Satisfied(&gt;=3)"/>
    <x v="1"/>
    <n v="2"/>
    <s v="Low"/>
    <n v="2"/>
    <x v="0"/>
    <x v="1"/>
    <n v="4"/>
    <s v="Satisfied(&gt;=3)"/>
    <x v="1"/>
    <n v="1"/>
    <s v="Y"/>
    <x v="0"/>
    <n v="15"/>
    <x v="0"/>
    <n v="16"/>
    <n v="3"/>
    <s v="Good(&gt;=3)"/>
    <n v="15"/>
    <s v="Ultra_Long(&gt;10)"/>
    <n v="10"/>
    <x v="1"/>
    <n v="6"/>
    <s v="Not_Reasonable(&gt;3)"/>
  </r>
  <r>
    <x v="14"/>
    <s v="Young(&lt;=29)"/>
    <x v="0"/>
    <s v="Rarely"/>
    <s v="Sales"/>
    <n v="13"/>
    <s v="Middistance(6-14)"/>
    <n v="4"/>
    <s v="Satisfied(&gt;=3)"/>
    <x v="0"/>
    <n v="3"/>
    <s v="Medium"/>
    <n v="2"/>
    <x v="0"/>
    <x v="0"/>
    <n v="3"/>
    <s v="Satisfied(&gt;=3)"/>
    <x v="0"/>
    <n v="3"/>
    <s v="Y"/>
    <x v="0"/>
    <n v="11"/>
    <x v="0"/>
    <n v="6"/>
    <n v="3"/>
    <s v="Good(&gt;=3)"/>
    <n v="2"/>
    <s v="Short(&lt;=4)"/>
    <n v="0"/>
    <x v="0"/>
    <n v="2"/>
    <s v="Reasonable(&lt;=3)"/>
  </r>
  <r>
    <x v="40"/>
    <s v="Middle_Age(30-50)"/>
    <x v="1"/>
    <s v="Rarely"/>
    <s v="Research &amp; Development"/>
    <n v="14"/>
    <s v="Middistance(6-14)"/>
    <n v="3"/>
    <s v="Satisfied(&gt;=3)"/>
    <x v="1"/>
    <n v="3"/>
    <s v="Medium"/>
    <n v="2"/>
    <x v="0"/>
    <x v="1"/>
    <n v="2"/>
    <s v="Not_Satisfied(&lt;=2)"/>
    <x v="1"/>
    <n v="8"/>
    <s v="Y"/>
    <x v="1"/>
    <n v="18"/>
    <x v="0"/>
    <n v="16"/>
    <n v="4"/>
    <s v="Good(&gt;=3)"/>
    <n v="8"/>
    <s v="Long(5-10)"/>
    <n v="7"/>
    <x v="1"/>
    <n v="1"/>
    <s v="Reasonable(&lt;=3)"/>
  </r>
  <r>
    <x v="29"/>
    <s v="Old(&gt;50)"/>
    <x v="1"/>
    <s v="Rarely"/>
    <s v="Sales"/>
    <n v="11"/>
    <s v="Middistance(6-14)"/>
    <n v="4"/>
    <s v="Satisfied(&gt;=3)"/>
    <x v="0"/>
    <n v="2"/>
    <s v="Low"/>
    <n v="2"/>
    <x v="0"/>
    <x v="0"/>
    <n v="1"/>
    <s v="Not_Satisfied(&lt;=2)"/>
    <x v="1"/>
    <n v="4"/>
    <s v="Y"/>
    <x v="1"/>
    <n v="16"/>
    <x v="0"/>
    <n v="6"/>
    <n v="3"/>
    <s v="Good(&gt;=3)"/>
    <n v="0"/>
    <s v="Short(&lt;=4)"/>
    <n v="0"/>
    <x v="0"/>
    <n v="0"/>
    <s v="Reasonable(&lt;=3)"/>
  </r>
  <r>
    <x v="22"/>
    <s v="Middle_Age(30-50)"/>
    <x v="1"/>
    <s v="Rarely"/>
    <s v="Research &amp; Development"/>
    <n v="9"/>
    <s v="Middistance(6-14)"/>
    <n v="1"/>
    <s v="Not_Satisfied(&lt;3)"/>
    <x v="1"/>
    <n v="3"/>
    <s v="Medium"/>
    <n v="2"/>
    <x v="0"/>
    <x v="3"/>
    <n v="1"/>
    <s v="Not_Satisfied(&lt;=2)"/>
    <x v="1"/>
    <n v="1"/>
    <s v="Y"/>
    <x v="1"/>
    <n v="25"/>
    <x v="1"/>
    <n v="10"/>
    <n v="3"/>
    <s v="Good(&gt;=3)"/>
    <n v="10"/>
    <s v="Long(5-10)"/>
    <n v="0"/>
    <x v="0"/>
    <n v="7"/>
    <s v="Not_Reasonable(&gt;3)"/>
  </r>
  <r>
    <x v="8"/>
    <s v="Middle_Age(30-50)"/>
    <x v="1"/>
    <s v="Frequently"/>
    <s v="Research &amp; Development"/>
    <n v="8"/>
    <s v="Middistance(6-14)"/>
    <n v="4"/>
    <s v="Satisfied(&gt;=3)"/>
    <x v="0"/>
    <n v="2"/>
    <s v="Low"/>
    <n v="2"/>
    <x v="0"/>
    <x v="1"/>
    <n v="2"/>
    <s v="Not_Satisfied(&lt;=2)"/>
    <x v="2"/>
    <n v="1"/>
    <s v="Y"/>
    <x v="0"/>
    <n v="16"/>
    <x v="0"/>
    <n v="20"/>
    <n v="3"/>
    <s v="Good(&gt;=3)"/>
    <n v="20"/>
    <s v="Ultra_Long(&gt;10)"/>
    <n v="11"/>
    <x v="2"/>
    <n v="0"/>
    <s v="Reasonable(&lt;=3)"/>
  </r>
  <r>
    <x v="34"/>
    <s v="Old(&gt;50)"/>
    <x v="1"/>
    <s v="Rarely"/>
    <s v="Sales"/>
    <n v="21"/>
    <s v="Far(&gt;=15)"/>
    <n v="4"/>
    <s v="Satisfied(&gt;=3)"/>
    <x v="0"/>
    <n v="3"/>
    <s v="Medium"/>
    <n v="4"/>
    <x v="2"/>
    <x v="5"/>
    <n v="4"/>
    <s v="Satisfied(&gt;=3)"/>
    <x v="1"/>
    <n v="4"/>
    <s v="Y"/>
    <x v="0"/>
    <n v="13"/>
    <x v="0"/>
    <n v="29"/>
    <n v="2"/>
    <s v="Poor(&lt;=2)"/>
    <n v="1"/>
    <s v="Short(&lt;=4)"/>
    <n v="0"/>
    <x v="0"/>
    <n v="0"/>
    <s v="Reasonable(&lt;=3)"/>
  </r>
  <r>
    <x v="5"/>
    <s v="Middle_Age(30-50)"/>
    <x v="0"/>
    <s v="Frequently"/>
    <s v="Research &amp; Development"/>
    <n v="5"/>
    <s v="Nearby(&lt;=5)"/>
    <n v="1"/>
    <s v="Not_Satisfied(&lt;3)"/>
    <x v="0"/>
    <n v="4"/>
    <s v="High"/>
    <n v="1"/>
    <x v="0"/>
    <x v="1"/>
    <n v="3"/>
    <s v="Satisfied(&gt;=3)"/>
    <x v="0"/>
    <n v="3"/>
    <s v="Y"/>
    <x v="0"/>
    <n v="14"/>
    <x v="0"/>
    <n v="8"/>
    <n v="3"/>
    <s v="Good(&gt;=3)"/>
    <n v="4"/>
    <s v="Short(&lt;=4)"/>
    <n v="1"/>
    <x v="0"/>
    <n v="0"/>
    <s v="Reasonable(&lt;=3)"/>
  </r>
  <r>
    <x v="8"/>
    <s v="Middle_Age(30-50)"/>
    <x v="1"/>
    <s v="Rarely"/>
    <s v="Research &amp; Development"/>
    <n v="9"/>
    <s v="Middistance(6-14)"/>
    <n v="2"/>
    <s v="Not_Satisfied(&lt;3)"/>
    <x v="1"/>
    <n v="3"/>
    <s v="Medium"/>
    <n v="1"/>
    <x v="0"/>
    <x v="1"/>
    <n v="4"/>
    <s v="Satisfied(&gt;=3)"/>
    <x v="2"/>
    <n v="2"/>
    <s v="Y"/>
    <x v="1"/>
    <n v="19"/>
    <x v="0"/>
    <n v="10"/>
    <n v="4"/>
    <s v="Good(&gt;=3)"/>
    <n v="5"/>
    <s v="Long(5-10)"/>
    <n v="2"/>
    <x v="0"/>
    <n v="0"/>
    <s v="Reasonable(&lt;=3)"/>
  </r>
  <r>
    <x v="1"/>
    <s v="Middle_Age(30-50)"/>
    <x v="1"/>
    <s v="Frequently"/>
    <s v="Research &amp; Development"/>
    <n v="2"/>
    <s v="Nearby(&lt;=5)"/>
    <n v="2"/>
    <s v="Not_Satisfied(&lt;3)"/>
    <x v="1"/>
    <n v="3"/>
    <s v="Medium"/>
    <n v="5"/>
    <x v="2"/>
    <x v="7"/>
    <n v="4"/>
    <s v="Satisfied(&gt;=3)"/>
    <x v="1"/>
    <n v="3"/>
    <s v="Y"/>
    <x v="1"/>
    <n v="15"/>
    <x v="0"/>
    <n v="28"/>
    <n v="3"/>
    <s v="Good(&gt;=3)"/>
    <n v="5"/>
    <s v="Long(5-10)"/>
    <n v="4"/>
    <x v="0"/>
    <n v="4"/>
    <s v="Not_Reasonable(&gt;3)"/>
  </r>
  <r>
    <x v="19"/>
    <s v="Middle_Age(30-50)"/>
    <x v="1"/>
    <s v="Rarely"/>
    <s v="Sales"/>
    <n v="12"/>
    <s v="Middistance(6-14)"/>
    <n v="2"/>
    <s v="Not_Satisfied(&lt;3)"/>
    <x v="1"/>
    <n v="3"/>
    <s v="Medium"/>
    <n v="2"/>
    <x v="0"/>
    <x v="0"/>
    <n v="4"/>
    <s v="Satisfied(&gt;=3)"/>
    <x v="2"/>
    <n v="3"/>
    <s v="Y"/>
    <x v="0"/>
    <n v="12"/>
    <x v="0"/>
    <n v="14"/>
    <n v="3"/>
    <s v="Good(&gt;=3)"/>
    <n v="0"/>
    <s v="Short(&lt;=4)"/>
    <n v="0"/>
    <x v="0"/>
    <n v="0"/>
    <s v="Reasonable(&lt;=3)"/>
  </r>
  <r>
    <x v="4"/>
    <s v="Young(&lt;=29)"/>
    <x v="0"/>
    <s v="Frequently"/>
    <s v="Human Resources"/>
    <n v="22"/>
    <s v="Far(&gt;=15)"/>
    <n v="1"/>
    <s v="Not_Satisfied(&lt;3)"/>
    <x v="0"/>
    <n v="2"/>
    <s v="Low"/>
    <n v="1"/>
    <x v="0"/>
    <x v="8"/>
    <n v="2"/>
    <s v="Not_Satisfied(&lt;=2)"/>
    <x v="1"/>
    <n v="1"/>
    <s v="Y"/>
    <x v="1"/>
    <n v="12"/>
    <x v="0"/>
    <n v="1"/>
    <n v="3"/>
    <s v="Good(&gt;=3)"/>
    <n v="1"/>
    <s v="Short(&lt;=4)"/>
    <n v="0"/>
    <x v="0"/>
    <n v="0"/>
    <s v="Reasonable(&lt;=3)"/>
  </r>
  <r>
    <x v="10"/>
    <s v="Middle_Age(30-50)"/>
    <x v="1"/>
    <s v="Rarely"/>
    <s v="Sales"/>
    <n v="18"/>
    <s v="Far(&gt;=15)"/>
    <n v="2"/>
    <s v="Not_Satisfied(&lt;3)"/>
    <x v="1"/>
    <n v="3"/>
    <s v="Medium"/>
    <n v="2"/>
    <x v="0"/>
    <x v="0"/>
    <n v="1"/>
    <s v="Not_Satisfied(&lt;=2)"/>
    <x v="1"/>
    <n v="0"/>
    <s v="Y"/>
    <x v="1"/>
    <n v="16"/>
    <x v="0"/>
    <n v="6"/>
    <n v="1"/>
    <s v="Poor(&lt;=2)"/>
    <n v="5"/>
    <s v="Long(5-10)"/>
    <n v="3"/>
    <x v="0"/>
    <n v="0"/>
    <s v="Reasonable(&lt;=3)"/>
  </r>
  <r>
    <x v="14"/>
    <s v="Young(&lt;=29)"/>
    <x v="1"/>
    <s v="Rarely"/>
    <s v="Research &amp; Development"/>
    <n v="16"/>
    <s v="Far(&gt;=15)"/>
    <n v="3"/>
    <s v="Satisfied(&gt;=3)"/>
    <x v="1"/>
    <n v="3"/>
    <s v="Medium"/>
    <n v="1"/>
    <x v="0"/>
    <x v="1"/>
    <n v="3"/>
    <s v="Satisfied(&gt;=3)"/>
    <x v="0"/>
    <n v="1"/>
    <s v="Y"/>
    <x v="1"/>
    <n v="14"/>
    <x v="0"/>
    <n v="5"/>
    <n v="2"/>
    <s v="Poor(&lt;=2)"/>
    <n v="5"/>
    <s v="Long(5-10)"/>
    <n v="3"/>
    <x v="0"/>
    <n v="1"/>
    <s v="Reasonable(&lt;=3)"/>
  </r>
  <r>
    <x v="12"/>
    <s v="Middle_Age(30-50)"/>
    <x v="1"/>
    <s v="Rarely"/>
    <s v="Research &amp; Development"/>
    <n v="3"/>
    <s v="Nearby(&lt;=5)"/>
    <n v="3"/>
    <s v="Satisfied(&gt;=3)"/>
    <x v="1"/>
    <n v="3"/>
    <s v="Medium"/>
    <n v="1"/>
    <x v="0"/>
    <x v="1"/>
    <n v="1"/>
    <s v="Not_Satisfied(&lt;=2)"/>
    <x v="2"/>
    <n v="1"/>
    <s v="Y"/>
    <x v="0"/>
    <n v="13"/>
    <x v="0"/>
    <n v="4"/>
    <n v="4"/>
    <s v="Good(&gt;=3)"/>
    <n v="4"/>
    <s v="Short(&lt;=4)"/>
    <n v="2"/>
    <x v="0"/>
    <n v="2"/>
    <s v="Reasonable(&lt;=3)"/>
  </r>
  <r>
    <x v="9"/>
    <s v="Middle_Age(30-50)"/>
    <x v="1"/>
    <s v="Rarely"/>
    <s v="Research &amp; Development"/>
    <n v="9"/>
    <s v="Middistance(6-14)"/>
    <n v="1"/>
    <s v="Not_Satisfied(&lt;3)"/>
    <x v="1"/>
    <n v="4"/>
    <s v="High"/>
    <n v="1"/>
    <x v="0"/>
    <x v="2"/>
    <n v="2"/>
    <s v="Not_Satisfied(&lt;=2)"/>
    <x v="1"/>
    <n v="1"/>
    <s v="Y"/>
    <x v="1"/>
    <n v="22"/>
    <x v="1"/>
    <n v="5"/>
    <n v="3"/>
    <s v="Good(&gt;=3)"/>
    <n v="5"/>
    <s v="Long(5-10)"/>
    <n v="4"/>
    <x v="0"/>
    <n v="0"/>
    <s v="Reasonable(&lt;=3)"/>
  </r>
  <r>
    <x v="13"/>
    <s v="Middle_Age(30-50)"/>
    <x v="1"/>
    <s v="Rarely"/>
    <s v="Sales"/>
    <n v="1"/>
    <s v="Nearby(&lt;=5)"/>
    <n v="1"/>
    <s v="Not_Satisfied(&lt;3)"/>
    <x v="1"/>
    <n v="3"/>
    <s v="Medium"/>
    <n v="3"/>
    <x v="1"/>
    <x v="0"/>
    <n v="4"/>
    <s v="Satisfied(&gt;=3)"/>
    <x v="0"/>
    <n v="1"/>
    <s v="Y"/>
    <x v="1"/>
    <n v="21"/>
    <x v="1"/>
    <n v="14"/>
    <n v="2"/>
    <s v="Poor(&lt;=2)"/>
    <n v="14"/>
    <s v="Ultra_Long(&gt;10)"/>
    <n v="8"/>
    <x v="1"/>
    <n v="2"/>
    <s v="Reasonable(&lt;=3)"/>
  </r>
  <r>
    <x v="13"/>
    <s v="Middle_Age(30-50)"/>
    <x v="1"/>
    <s v="Rarely"/>
    <s v="Sales"/>
    <n v="13"/>
    <s v="Middistance(6-14)"/>
    <n v="4"/>
    <s v="Satisfied(&gt;=3)"/>
    <x v="1"/>
    <n v="3"/>
    <s v="Medium"/>
    <n v="3"/>
    <x v="1"/>
    <x v="0"/>
    <n v="3"/>
    <s v="Satisfied(&gt;=3)"/>
    <x v="2"/>
    <n v="1"/>
    <s v="Y"/>
    <x v="1"/>
    <n v="18"/>
    <x v="0"/>
    <n v="9"/>
    <n v="2"/>
    <s v="Poor(&lt;=2)"/>
    <n v="8"/>
    <s v="Long(5-10)"/>
    <n v="7"/>
    <x v="1"/>
    <n v="1"/>
    <s v="Reasonable(&lt;=3)"/>
  </r>
  <r>
    <x v="25"/>
    <s v="Young(&lt;=29)"/>
    <x v="1"/>
    <s v="Rarely"/>
    <s v="Research &amp; Development"/>
    <n v="1"/>
    <s v="Nearby(&lt;=5)"/>
    <n v="3"/>
    <s v="Satisfied(&gt;=3)"/>
    <x v="1"/>
    <n v="3"/>
    <s v="Medium"/>
    <n v="1"/>
    <x v="0"/>
    <x v="2"/>
    <n v="1"/>
    <s v="Not_Satisfied(&lt;=2)"/>
    <x v="0"/>
    <n v="0"/>
    <s v="Y"/>
    <x v="1"/>
    <n v="13"/>
    <x v="0"/>
    <n v="8"/>
    <n v="2"/>
    <s v="Poor(&lt;=2)"/>
    <n v="7"/>
    <s v="Long(5-10)"/>
    <n v="7"/>
    <x v="1"/>
    <n v="7"/>
    <s v="Not_Reasonable(&gt;3)"/>
  </r>
  <r>
    <x v="11"/>
    <s v="Young(&lt;=29)"/>
    <x v="1"/>
    <s v="Rarely"/>
    <s v="Research &amp; Development"/>
    <n v="1"/>
    <s v="Nearby(&lt;=5)"/>
    <n v="1"/>
    <s v="Not_Satisfied(&lt;3)"/>
    <x v="1"/>
    <n v="3"/>
    <s v="Medium"/>
    <n v="2"/>
    <x v="0"/>
    <x v="4"/>
    <n v="1"/>
    <s v="Not_Satisfied(&lt;=2)"/>
    <x v="1"/>
    <n v="0"/>
    <s v="Y"/>
    <x v="1"/>
    <n v="12"/>
    <x v="0"/>
    <n v="6"/>
    <n v="2"/>
    <s v="Poor(&lt;=2)"/>
    <n v="5"/>
    <s v="Long(5-10)"/>
    <n v="3"/>
    <x v="0"/>
    <n v="0"/>
    <s v="Reasonable(&lt;=3)"/>
  </r>
  <r>
    <x v="5"/>
    <s v="Middle_Age(30-50)"/>
    <x v="1"/>
    <s v="Rarely"/>
    <s v="Research &amp; Development"/>
    <n v="15"/>
    <s v="Far(&gt;=15)"/>
    <n v="3"/>
    <s v="Satisfied(&gt;=3)"/>
    <x v="0"/>
    <n v="3"/>
    <s v="Medium"/>
    <n v="2"/>
    <x v="0"/>
    <x v="4"/>
    <n v="4"/>
    <s v="Satisfied(&gt;=3)"/>
    <x v="2"/>
    <n v="5"/>
    <s v="Y"/>
    <x v="1"/>
    <n v="18"/>
    <x v="0"/>
    <n v="9"/>
    <n v="3"/>
    <s v="Good(&gt;=3)"/>
    <n v="5"/>
    <s v="Long(5-10)"/>
    <n v="1"/>
    <x v="0"/>
    <n v="1"/>
    <s v="Reasonable(&lt;=3)"/>
  </r>
  <r>
    <x v="12"/>
    <s v="Middle_Age(30-50)"/>
    <x v="1"/>
    <s v="Frequently"/>
    <s v="Research &amp; Development"/>
    <n v="1"/>
    <s v="Nearby(&lt;=5)"/>
    <n v="4"/>
    <s v="Satisfied(&gt;=3)"/>
    <x v="1"/>
    <n v="1"/>
    <s v="Low"/>
    <n v="2"/>
    <x v="0"/>
    <x v="1"/>
    <n v="1"/>
    <s v="Not_Satisfied(&lt;=2)"/>
    <x v="1"/>
    <n v="1"/>
    <s v="Y"/>
    <x v="1"/>
    <n v="21"/>
    <x v="1"/>
    <n v="10"/>
    <n v="3"/>
    <s v="Good(&gt;=3)"/>
    <n v="10"/>
    <s v="Long(5-10)"/>
    <n v="8"/>
    <x v="1"/>
    <n v="8"/>
    <s v="Not_Reasonable(&gt;3)"/>
  </r>
  <r>
    <x v="14"/>
    <s v="Young(&lt;=29)"/>
    <x v="0"/>
    <s v="Rarely"/>
    <s v="Research &amp; Development"/>
    <n v="17"/>
    <s v="Far(&gt;=15)"/>
    <n v="3"/>
    <s v="Satisfied(&gt;=3)"/>
    <x v="1"/>
    <n v="2"/>
    <s v="Low"/>
    <n v="1"/>
    <x v="0"/>
    <x v="2"/>
    <n v="4"/>
    <s v="Satisfied(&gt;=3)"/>
    <x v="2"/>
    <n v="5"/>
    <s v="Y"/>
    <x v="1"/>
    <n v="12"/>
    <x v="0"/>
    <n v="6"/>
    <n v="2"/>
    <s v="Poor(&lt;=2)"/>
    <n v="4"/>
    <s v="Short(&lt;=4)"/>
    <n v="1"/>
    <x v="0"/>
    <n v="0"/>
    <s v="Reasonable(&lt;=3)"/>
  </r>
  <r>
    <x v="8"/>
    <s v="Middle_Age(30-50)"/>
    <x v="1"/>
    <s v="Rarely"/>
    <s v="Sales"/>
    <n v="1"/>
    <s v="Nearby(&lt;=5)"/>
    <n v="1"/>
    <s v="Not_Satisfied(&lt;3)"/>
    <x v="1"/>
    <n v="2"/>
    <s v="Low"/>
    <n v="1"/>
    <x v="0"/>
    <x v="6"/>
    <n v="1"/>
    <s v="Not_Satisfied(&lt;=2)"/>
    <x v="0"/>
    <n v="4"/>
    <s v="Y"/>
    <x v="1"/>
    <n v="14"/>
    <x v="0"/>
    <n v="20"/>
    <n v="2"/>
    <s v="Poor(&lt;=2)"/>
    <n v="1"/>
    <s v="Short(&lt;=4)"/>
    <n v="0"/>
    <x v="0"/>
    <n v="0"/>
    <s v="Reasonable(&lt;=3)"/>
  </r>
  <r>
    <x v="10"/>
    <s v="Middle_Age(30-50)"/>
    <x v="1"/>
    <s v="Rarely"/>
    <s v="Sales"/>
    <n v="7"/>
    <s v="Middistance(6-14)"/>
    <n v="3"/>
    <s v="Satisfied(&gt;=3)"/>
    <x v="0"/>
    <n v="3"/>
    <s v="Medium"/>
    <n v="2"/>
    <x v="0"/>
    <x v="0"/>
    <n v="4"/>
    <s v="Satisfied(&gt;=3)"/>
    <x v="1"/>
    <n v="1"/>
    <s v="Y"/>
    <x v="0"/>
    <n v="11"/>
    <x v="0"/>
    <n v="10"/>
    <n v="3"/>
    <s v="Good(&gt;=3)"/>
    <n v="10"/>
    <s v="Long(5-10)"/>
    <n v="8"/>
    <x v="1"/>
    <n v="0"/>
    <s v="Reasonable(&lt;=3)"/>
  </r>
  <r>
    <x v="4"/>
    <s v="Young(&lt;=29)"/>
    <x v="1"/>
    <s v="Rarely"/>
    <s v="Sales"/>
    <n v="9"/>
    <s v="Middistance(6-14)"/>
    <n v="4"/>
    <s v="Satisfied(&gt;=3)"/>
    <x v="1"/>
    <n v="3"/>
    <s v="Medium"/>
    <n v="2"/>
    <x v="0"/>
    <x v="0"/>
    <n v="4"/>
    <s v="Satisfied(&gt;=3)"/>
    <x v="0"/>
    <n v="1"/>
    <s v="Y"/>
    <x v="1"/>
    <n v="14"/>
    <x v="0"/>
    <n v="7"/>
    <n v="3"/>
    <s v="Good(&gt;=3)"/>
    <n v="7"/>
    <s v="Long(5-10)"/>
    <n v="7"/>
    <x v="1"/>
    <n v="0"/>
    <s v="Reasonable(&lt;=3)"/>
  </r>
  <r>
    <x v="5"/>
    <s v="Middle_Age(30-50)"/>
    <x v="1"/>
    <s v="Rarely"/>
    <s v="Research &amp; Development"/>
    <n v="5"/>
    <s v="Nearby(&lt;=5)"/>
    <n v="4"/>
    <s v="Satisfied(&gt;=3)"/>
    <x v="1"/>
    <n v="2"/>
    <s v="Low"/>
    <n v="2"/>
    <x v="0"/>
    <x v="3"/>
    <n v="4"/>
    <s v="Satisfied(&gt;=3)"/>
    <x v="0"/>
    <n v="8"/>
    <s v="Y"/>
    <x v="1"/>
    <n v="24"/>
    <x v="1"/>
    <n v="8"/>
    <n v="3"/>
    <s v="Good(&gt;=3)"/>
    <n v="1"/>
    <s v="Short(&lt;=4)"/>
    <n v="0"/>
    <x v="0"/>
    <n v="0"/>
    <s v="Reasonable(&lt;=3)"/>
  </r>
  <r>
    <x v="12"/>
    <s v="Middle_Age(30-50)"/>
    <x v="0"/>
    <s v="Frequently"/>
    <s v="Sales"/>
    <n v="26"/>
    <s v="Far(&gt;=15)"/>
    <n v="1"/>
    <s v="Not_Satisfied(&lt;3)"/>
    <x v="1"/>
    <n v="3"/>
    <s v="Medium"/>
    <n v="2"/>
    <x v="0"/>
    <x v="0"/>
    <n v="4"/>
    <s v="Satisfied(&gt;=3)"/>
    <x v="1"/>
    <n v="1"/>
    <s v="Y"/>
    <x v="0"/>
    <n v="11"/>
    <x v="0"/>
    <n v="10"/>
    <n v="3"/>
    <s v="Good(&gt;=3)"/>
    <n v="10"/>
    <s v="Long(5-10)"/>
    <n v="7"/>
    <x v="1"/>
    <n v="0"/>
    <s v="Reasonable(&lt;=3)"/>
  </r>
  <r>
    <x v="16"/>
    <s v="Old(&gt;50)"/>
    <x v="0"/>
    <s v="Rarely"/>
    <s v="Sales"/>
    <n v="24"/>
    <s v="Far(&gt;=15)"/>
    <n v="1"/>
    <s v="Not_Satisfied(&lt;3)"/>
    <x v="1"/>
    <n v="3"/>
    <s v="Medium"/>
    <n v="3"/>
    <x v="1"/>
    <x v="0"/>
    <n v="1"/>
    <s v="Not_Satisfied(&lt;=2)"/>
    <x v="0"/>
    <n v="6"/>
    <s v="Y"/>
    <x v="0"/>
    <n v="13"/>
    <x v="0"/>
    <n v="15"/>
    <n v="2"/>
    <s v="Poor(&lt;=2)"/>
    <n v="2"/>
    <s v="Short(&lt;=4)"/>
    <n v="2"/>
    <x v="0"/>
    <n v="2"/>
    <s v="Reasonable(&lt;=3)"/>
  </r>
  <r>
    <x v="33"/>
    <s v="Old(&gt;50)"/>
    <x v="1"/>
    <s v="Rarely"/>
    <s v="Research &amp; Development"/>
    <n v="9"/>
    <s v="Middistance(6-14)"/>
    <n v="1"/>
    <s v="Not_Satisfied(&lt;3)"/>
    <x v="0"/>
    <n v="3"/>
    <s v="Medium"/>
    <n v="2"/>
    <x v="0"/>
    <x v="1"/>
    <n v="3"/>
    <s v="Satisfied(&gt;=3)"/>
    <x v="1"/>
    <n v="3"/>
    <s v="Y"/>
    <x v="1"/>
    <n v="11"/>
    <x v="0"/>
    <n v="9"/>
    <n v="2"/>
    <s v="Poor(&lt;=2)"/>
    <n v="4"/>
    <s v="Short(&lt;=4)"/>
    <n v="3"/>
    <x v="0"/>
    <n v="2"/>
    <s v="Reasonable(&lt;=3)"/>
  </r>
  <r>
    <x v="3"/>
    <s v="Middle_Age(30-50)"/>
    <x v="1"/>
    <s v="Frequently"/>
    <s v="Research &amp; Development"/>
    <n v="7"/>
    <s v="Middistance(6-14)"/>
    <n v="4"/>
    <s v="Satisfied(&gt;=3)"/>
    <x v="1"/>
    <n v="3"/>
    <s v="Medium"/>
    <n v="2"/>
    <x v="0"/>
    <x v="4"/>
    <n v="3"/>
    <s v="Satisfied(&gt;=3)"/>
    <x v="2"/>
    <n v="1"/>
    <s v="Y"/>
    <x v="1"/>
    <n v="20"/>
    <x v="1"/>
    <n v="9"/>
    <n v="3"/>
    <s v="Good(&gt;=3)"/>
    <n v="9"/>
    <s v="Long(5-10)"/>
    <n v="7"/>
    <x v="1"/>
    <n v="2"/>
    <s v="Reasonable(&lt;=3)"/>
  </r>
  <r>
    <x v="23"/>
    <s v="Middle_Age(30-50)"/>
    <x v="1"/>
    <s v="Rarely"/>
    <s v="Research &amp; Development"/>
    <n v="11"/>
    <s v="Middistance(6-14)"/>
    <n v="1"/>
    <s v="Not_Satisfied(&lt;3)"/>
    <x v="1"/>
    <n v="3"/>
    <s v="Medium"/>
    <n v="3"/>
    <x v="1"/>
    <x v="4"/>
    <n v="3"/>
    <s v="Satisfied(&gt;=3)"/>
    <x v="1"/>
    <n v="1"/>
    <s v="Y"/>
    <x v="1"/>
    <n v="17"/>
    <x v="0"/>
    <n v="10"/>
    <n v="3"/>
    <s v="Good(&gt;=3)"/>
    <n v="10"/>
    <s v="Long(5-10)"/>
    <n v="9"/>
    <x v="1"/>
    <n v="0"/>
    <s v="Reasonable(&lt;=3)"/>
  </r>
  <r>
    <x v="8"/>
    <s v="Middle_Age(30-50)"/>
    <x v="1"/>
    <s v="Frequently"/>
    <s v="Human Resources"/>
    <n v="1"/>
    <s v="Nearby(&lt;=5)"/>
    <n v="4"/>
    <s v="Satisfied(&gt;=3)"/>
    <x v="1"/>
    <n v="3"/>
    <s v="Medium"/>
    <n v="1"/>
    <x v="0"/>
    <x v="8"/>
    <n v="2"/>
    <s v="Not_Satisfied(&lt;=2)"/>
    <x v="1"/>
    <n v="0"/>
    <s v="Y"/>
    <x v="0"/>
    <n v="11"/>
    <x v="0"/>
    <n v="7"/>
    <n v="3"/>
    <s v="Good(&gt;=3)"/>
    <n v="6"/>
    <s v="Long(5-10)"/>
    <n v="2"/>
    <x v="0"/>
    <n v="1"/>
    <s v="Reasonable(&lt;=3)"/>
  </r>
  <r>
    <x v="27"/>
    <s v="Old(&gt;50)"/>
    <x v="1"/>
    <s v="Rarely"/>
    <s v="Human Resources"/>
    <n v="26"/>
    <s v="Far(&gt;=15)"/>
    <n v="3"/>
    <s v="Satisfied(&gt;=3)"/>
    <x v="1"/>
    <n v="4"/>
    <s v="High"/>
    <n v="5"/>
    <x v="2"/>
    <x v="5"/>
    <n v="2"/>
    <s v="Not_Satisfied(&lt;=2)"/>
    <x v="1"/>
    <n v="4"/>
    <s v="Y"/>
    <x v="0"/>
    <n v="18"/>
    <x v="0"/>
    <n v="35"/>
    <n v="3"/>
    <s v="Good(&gt;=3)"/>
    <n v="10"/>
    <s v="Long(5-10)"/>
    <n v="9"/>
    <x v="1"/>
    <n v="1"/>
    <s v="Reasonable(&lt;=3)"/>
  </r>
  <r>
    <x v="12"/>
    <s v="Middle_Age(30-50)"/>
    <x v="1"/>
    <s v="Rarely"/>
    <s v="Research &amp; Development"/>
    <n v="2"/>
    <s v="Nearby(&lt;=5)"/>
    <n v="4"/>
    <s v="Satisfied(&gt;=3)"/>
    <x v="0"/>
    <n v="1"/>
    <s v="Low"/>
    <n v="1"/>
    <x v="0"/>
    <x v="2"/>
    <n v="4"/>
    <s v="Satisfied(&gt;=3)"/>
    <x v="2"/>
    <n v="1"/>
    <s v="Y"/>
    <x v="0"/>
    <n v="11"/>
    <x v="0"/>
    <n v="1"/>
    <n v="3"/>
    <s v="Good(&gt;=3)"/>
    <n v="1"/>
    <s v="Short(&lt;=4)"/>
    <n v="0"/>
    <x v="0"/>
    <n v="0"/>
    <s v="Reasonable(&lt;=3)"/>
  </r>
  <r>
    <x v="22"/>
    <s v="Middle_Age(30-50)"/>
    <x v="1"/>
    <s v="Rarely"/>
    <s v="Sales"/>
    <n v="15"/>
    <s v="Far(&gt;=15)"/>
    <n v="2"/>
    <s v="Not_Satisfied(&lt;3)"/>
    <x v="1"/>
    <n v="3"/>
    <s v="Medium"/>
    <n v="4"/>
    <x v="2"/>
    <x v="0"/>
    <n v="1"/>
    <s v="Not_Satisfied(&lt;=2)"/>
    <x v="0"/>
    <n v="0"/>
    <s v="Y"/>
    <x v="1"/>
    <n v="12"/>
    <x v="0"/>
    <n v="21"/>
    <n v="3"/>
    <s v="Good(&gt;=3)"/>
    <n v="20"/>
    <s v="Ultra_Long(&gt;10)"/>
    <n v="8"/>
    <x v="1"/>
    <n v="11"/>
    <s v="Not_Reasonable(&gt;3)"/>
  </r>
  <r>
    <x v="19"/>
    <s v="Middle_Age(30-50)"/>
    <x v="1"/>
    <s v="Rarely"/>
    <s v="Research &amp; Development"/>
    <n v="23"/>
    <s v="Far(&gt;=15)"/>
    <n v="4"/>
    <s v="Satisfied(&gt;=3)"/>
    <x v="1"/>
    <n v="2"/>
    <s v="Low"/>
    <n v="2"/>
    <x v="0"/>
    <x v="1"/>
    <n v="3"/>
    <s v="Satisfied(&gt;=3)"/>
    <x v="0"/>
    <n v="1"/>
    <s v="Y"/>
    <x v="1"/>
    <n v="12"/>
    <x v="0"/>
    <n v="20"/>
    <n v="3"/>
    <s v="Good(&gt;=3)"/>
    <n v="20"/>
    <s v="Ultra_Long(&gt;10)"/>
    <n v="9"/>
    <x v="1"/>
    <n v="3"/>
    <s v="Reasonable(&lt;=3)"/>
  </r>
  <r>
    <x v="12"/>
    <s v="Middle_Age(30-50)"/>
    <x v="1"/>
    <s v="Rarely"/>
    <s v="Research &amp; Development"/>
    <n v="10"/>
    <s v="Middistance(6-14)"/>
    <n v="3"/>
    <s v="Satisfied(&gt;=3)"/>
    <x v="0"/>
    <n v="3"/>
    <s v="Medium"/>
    <n v="3"/>
    <x v="1"/>
    <x v="7"/>
    <n v="3"/>
    <s v="Satisfied(&gt;=3)"/>
    <x v="1"/>
    <n v="4"/>
    <s v="Y"/>
    <x v="1"/>
    <n v="20"/>
    <x v="1"/>
    <n v="13"/>
    <n v="4"/>
    <s v="Good(&gt;=3)"/>
    <n v="11"/>
    <s v="Ultra_Long(&gt;10)"/>
    <n v="7"/>
    <x v="1"/>
    <n v="4"/>
    <s v="Not_Reasonable(&gt;3)"/>
  </r>
  <r>
    <x v="33"/>
    <s v="Old(&gt;50)"/>
    <x v="1"/>
    <s v="Rarely"/>
    <s v="Research &amp; Development"/>
    <n v="10"/>
    <s v="Middistance(6-14)"/>
    <n v="3"/>
    <s v="Satisfied(&gt;=3)"/>
    <x v="0"/>
    <n v="3"/>
    <s v="Medium"/>
    <n v="2"/>
    <x v="0"/>
    <x v="3"/>
    <n v="1"/>
    <s v="Not_Satisfied(&lt;=2)"/>
    <x v="0"/>
    <n v="6"/>
    <s v="Y"/>
    <x v="0"/>
    <n v="19"/>
    <x v="0"/>
    <n v="9"/>
    <n v="3"/>
    <s v="Good(&gt;=3)"/>
    <n v="5"/>
    <s v="Long(5-10)"/>
    <n v="2"/>
    <x v="0"/>
    <n v="1"/>
    <s v="Reasonable(&lt;=3)"/>
  </r>
  <r>
    <x v="17"/>
    <s v="Young(&lt;=29)"/>
    <x v="1"/>
    <s v="Rarely"/>
    <s v="Research &amp; Development"/>
    <n v="1"/>
    <s v="Nearby(&lt;=5)"/>
    <n v="2"/>
    <s v="Not_Satisfied(&lt;3)"/>
    <x v="1"/>
    <n v="2"/>
    <s v="Low"/>
    <n v="2"/>
    <x v="0"/>
    <x v="4"/>
    <n v="3"/>
    <s v="Satisfied(&gt;=3)"/>
    <x v="0"/>
    <n v="1"/>
    <s v="Y"/>
    <x v="1"/>
    <n v="12"/>
    <x v="0"/>
    <n v="4"/>
    <n v="2"/>
    <s v="Poor(&lt;=2)"/>
    <n v="4"/>
    <s v="Short(&lt;=4)"/>
    <n v="3"/>
    <x v="0"/>
    <n v="1"/>
    <s v="Reasonable(&lt;=3)"/>
  </r>
  <r>
    <x v="30"/>
    <s v="Young(&lt;=29)"/>
    <x v="1"/>
    <s v="Rarely"/>
    <s v="Research &amp; Development"/>
    <n v="12"/>
    <s v="Middistance(6-14)"/>
    <n v="4"/>
    <s v="Satisfied(&gt;=3)"/>
    <x v="1"/>
    <n v="3"/>
    <s v="Medium"/>
    <n v="1"/>
    <x v="0"/>
    <x v="2"/>
    <n v="4"/>
    <s v="Satisfied(&gt;=3)"/>
    <x v="0"/>
    <n v="1"/>
    <s v="Y"/>
    <x v="1"/>
    <n v="13"/>
    <x v="0"/>
    <n v="5"/>
    <n v="4"/>
    <s v="Good(&gt;=3)"/>
    <n v="5"/>
    <s v="Long(5-10)"/>
    <n v="2"/>
    <x v="0"/>
    <n v="1"/>
    <s v="Reasonable(&lt;=3)"/>
  </r>
  <r>
    <x v="32"/>
    <s v="Middle_Age(30-50)"/>
    <x v="1"/>
    <s v="Frequently"/>
    <s v="Research &amp; Development"/>
    <n v="11"/>
    <s v="Middistance(6-14)"/>
    <n v="4"/>
    <s v="Satisfied(&gt;=3)"/>
    <x v="0"/>
    <n v="3"/>
    <s v="Medium"/>
    <n v="2"/>
    <x v="0"/>
    <x v="2"/>
    <n v="3"/>
    <s v="Satisfied(&gt;=3)"/>
    <x v="1"/>
    <n v="1"/>
    <s v="Y"/>
    <x v="1"/>
    <n v="11"/>
    <x v="0"/>
    <n v="10"/>
    <n v="4"/>
    <s v="Good(&gt;=3)"/>
    <n v="10"/>
    <s v="Long(5-10)"/>
    <n v="9"/>
    <x v="1"/>
    <n v="9"/>
    <s v="Not_Reasonable(&gt;3)"/>
  </r>
  <r>
    <x v="32"/>
    <s v="Middle_Age(30-50)"/>
    <x v="1"/>
    <s v="Rarely"/>
    <s v="Sales"/>
    <n v="2"/>
    <s v="Nearby(&lt;=5)"/>
    <n v="2"/>
    <s v="Not_Satisfied(&lt;3)"/>
    <x v="0"/>
    <n v="3"/>
    <s v="Medium"/>
    <n v="2"/>
    <x v="0"/>
    <x v="0"/>
    <n v="2"/>
    <s v="Not_Satisfied(&lt;=2)"/>
    <x v="1"/>
    <n v="3"/>
    <s v="Y"/>
    <x v="1"/>
    <n v="14"/>
    <x v="0"/>
    <n v="15"/>
    <n v="3"/>
    <s v="Good(&gt;=3)"/>
    <n v="11"/>
    <s v="Ultra_Long(&gt;10)"/>
    <n v="8"/>
    <x v="1"/>
    <n v="5"/>
    <s v="Not_Reasonable(&gt;3)"/>
  </r>
  <r>
    <x v="36"/>
    <s v="Young(&lt;=29)"/>
    <x v="1"/>
    <s v="Rarely"/>
    <s v="Human Resources"/>
    <n v="2"/>
    <s v="Nearby(&lt;=5)"/>
    <n v="3"/>
    <s v="Satisfied(&gt;=3)"/>
    <x v="0"/>
    <n v="3"/>
    <s v="Medium"/>
    <n v="1"/>
    <x v="0"/>
    <x v="8"/>
    <n v="2"/>
    <s v="Not_Satisfied(&lt;=2)"/>
    <x v="1"/>
    <n v="4"/>
    <s v="Y"/>
    <x v="1"/>
    <n v="14"/>
    <x v="0"/>
    <n v="6"/>
    <n v="3"/>
    <s v="Good(&gt;=3)"/>
    <n v="2"/>
    <s v="Short(&lt;=4)"/>
    <n v="0"/>
    <x v="0"/>
    <n v="1"/>
    <s v="Reasonable(&lt;=3)"/>
  </r>
  <r>
    <x v="7"/>
    <s v="Middle_Age(30-50)"/>
    <x v="1"/>
    <s v="Rarely"/>
    <s v="Research &amp; Development"/>
    <n v="1"/>
    <s v="Nearby(&lt;=5)"/>
    <n v="4"/>
    <s v="Satisfied(&gt;=3)"/>
    <x v="1"/>
    <n v="3"/>
    <s v="Medium"/>
    <n v="1"/>
    <x v="0"/>
    <x v="2"/>
    <n v="2"/>
    <s v="Not_Satisfied(&lt;=2)"/>
    <x v="1"/>
    <n v="1"/>
    <s v="Y"/>
    <x v="1"/>
    <n v="13"/>
    <x v="0"/>
    <n v="12"/>
    <n v="2"/>
    <s v="Poor(&lt;=2)"/>
    <n v="12"/>
    <s v="Ultra_Long(&gt;10)"/>
    <n v="8"/>
    <x v="1"/>
    <n v="1"/>
    <s v="Reasonable(&lt;=3)"/>
  </r>
  <r>
    <x v="36"/>
    <s v="Young(&lt;=29)"/>
    <x v="1"/>
    <s v="Rarely"/>
    <s v="Research &amp; Development"/>
    <n v="2"/>
    <s v="Nearby(&lt;=5)"/>
    <n v="4"/>
    <s v="Satisfied(&gt;=3)"/>
    <x v="1"/>
    <n v="3"/>
    <s v="Medium"/>
    <n v="1"/>
    <x v="0"/>
    <x v="2"/>
    <n v="3"/>
    <s v="Satisfied(&gt;=3)"/>
    <x v="2"/>
    <n v="6"/>
    <s v="Y"/>
    <x v="0"/>
    <n v="19"/>
    <x v="0"/>
    <n v="7"/>
    <n v="2"/>
    <s v="Poor(&lt;=2)"/>
    <n v="2"/>
    <s v="Short(&lt;=4)"/>
    <n v="2"/>
    <x v="0"/>
    <n v="0"/>
    <s v="Reasonable(&lt;=3)"/>
  </r>
  <r>
    <x v="40"/>
    <s v="Middle_Age(30-50)"/>
    <x v="1"/>
    <s v="Rarely"/>
    <s v="Research &amp; Development"/>
    <n v="25"/>
    <s v="Far(&gt;=15)"/>
    <n v="1"/>
    <s v="Not_Satisfied(&lt;3)"/>
    <x v="1"/>
    <n v="3"/>
    <s v="Medium"/>
    <n v="3"/>
    <x v="1"/>
    <x v="4"/>
    <n v="3"/>
    <s v="Satisfied(&gt;=3)"/>
    <x v="0"/>
    <n v="2"/>
    <s v="Y"/>
    <x v="1"/>
    <n v="23"/>
    <x v="1"/>
    <n v="25"/>
    <n v="3"/>
    <s v="Good(&gt;=3)"/>
    <n v="17"/>
    <s v="Ultra_Long(&gt;10)"/>
    <n v="14"/>
    <x v="2"/>
    <n v="12"/>
    <s v="Not_Reasonable(&gt;3)"/>
  </r>
  <r>
    <x v="3"/>
    <s v="Middle_Age(30-50)"/>
    <x v="1"/>
    <s v="Rarely"/>
    <s v="Research &amp; Development"/>
    <n v="1"/>
    <s v="Nearby(&lt;=5)"/>
    <n v="2"/>
    <s v="Not_Satisfied(&lt;3)"/>
    <x v="1"/>
    <n v="2"/>
    <s v="Low"/>
    <n v="1"/>
    <x v="0"/>
    <x v="2"/>
    <n v="3"/>
    <s v="Satisfied(&gt;=3)"/>
    <x v="2"/>
    <n v="1"/>
    <s v="Y"/>
    <x v="1"/>
    <n v="12"/>
    <x v="0"/>
    <n v="1"/>
    <n v="2"/>
    <s v="Poor(&lt;=2)"/>
    <n v="1"/>
    <s v="Short(&lt;=4)"/>
    <n v="1"/>
    <x v="0"/>
    <n v="0"/>
    <s v="Reasonable(&lt;=3)"/>
  </r>
  <r>
    <x v="8"/>
    <s v="Middle_Age(30-50)"/>
    <x v="1"/>
    <s v="Rarely"/>
    <s v="Sales"/>
    <n v="1"/>
    <s v="Nearby(&lt;=5)"/>
    <n v="4"/>
    <s v="Satisfied(&gt;=3)"/>
    <x v="1"/>
    <n v="3"/>
    <s v="Medium"/>
    <n v="2"/>
    <x v="0"/>
    <x v="0"/>
    <n v="2"/>
    <s v="Not_Satisfied(&lt;=2)"/>
    <x v="1"/>
    <n v="0"/>
    <s v="Y"/>
    <x v="1"/>
    <n v="15"/>
    <x v="0"/>
    <n v="16"/>
    <n v="3"/>
    <s v="Good(&gt;=3)"/>
    <n v="15"/>
    <s v="Ultra_Long(&gt;10)"/>
    <n v="13"/>
    <x v="2"/>
    <n v="5"/>
    <s v="Not_Reasonable(&gt;3)"/>
  </r>
  <r>
    <x v="12"/>
    <s v="Middle_Age(30-50)"/>
    <x v="1"/>
    <s v="Rarely"/>
    <s v="Sales"/>
    <n v="2"/>
    <s v="Nearby(&lt;=5)"/>
    <n v="1"/>
    <s v="Not_Satisfied(&lt;3)"/>
    <x v="1"/>
    <n v="3"/>
    <s v="Medium"/>
    <n v="1"/>
    <x v="0"/>
    <x v="6"/>
    <n v="3"/>
    <s v="Satisfied(&gt;=3)"/>
    <x v="1"/>
    <n v="0"/>
    <s v="Y"/>
    <x v="1"/>
    <n v="19"/>
    <x v="0"/>
    <n v="3"/>
    <n v="3"/>
    <s v="Good(&gt;=3)"/>
    <n v="2"/>
    <s v="Short(&lt;=4)"/>
    <n v="2"/>
    <x v="0"/>
    <n v="1"/>
    <s v="Reasonable(&lt;=3)"/>
  </r>
  <r>
    <x v="8"/>
    <s v="Middle_Age(30-50)"/>
    <x v="1"/>
    <s v="Frequently"/>
    <s v="Research &amp; Development"/>
    <n v="6"/>
    <s v="Middistance(6-14)"/>
    <n v="1"/>
    <s v="Not_Satisfied(&lt;3)"/>
    <x v="1"/>
    <n v="2"/>
    <s v="Low"/>
    <n v="2"/>
    <x v="0"/>
    <x v="3"/>
    <n v="3"/>
    <s v="Satisfied(&gt;=3)"/>
    <x v="1"/>
    <n v="2"/>
    <s v="Y"/>
    <x v="1"/>
    <n v="11"/>
    <x v="0"/>
    <n v="10"/>
    <n v="3"/>
    <s v="Good(&gt;=3)"/>
    <n v="8"/>
    <s v="Long(5-10)"/>
    <n v="3"/>
    <x v="0"/>
    <n v="7"/>
    <s v="Not_Reasonable(&gt;3)"/>
  </r>
  <r>
    <x v="19"/>
    <s v="Middle_Age(30-50)"/>
    <x v="1"/>
    <s v="Rarely"/>
    <s v="Research &amp; Development"/>
    <n v="18"/>
    <s v="Far(&gt;=15)"/>
    <n v="4"/>
    <s v="Satisfied(&gt;=3)"/>
    <x v="1"/>
    <n v="3"/>
    <s v="Medium"/>
    <n v="2"/>
    <x v="0"/>
    <x v="1"/>
    <n v="1"/>
    <s v="Not_Satisfied(&lt;=2)"/>
    <x v="2"/>
    <n v="6"/>
    <s v="Y"/>
    <x v="0"/>
    <n v="17"/>
    <x v="0"/>
    <n v="9"/>
    <n v="2"/>
    <s v="Poor(&lt;=2)"/>
    <n v="4"/>
    <s v="Short(&lt;=4)"/>
    <n v="3"/>
    <x v="0"/>
    <n v="1"/>
    <s v="Reasonable(&lt;=3)"/>
  </r>
  <r>
    <x v="0"/>
    <s v="Middle_Age(30-50)"/>
    <x v="1"/>
    <s v="Rarely"/>
    <s v="Research &amp; Development"/>
    <n v="1"/>
    <s v="Nearby(&lt;=5)"/>
    <n v="4"/>
    <s v="Satisfied(&gt;=3)"/>
    <x v="1"/>
    <n v="3"/>
    <s v="Medium"/>
    <n v="1"/>
    <x v="0"/>
    <x v="1"/>
    <n v="4"/>
    <s v="Satisfied(&gt;=3)"/>
    <x v="1"/>
    <n v="3"/>
    <s v="Y"/>
    <x v="1"/>
    <n v="22"/>
    <x v="1"/>
    <n v="12"/>
    <n v="3"/>
    <s v="Good(&gt;=3)"/>
    <n v="5"/>
    <s v="Long(5-10)"/>
    <n v="3"/>
    <x v="0"/>
    <n v="1"/>
    <s v="Reasonable(&lt;=3)"/>
  </r>
  <r>
    <x v="40"/>
    <s v="Middle_Age(30-50)"/>
    <x v="1"/>
    <s v="Rarely"/>
    <s v="Research &amp; Development"/>
    <n v="1"/>
    <s v="Nearby(&lt;=5)"/>
    <n v="3"/>
    <s v="Satisfied(&gt;=3)"/>
    <x v="0"/>
    <n v="3"/>
    <s v="Medium"/>
    <n v="3"/>
    <x v="1"/>
    <x v="7"/>
    <n v="2"/>
    <s v="Not_Satisfied(&lt;=2)"/>
    <x v="1"/>
    <n v="0"/>
    <s v="Y"/>
    <x v="1"/>
    <n v="18"/>
    <x v="0"/>
    <n v="14"/>
    <n v="1"/>
    <s v="Poor(&lt;=2)"/>
    <n v="13"/>
    <s v="Ultra_Long(&gt;10)"/>
    <n v="8"/>
    <x v="1"/>
    <n v="5"/>
    <s v="Not_Reasonable(&gt;3)"/>
  </r>
  <r>
    <x v="10"/>
    <s v="Middle_Age(30-50)"/>
    <x v="1"/>
    <s v="Rarely"/>
    <s v="Research &amp; Development"/>
    <n v="11"/>
    <s v="Middistance(6-14)"/>
    <n v="4"/>
    <s v="Satisfied(&gt;=3)"/>
    <x v="1"/>
    <n v="3"/>
    <s v="Medium"/>
    <n v="1"/>
    <x v="0"/>
    <x v="2"/>
    <n v="3"/>
    <s v="Satisfied(&gt;=3)"/>
    <x v="1"/>
    <n v="7"/>
    <s v="Y"/>
    <x v="0"/>
    <n v="11"/>
    <x v="0"/>
    <n v="5"/>
    <n v="3"/>
    <s v="Good(&gt;=3)"/>
    <n v="2"/>
    <s v="Short(&lt;=4)"/>
    <n v="2"/>
    <x v="0"/>
    <n v="2"/>
    <s v="Reasonable(&lt;=3)"/>
  </r>
  <r>
    <x v="15"/>
    <s v="Young(&lt;=29)"/>
    <x v="1"/>
    <s v="Rarely"/>
    <s v="Research &amp; Development"/>
    <n v="1"/>
    <s v="Nearby(&lt;=5)"/>
    <n v="4"/>
    <s v="Satisfied(&gt;=3)"/>
    <x v="1"/>
    <n v="3"/>
    <s v="Medium"/>
    <n v="1"/>
    <x v="0"/>
    <x v="1"/>
    <n v="3"/>
    <s v="Satisfied(&gt;=3)"/>
    <x v="0"/>
    <n v="0"/>
    <s v="Y"/>
    <x v="1"/>
    <n v="12"/>
    <x v="0"/>
    <n v="4"/>
    <n v="4"/>
    <s v="Good(&gt;=3)"/>
    <n v="3"/>
    <s v="Short(&lt;=4)"/>
    <n v="2"/>
    <x v="0"/>
    <n v="1"/>
    <s v="Reasonable(&lt;=3)"/>
  </r>
  <r>
    <x v="10"/>
    <s v="Middle_Age(30-50)"/>
    <x v="1"/>
    <s v="Rarely"/>
    <s v="Research &amp; Development"/>
    <n v="9"/>
    <s v="Middistance(6-14)"/>
    <n v="2"/>
    <s v="Not_Satisfied(&lt;3)"/>
    <x v="1"/>
    <n v="3"/>
    <s v="Medium"/>
    <n v="2"/>
    <x v="0"/>
    <x v="1"/>
    <n v="3"/>
    <s v="Satisfied(&gt;=3)"/>
    <x v="0"/>
    <n v="1"/>
    <s v="Y"/>
    <x v="1"/>
    <n v="19"/>
    <x v="0"/>
    <n v="10"/>
    <n v="3"/>
    <s v="Good(&gt;=3)"/>
    <n v="10"/>
    <s v="Long(5-10)"/>
    <n v="7"/>
    <x v="1"/>
    <n v="0"/>
    <s v="Reasonable(&lt;=3)"/>
  </r>
  <r>
    <x v="3"/>
    <s v="Middle_Age(30-50)"/>
    <x v="1"/>
    <s v="Rarely"/>
    <s v="Research &amp; Development"/>
    <n v="15"/>
    <s v="Far(&gt;=15)"/>
    <n v="2"/>
    <s v="Not_Satisfied(&lt;3)"/>
    <x v="0"/>
    <n v="3"/>
    <s v="Medium"/>
    <n v="2"/>
    <x v="0"/>
    <x v="4"/>
    <n v="4"/>
    <s v="Satisfied(&gt;=3)"/>
    <x v="1"/>
    <n v="0"/>
    <s v="Y"/>
    <x v="0"/>
    <n v="13"/>
    <x v="0"/>
    <n v="10"/>
    <n v="3"/>
    <s v="Good(&gt;=3)"/>
    <n v="9"/>
    <s v="Long(5-10)"/>
    <n v="7"/>
    <x v="1"/>
    <n v="8"/>
    <s v="Not_Reasonable(&gt;3)"/>
  </r>
  <r>
    <x v="5"/>
    <s v="Middle_Age(30-50)"/>
    <x v="1"/>
    <s v="Rarely"/>
    <s v="Research &amp; Development"/>
    <n v="29"/>
    <s v="Far(&gt;=15)"/>
    <n v="3"/>
    <s v="Satisfied(&gt;=3)"/>
    <x v="0"/>
    <n v="2"/>
    <s v="Low"/>
    <n v="1"/>
    <x v="0"/>
    <x v="2"/>
    <n v="2"/>
    <s v="Not_Satisfied(&lt;=2)"/>
    <x v="0"/>
    <n v="1"/>
    <s v="Y"/>
    <x v="1"/>
    <n v="13"/>
    <x v="0"/>
    <n v="6"/>
    <n v="3"/>
    <s v="Good(&gt;=3)"/>
    <n v="6"/>
    <s v="Long(5-10)"/>
    <n v="2"/>
    <x v="0"/>
    <n v="4"/>
    <s v="Not_Reasonable(&gt;3)"/>
  </r>
  <r>
    <x v="32"/>
    <s v="Middle_Age(30-50)"/>
    <x v="1"/>
    <s v="Rarely"/>
    <s v="Research &amp; Development"/>
    <n v="1"/>
    <s v="Nearby(&lt;=5)"/>
    <n v="1"/>
    <s v="Not_Satisfied(&lt;3)"/>
    <x v="1"/>
    <n v="3"/>
    <s v="Medium"/>
    <n v="1"/>
    <x v="0"/>
    <x v="2"/>
    <n v="4"/>
    <s v="Satisfied(&gt;=3)"/>
    <x v="1"/>
    <n v="8"/>
    <s v="Y"/>
    <x v="1"/>
    <n v="19"/>
    <x v="0"/>
    <n v="8"/>
    <n v="2"/>
    <s v="Poor(&lt;=2)"/>
    <n v="1"/>
    <s v="Short(&lt;=4)"/>
    <n v="0"/>
    <x v="0"/>
    <n v="0"/>
    <s v="Reasonable(&lt;=3)"/>
  </r>
  <r>
    <x v="5"/>
    <s v="Middle_Age(30-50)"/>
    <x v="1"/>
    <s v="Rarely"/>
    <s v="Sales"/>
    <n v="1"/>
    <s v="Nearby(&lt;=5)"/>
    <n v="2"/>
    <s v="Not_Satisfied(&lt;3)"/>
    <x v="1"/>
    <n v="2"/>
    <s v="Low"/>
    <n v="1"/>
    <x v="0"/>
    <x v="6"/>
    <n v="2"/>
    <s v="Not_Satisfied(&lt;=2)"/>
    <x v="1"/>
    <n v="0"/>
    <s v="Y"/>
    <x v="1"/>
    <n v="14"/>
    <x v="0"/>
    <n v="3"/>
    <n v="3"/>
    <s v="Good(&gt;=3)"/>
    <n v="2"/>
    <s v="Short(&lt;=4)"/>
    <n v="2"/>
    <x v="0"/>
    <n v="2"/>
    <s v="Reasonable(&lt;=3)"/>
  </r>
  <r>
    <x v="22"/>
    <s v="Middle_Age(30-50)"/>
    <x v="1"/>
    <s v="Rarely"/>
    <s v="Research &amp; Development"/>
    <n v="24"/>
    <s v="Far(&gt;=15)"/>
    <n v="1"/>
    <s v="Not_Satisfied(&lt;3)"/>
    <x v="1"/>
    <n v="3"/>
    <s v="Medium"/>
    <n v="2"/>
    <x v="0"/>
    <x v="1"/>
    <n v="4"/>
    <s v="Satisfied(&gt;=3)"/>
    <x v="0"/>
    <n v="7"/>
    <s v="Y"/>
    <x v="1"/>
    <n v="13"/>
    <x v="0"/>
    <n v="18"/>
    <n v="3"/>
    <s v="Good(&gt;=3)"/>
    <n v="7"/>
    <s v="Long(5-10)"/>
    <n v="7"/>
    <x v="1"/>
    <n v="1"/>
    <s v="Reasonable(&lt;=3)"/>
  </r>
  <r>
    <x v="8"/>
    <s v="Middle_Age(30-50)"/>
    <x v="1"/>
    <s v="Rarely"/>
    <s v="Research &amp; Development"/>
    <n v="10"/>
    <s v="Middistance(6-14)"/>
    <n v="2"/>
    <s v="Not_Satisfied(&lt;3)"/>
    <x v="0"/>
    <n v="1"/>
    <s v="Low"/>
    <n v="3"/>
    <x v="1"/>
    <x v="7"/>
    <n v="3"/>
    <s v="Satisfied(&gt;=3)"/>
    <x v="1"/>
    <n v="3"/>
    <s v="Y"/>
    <x v="1"/>
    <n v="12"/>
    <x v="0"/>
    <n v="20"/>
    <n v="3"/>
    <s v="Good(&gt;=3)"/>
    <n v="18"/>
    <s v="Ultra_Long(&gt;10)"/>
    <n v="16"/>
    <x v="2"/>
    <n v="1"/>
    <s v="Reasonable(&lt;=3)"/>
  </r>
  <r>
    <x v="5"/>
    <s v="Middle_Age(30-50)"/>
    <x v="1"/>
    <s v="Rarely"/>
    <s v="Sales"/>
    <n v="1"/>
    <s v="Nearby(&lt;=5)"/>
    <n v="3"/>
    <s v="Satisfied(&gt;=3)"/>
    <x v="0"/>
    <n v="3"/>
    <s v="Medium"/>
    <n v="3"/>
    <x v="1"/>
    <x v="0"/>
    <n v="4"/>
    <s v="Satisfied(&gt;=3)"/>
    <x v="1"/>
    <n v="1"/>
    <s v="Y"/>
    <x v="1"/>
    <n v="19"/>
    <x v="0"/>
    <n v="14"/>
    <n v="3"/>
    <s v="Good(&gt;=3)"/>
    <n v="14"/>
    <s v="Ultra_Long(&gt;10)"/>
    <n v="10"/>
    <x v="1"/>
    <n v="5"/>
    <s v="Not_Reasonable(&gt;3)"/>
  </r>
  <r>
    <x v="2"/>
    <s v="Middle_Age(30-50)"/>
    <x v="1"/>
    <s v="Rarely"/>
    <s v="Research &amp; Development"/>
    <n v="10"/>
    <s v="Middistance(6-14)"/>
    <n v="3"/>
    <s v="Satisfied(&gt;=3)"/>
    <x v="0"/>
    <n v="4"/>
    <s v="High"/>
    <n v="3"/>
    <x v="1"/>
    <x v="7"/>
    <n v="4"/>
    <s v="Satisfied(&gt;=3)"/>
    <x v="1"/>
    <n v="1"/>
    <s v="Y"/>
    <x v="0"/>
    <n v="25"/>
    <x v="1"/>
    <n v="16"/>
    <n v="3"/>
    <s v="Good(&gt;=3)"/>
    <n v="16"/>
    <s v="Ultra_Long(&gt;10)"/>
    <n v="11"/>
    <x v="2"/>
    <n v="6"/>
    <s v="Not_Reasonable(&gt;3)"/>
  </r>
  <r>
    <x v="36"/>
    <s v="Young(&lt;=29)"/>
    <x v="1"/>
    <s v="Rarely"/>
    <s v="Sales"/>
    <n v="8"/>
    <s v="Middistance(6-14)"/>
    <n v="1"/>
    <s v="Not_Satisfied(&lt;3)"/>
    <x v="0"/>
    <n v="3"/>
    <s v="Medium"/>
    <n v="2"/>
    <x v="0"/>
    <x v="0"/>
    <n v="3"/>
    <s v="Satisfied(&gt;=3)"/>
    <x v="2"/>
    <n v="0"/>
    <s v="Y"/>
    <x v="0"/>
    <n v="22"/>
    <x v="1"/>
    <n v="6"/>
    <n v="2"/>
    <s v="Poor(&lt;=2)"/>
    <n v="5"/>
    <s v="Long(5-10)"/>
    <n v="3"/>
    <x v="0"/>
    <n v="0"/>
    <s v="Reasonable(&lt;=3)"/>
  </r>
  <r>
    <x v="39"/>
    <s v="Old(&gt;50)"/>
    <x v="1"/>
    <s v="Rarely"/>
    <s v="Sales"/>
    <n v="29"/>
    <s v="Far(&gt;=15)"/>
    <n v="1"/>
    <s v="Not_Satisfied(&lt;3)"/>
    <x v="1"/>
    <n v="3"/>
    <s v="Medium"/>
    <n v="1"/>
    <x v="0"/>
    <x v="6"/>
    <n v="4"/>
    <s v="Satisfied(&gt;=3)"/>
    <x v="2"/>
    <n v="2"/>
    <s v="Y"/>
    <x v="1"/>
    <n v="15"/>
    <x v="0"/>
    <n v="16"/>
    <n v="2"/>
    <s v="Poor(&lt;=2)"/>
    <n v="9"/>
    <s v="Long(5-10)"/>
    <n v="8"/>
    <x v="1"/>
    <n v="0"/>
    <s v="Reasonable(&lt;=3)"/>
  </r>
  <r>
    <x v="20"/>
    <s v="Middle_Age(30-50)"/>
    <x v="1"/>
    <s v="Rarely"/>
    <s v="Research &amp; Development"/>
    <n v="1"/>
    <s v="Nearby(&lt;=5)"/>
    <n v="2"/>
    <s v="Not_Satisfied(&lt;3)"/>
    <x v="1"/>
    <n v="3"/>
    <s v="Medium"/>
    <n v="1"/>
    <x v="0"/>
    <x v="1"/>
    <n v="4"/>
    <s v="Satisfied(&gt;=3)"/>
    <x v="0"/>
    <n v="6"/>
    <s v="Y"/>
    <x v="0"/>
    <n v="12"/>
    <x v="0"/>
    <n v="6"/>
    <n v="3"/>
    <s v="Good(&gt;=3)"/>
    <n v="4"/>
    <s v="Short(&lt;=4)"/>
    <n v="3"/>
    <x v="0"/>
    <n v="1"/>
    <s v="Reasonable(&lt;=3)"/>
  </r>
  <r>
    <x v="18"/>
    <s v="Young(&lt;=29)"/>
    <x v="1"/>
    <s v="Rarely"/>
    <s v="Sales"/>
    <n v="5"/>
    <s v="Nearby(&lt;=5)"/>
    <n v="3"/>
    <s v="Satisfied(&gt;=3)"/>
    <x v="1"/>
    <n v="3"/>
    <s v="Medium"/>
    <n v="1"/>
    <x v="0"/>
    <x v="6"/>
    <n v="1"/>
    <s v="Not_Satisfied(&lt;=2)"/>
    <x v="0"/>
    <n v="1"/>
    <s v="Y"/>
    <x v="0"/>
    <n v="11"/>
    <x v="0"/>
    <n v="2"/>
    <n v="3"/>
    <s v="Good(&gt;=3)"/>
    <n v="2"/>
    <s v="Short(&lt;=4)"/>
    <n v="2"/>
    <x v="0"/>
    <n v="1"/>
    <s v="Reasonable(&lt;=3)"/>
  </r>
  <r>
    <x v="22"/>
    <s v="Middle_Age(30-50)"/>
    <x v="1"/>
    <s v="Rarely"/>
    <s v="Research &amp; Development"/>
    <n v="9"/>
    <s v="Middistance(6-14)"/>
    <n v="4"/>
    <s v="Satisfied(&gt;=3)"/>
    <x v="1"/>
    <n v="3"/>
    <s v="Medium"/>
    <n v="5"/>
    <x v="2"/>
    <x v="5"/>
    <n v="4"/>
    <s v="Satisfied(&gt;=3)"/>
    <x v="0"/>
    <n v="2"/>
    <s v="Y"/>
    <x v="1"/>
    <n v="13"/>
    <x v="0"/>
    <n v="21"/>
    <n v="2"/>
    <s v="Poor(&lt;=2)"/>
    <n v="6"/>
    <s v="Long(5-10)"/>
    <n v="0"/>
    <x v="0"/>
    <n v="1"/>
    <s v="Reasonable(&lt;=3)"/>
  </r>
  <r>
    <x v="30"/>
    <s v="Young(&lt;=29)"/>
    <x v="0"/>
    <s v="Frequently"/>
    <s v="Sales"/>
    <n v="9"/>
    <s v="Middistance(6-14)"/>
    <n v="4"/>
    <s v="Satisfied(&gt;=3)"/>
    <x v="1"/>
    <n v="3"/>
    <s v="Medium"/>
    <n v="1"/>
    <x v="0"/>
    <x v="6"/>
    <n v="1"/>
    <s v="Not_Satisfied(&lt;=2)"/>
    <x v="1"/>
    <n v="1"/>
    <s v="Y"/>
    <x v="1"/>
    <n v="19"/>
    <x v="0"/>
    <n v="1"/>
    <n v="2"/>
    <s v="Poor(&lt;=2)"/>
    <n v="1"/>
    <s v="Short(&lt;=4)"/>
    <n v="0"/>
    <x v="0"/>
    <n v="1"/>
    <s v="Reasonable(&lt;=3)"/>
  </r>
  <r>
    <x v="9"/>
    <s v="Middle_Age(30-50)"/>
    <x v="1"/>
    <s v="Rarely"/>
    <s v="Sales"/>
    <n v="3"/>
    <s v="Nearby(&lt;=5)"/>
    <n v="1"/>
    <s v="Not_Satisfied(&lt;3)"/>
    <x v="0"/>
    <n v="2"/>
    <s v="Low"/>
    <n v="3"/>
    <x v="1"/>
    <x v="0"/>
    <n v="4"/>
    <s v="Satisfied(&gt;=3)"/>
    <x v="1"/>
    <n v="0"/>
    <s v="Y"/>
    <x v="1"/>
    <n v="19"/>
    <x v="0"/>
    <n v="10"/>
    <n v="3"/>
    <s v="Good(&gt;=3)"/>
    <n v="9"/>
    <s v="Long(5-10)"/>
    <n v="7"/>
    <x v="1"/>
    <n v="3"/>
    <s v="Reasonable(&lt;=3)"/>
  </r>
  <r>
    <x v="9"/>
    <s v="Middle_Age(30-50)"/>
    <x v="1"/>
    <s v="Frequently"/>
    <s v="Research &amp; Development"/>
    <n v="4"/>
    <s v="Nearby(&lt;=5)"/>
    <n v="4"/>
    <s v="Satisfied(&gt;=3)"/>
    <x v="0"/>
    <n v="3"/>
    <s v="Medium"/>
    <n v="2"/>
    <x v="0"/>
    <x v="3"/>
    <n v="2"/>
    <s v="Not_Satisfied(&lt;=2)"/>
    <x v="2"/>
    <n v="7"/>
    <s v="Y"/>
    <x v="1"/>
    <n v="13"/>
    <x v="0"/>
    <n v="18"/>
    <n v="3"/>
    <s v="Good(&gt;=3)"/>
    <n v="4"/>
    <s v="Short(&lt;=4)"/>
    <n v="2"/>
    <x v="0"/>
    <n v="0"/>
    <s v="Reasonable(&lt;=3)"/>
  </r>
  <r>
    <x v="29"/>
    <s v="Old(&gt;50)"/>
    <x v="1"/>
    <s v="Rarely"/>
    <s v="Research &amp; Development"/>
    <n v="1"/>
    <s v="Nearby(&lt;=5)"/>
    <n v="3"/>
    <s v="Satisfied(&gt;=3)"/>
    <x v="1"/>
    <n v="3"/>
    <s v="Medium"/>
    <n v="2"/>
    <x v="0"/>
    <x v="4"/>
    <n v="3"/>
    <s v="Satisfied(&gt;=3)"/>
    <x v="2"/>
    <n v="1"/>
    <s v="Y"/>
    <x v="1"/>
    <n v="21"/>
    <x v="1"/>
    <n v="13"/>
    <n v="2"/>
    <s v="Poor(&lt;=2)"/>
    <n v="13"/>
    <s v="Ultra_Long(&gt;10)"/>
    <n v="12"/>
    <x v="2"/>
    <n v="1"/>
    <s v="Reasonable(&lt;=3)"/>
  </r>
  <r>
    <x v="11"/>
    <s v="Young(&lt;=29)"/>
    <x v="0"/>
    <s v="Rarely"/>
    <s v="Research &amp; Development"/>
    <n v="1"/>
    <s v="Nearby(&lt;=5)"/>
    <n v="1"/>
    <s v="Not_Satisfied(&lt;3)"/>
    <x v="1"/>
    <n v="3"/>
    <s v="Medium"/>
    <n v="1"/>
    <x v="0"/>
    <x v="1"/>
    <n v="4"/>
    <s v="Satisfied(&gt;=3)"/>
    <x v="1"/>
    <n v="9"/>
    <s v="Y"/>
    <x v="0"/>
    <n v="14"/>
    <x v="0"/>
    <n v="4"/>
    <n v="4"/>
    <s v="Good(&gt;=3)"/>
    <n v="2"/>
    <s v="Short(&lt;=4)"/>
    <n v="2"/>
    <x v="0"/>
    <n v="2"/>
    <s v="Reasonable(&lt;=3)"/>
  </r>
  <r>
    <x v="19"/>
    <s v="Middle_Age(30-50)"/>
    <x v="1"/>
    <s v="Rarely"/>
    <s v="Research &amp; Development"/>
    <n v="2"/>
    <s v="Nearby(&lt;=5)"/>
    <n v="1"/>
    <s v="Not_Satisfied(&lt;3)"/>
    <x v="1"/>
    <n v="3"/>
    <s v="Medium"/>
    <n v="5"/>
    <x v="2"/>
    <x v="5"/>
    <n v="3"/>
    <s v="Satisfied(&gt;=3)"/>
    <x v="1"/>
    <n v="5"/>
    <s v="Y"/>
    <x v="1"/>
    <n v="11"/>
    <x v="0"/>
    <n v="24"/>
    <n v="2"/>
    <s v="Poor(&lt;=2)"/>
    <n v="22"/>
    <s v="Ultra_Long(&gt;10)"/>
    <n v="6"/>
    <x v="1"/>
    <n v="4"/>
    <s v="Not_Reasonable(&gt;3)"/>
  </r>
  <r>
    <x v="29"/>
    <s v="Old(&gt;50)"/>
    <x v="0"/>
    <s v="Rarely"/>
    <s v="Research &amp; Development"/>
    <n v="7"/>
    <s v="Middistance(6-14)"/>
    <n v="4"/>
    <s v="Satisfied(&gt;=3)"/>
    <x v="1"/>
    <n v="3"/>
    <s v="Medium"/>
    <n v="1"/>
    <x v="0"/>
    <x v="2"/>
    <n v="3"/>
    <s v="Satisfied(&gt;=3)"/>
    <x v="1"/>
    <n v="8"/>
    <s v="Y"/>
    <x v="1"/>
    <n v="11"/>
    <x v="0"/>
    <n v="14"/>
    <n v="1"/>
    <s v="Poor(&lt;=2)"/>
    <n v="10"/>
    <s v="Long(5-10)"/>
    <n v="9"/>
    <x v="1"/>
    <n v="9"/>
    <s v="Not_Reasonable(&gt;3)"/>
  </r>
  <r>
    <x v="0"/>
    <s v="Middle_Age(30-50)"/>
    <x v="1"/>
    <s v="Rarely"/>
    <s v="Research &amp; Development"/>
    <n v="28"/>
    <s v="Far(&gt;=15)"/>
    <n v="1"/>
    <s v="Not_Satisfied(&lt;3)"/>
    <x v="0"/>
    <n v="2"/>
    <s v="Low"/>
    <n v="4"/>
    <x v="2"/>
    <x v="3"/>
    <n v="2"/>
    <s v="Not_Satisfied(&lt;=2)"/>
    <x v="1"/>
    <n v="0"/>
    <s v="Y"/>
    <x v="1"/>
    <n v="23"/>
    <x v="1"/>
    <n v="21"/>
    <n v="3"/>
    <s v="Good(&gt;=3)"/>
    <n v="20"/>
    <s v="Ultra_Long(&gt;10)"/>
    <n v="7"/>
    <x v="1"/>
    <n v="0"/>
    <s v="Reasonable(&lt;=3)"/>
  </r>
  <r>
    <x v="13"/>
    <s v="Middle_Age(30-50)"/>
    <x v="1"/>
    <s v="Rarely"/>
    <s v="Sales"/>
    <n v="28"/>
    <s v="Far(&gt;=15)"/>
    <n v="4"/>
    <s v="Satisfied(&gt;=3)"/>
    <x v="0"/>
    <n v="2"/>
    <s v="Low"/>
    <n v="2"/>
    <x v="0"/>
    <x v="0"/>
    <n v="3"/>
    <s v="Satisfied(&gt;=3)"/>
    <x v="1"/>
    <n v="1"/>
    <s v="Y"/>
    <x v="1"/>
    <n v="21"/>
    <x v="1"/>
    <n v="8"/>
    <n v="3"/>
    <s v="Good(&gt;=3)"/>
    <n v="8"/>
    <s v="Long(5-10)"/>
    <n v="7"/>
    <x v="1"/>
    <n v="1"/>
    <s v="Reasonable(&lt;=3)"/>
  </r>
  <r>
    <x v="9"/>
    <s v="Middle_Age(30-50)"/>
    <x v="1"/>
    <s v="Rarely"/>
    <s v="Sales"/>
    <n v="15"/>
    <s v="Far(&gt;=15)"/>
    <n v="4"/>
    <s v="Satisfied(&gt;=3)"/>
    <x v="1"/>
    <n v="1"/>
    <s v="Low"/>
    <n v="2"/>
    <x v="0"/>
    <x v="0"/>
    <n v="4"/>
    <s v="Satisfied(&gt;=3)"/>
    <x v="2"/>
    <n v="1"/>
    <s v="Y"/>
    <x v="1"/>
    <n v="24"/>
    <x v="1"/>
    <n v="15"/>
    <n v="2"/>
    <s v="Poor(&lt;=2)"/>
    <n v="15"/>
    <s v="Ultra_Long(&gt;10)"/>
    <n v="12"/>
    <x v="2"/>
    <n v="11"/>
    <s v="Not_Reasonable(&gt;3)"/>
  </r>
  <r>
    <x v="0"/>
    <s v="Middle_Age(30-50)"/>
    <x v="1"/>
    <s v="Rarely"/>
    <s v="Sales"/>
    <n v="3"/>
    <s v="Nearby(&lt;=5)"/>
    <n v="3"/>
    <s v="Satisfied(&gt;=3)"/>
    <x v="1"/>
    <n v="2"/>
    <s v="Low"/>
    <n v="2"/>
    <x v="0"/>
    <x v="0"/>
    <n v="2"/>
    <s v="Not_Satisfied(&lt;=2)"/>
    <x v="2"/>
    <n v="2"/>
    <s v="Y"/>
    <x v="1"/>
    <n v="11"/>
    <x v="0"/>
    <n v="14"/>
    <n v="3"/>
    <s v="Good(&gt;=3)"/>
    <n v="5"/>
    <s v="Long(5-10)"/>
    <n v="4"/>
    <x v="0"/>
    <n v="0"/>
    <s v="Reasonable(&lt;=3)"/>
  </r>
  <r>
    <x v="5"/>
    <s v="Middle_Age(30-50)"/>
    <x v="1"/>
    <s v="Rarely"/>
    <s v="Research &amp; Development"/>
    <n v="2"/>
    <s v="Nearby(&lt;=5)"/>
    <n v="4"/>
    <s v="Satisfied(&gt;=3)"/>
    <x v="1"/>
    <n v="3"/>
    <s v="Medium"/>
    <n v="1"/>
    <x v="0"/>
    <x v="1"/>
    <n v="1"/>
    <s v="Not_Satisfied(&lt;=2)"/>
    <x v="0"/>
    <n v="1"/>
    <s v="Y"/>
    <x v="1"/>
    <n v="14"/>
    <x v="0"/>
    <n v="4"/>
    <n v="3"/>
    <s v="Good(&gt;=3)"/>
    <n v="4"/>
    <s v="Short(&lt;=4)"/>
    <n v="2"/>
    <x v="0"/>
    <n v="1"/>
    <s v="Reasonable(&lt;=3)"/>
  </r>
  <r>
    <x v="10"/>
    <s v="Middle_Age(30-50)"/>
    <x v="1"/>
    <s v="Rarely"/>
    <s v="Human Resources"/>
    <n v="26"/>
    <s v="Far(&gt;=15)"/>
    <n v="3"/>
    <s v="Satisfied(&gt;=3)"/>
    <x v="0"/>
    <n v="3"/>
    <s v="Medium"/>
    <n v="3"/>
    <x v="1"/>
    <x v="8"/>
    <n v="4"/>
    <s v="Satisfied(&gt;=3)"/>
    <x v="0"/>
    <n v="1"/>
    <s v="Y"/>
    <x v="0"/>
    <n v="16"/>
    <x v="0"/>
    <n v="9"/>
    <n v="3"/>
    <s v="Good(&gt;=3)"/>
    <n v="9"/>
    <s v="Long(5-10)"/>
    <n v="0"/>
    <x v="0"/>
    <n v="1"/>
    <s v="Reasonable(&lt;=3)"/>
  </r>
  <r>
    <x v="8"/>
    <s v="Middle_Age(30-50)"/>
    <x v="1"/>
    <s v="Rarely"/>
    <s v="Sales"/>
    <n v="10"/>
    <s v="Middistance(6-14)"/>
    <n v="1"/>
    <s v="Not_Satisfied(&lt;3)"/>
    <x v="0"/>
    <n v="3"/>
    <s v="Medium"/>
    <n v="2"/>
    <x v="0"/>
    <x v="0"/>
    <n v="4"/>
    <s v="Satisfied(&gt;=3)"/>
    <x v="1"/>
    <n v="1"/>
    <s v="Y"/>
    <x v="1"/>
    <n v="11"/>
    <x v="0"/>
    <n v="10"/>
    <n v="3"/>
    <s v="Good(&gt;=3)"/>
    <n v="10"/>
    <s v="Long(5-10)"/>
    <n v="7"/>
    <x v="1"/>
    <n v="1"/>
    <s v="Reasonable(&lt;=3)"/>
  </r>
  <r>
    <x v="24"/>
    <s v="Middle_Age(30-50)"/>
    <x v="0"/>
    <s v="Frequently"/>
    <s v="Sales"/>
    <n v="1"/>
    <s v="Nearby(&lt;=5)"/>
    <n v="2"/>
    <s v="Not_Satisfied(&lt;3)"/>
    <x v="1"/>
    <n v="3"/>
    <s v="Medium"/>
    <n v="2"/>
    <x v="0"/>
    <x v="0"/>
    <n v="3"/>
    <s v="Satisfied(&gt;=3)"/>
    <x v="2"/>
    <n v="7"/>
    <s v="Y"/>
    <x v="1"/>
    <n v="12"/>
    <x v="0"/>
    <n v="12"/>
    <n v="3"/>
    <s v="Good(&gt;=3)"/>
    <n v="6"/>
    <s v="Long(5-10)"/>
    <n v="3"/>
    <x v="0"/>
    <n v="0"/>
    <s v="Reasonable(&lt;=3)"/>
  </r>
  <r>
    <x v="9"/>
    <s v="Middle_Age(30-50)"/>
    <x v="1"/>
    <s v="Rarely"/>
    <s v="Sales"/>
    <n v="11"/>
    <s v="Middistance(6-14)"/>
    <n v="2"/>
    <s v="Not_Satisfied(&lt;3)"/>
    <x v="0"/>
    <n v="2"/>
    <s v="Low"/>
    <n v="2"/>
    <x v="0"/>
    <x v="0"/>
    <n v="4"/>
    <s v="Satisfied(&gt;=3)"/>
    <x v="1"/>
    <n v="4"/>
    <s v="Y"/>
    <x v="1"/>
    <n v="13"/>
    <x v="0"/>
    <n v="8"/>
    <n v="2"/>
    <s v="Poor(&lt;=2)"/>
    <n v="6"/>
    <s v="Long(5-10)"/>
    <n v="3"/>
    <x v="0"/>
    <n v="0"/>
    <s v="Reasonable(&lt;=3)"/>
  </r>
  <r>
    <x v="28"/>
    <s v="Middle_Age(30-50)"/>
    <x v="1"/>
    <s v="Rarely"/>
    <s v="Sales"/>
    <n v="20"/>
    <s v="Far(&gt;=15)"/>
    <n v="4"/>
    <s v="Satisfied(&gt;=3)"/>
    <x v="0"/>
    <n v="3"/>
    <s v="Medium"/>
    <n v="2"/>
    <x v="0"/>
    <x v="0"/>
    <n v="3"/>
    <s v="Satisfied(&gt;=3)"/>
    <x v="0"/>
    <n v="8"/>
    <s v="Y"/>
    <x v="1"/>
    <n v="15"/>
    <x v="0"/>
    <n v="8"/>
    <n v="3"/>
    <s v="Good(&gt;=3)"/>
    <n v="5"/>
    <s v="Long(5-10)"/>
    <n v="3"/>
    <x v="0"/>
    <n v="0"/>
    <s v="Reasonable(&lt;=3)"/>
  </r>
  <r>
    <x v="32"/>
    <s v="Middle_Age(30-50)"/>
    <x v="1"/>
    <s v="Rarely"/>
    <s v="Research &amp; Development"/>
    <n v="2"/>
    <s v="Nearby(&lt;=5)"/>
    <n v="3"/>
    <s v="Satisfied(&gt;=3)"/>
    <x v="1"/>
    <n v="2"/>
    <s v="Low"/>
    <n v="1"/>
    <x v="0"/>
    <x v="1"/>
    <n v="3"/>
    <s v="Satisfied(&gt;=3)"/>
    <x v="0"/>
    <n v="2"/>
    <s v="Y"/>
    <x v="1"/>
    <n v="14"/>
    <x v="0"/>
    <n v="8"/>
    <n v="3"/>
    <s v="Good(&gt;=3)"/>
    <n v="2"/>
    <s v="Short(&lt;=4)"/>
    <n v="2"/>
    <x v="0"/>
    <n v="2"/>
    <s v="Reasonable(&lt;=3)"/>
  </r>
  <r>
    <x v="10"/>
    <s v="Middle_Age(30-50)"/>
    <x v="1"/>
    <s v="Frequently"/>
    <s v="Research &amp; Development"/>
    <n v="18"/>
    <s v="Far(&gt;=15)"/>
    <n v="3"/>
    <s v="Satisfied(&gt;=3)"/>
    <x v="1"/>
    <n v="3"/>
    <s v="Medium"/>
    <n v="2"/>
    <x v="0"/>
    <x v="4"/>
    <n v="3"/>
    <s v="Satisfied(&gt;=3)"/>
    <x v="1"/>
    <n v="1"/>
    <s v="Y"/>
    <x v="0"/>
    <n v="14"/>
    <x v="0"/>
    <n v="10"/>
    <n v="4"/>
    <s v="Good(&gt;=3)"/>
    <n v="10"/>
    <s v="Long(5-10)"/>
    <n v="2"/>
    <x v="0"/>
    <n v="0"/>
    <s v="Reasonable(&lt;=3)"/>
  </r>
  <r>
    <x v="32"/>
    <s v="Middle_Age(30-50)"/>
    <x v="1"/>
    <s v="Rarely"/>
    <s v="Research &amp; Development"/>
    <n v="2"/>
    <s v="Nearby(&lt;=5)"/>
    <n v="3"/>
    <s v="Satisfied(&gt;=3)"/>
    <x v="0"/>
    <n v="3"/>
    <s v="Medium"/>
    <n v="1"/>
    <x v="0"/>
    <x v="1"/>
    <n v="3"/>
    <s v="Satisfied(&gt;=3)"/>
    <x v="1"/>
    <n v="2"/>
    <s v="Y"/>
    <x v="1"/>
    <n v="14"/>
    <x v="0"/>
    <n v="20"/>
    <n v="3"/>
    <s v="Good(&gt;=3)"/>
    <n v="5"/>
    <s v="Long(5-10)"/>
    <n v="3"/>
    <x v="0"/>
    <n v="0"/>
    <s v="Reasonable(&lt;=3)"/>
  </r>
  <r>
    <x v="10"/>
    <s v="Middle_Age(30-50)"/>
    <x v="1"/>
    <s v="Rarely"/>
    <s v="Research &amp; Development"/>
    <n v="1"/>
    <s v="Nearby(&lt;=5)"/>
    <n v="3"/>
    <s v="Satisfied(&gt;=3)"/>
    <x v="0"/>
    <n v="1"/>
    <s v="Low"/>
    <n v="1"/>
    <x v="0"/>
    <x v="1"/>
    <n v="4"/>
    <s v="Satisfied(&gt;=3)"/>
    <x v="1"/>
    <n v="1"/>
    <s v="Y"/>
    <x v="1"/>
    <n v="12"/>
    <x v="0"/>
    <n v="4"/>
    <n v="3"/>
    <s v="Good(&gt;=3)"/>
    <n v="4"/>
    <s v="Short(&lt;=4)"/>
    <n v="3"/>
    <x v="0"/>
    <n v="1"/>
    <s v="Reasonable(&lt;=3)"/>
  </r>
  <r>
    <x v="11"/>
    <s v="Young(&lt;=29)"/>
    <x v="1"/>
    <s v="Rarely"/>
    <s v="Research &amp; Development"/>
    <n v="13"/>
    <s v="Middistance(6-14)"/>
    <n v="4"/>
    <s v="Satisfied(&gt;=3)"/>
    <x v="1"/>
    <n v="2"/>
    <s v="Low"/>
    <n v="2"/>
    <x v="0"/>
    <x v="2"/>
    <n v="2"/>
    <s v="Not_Satisfied(&lt;=2)"/>
    <x v="1"/>
    <n v="4"/>
    <s v="Y"/>
    <x v="0"/>
    <n v="13"/>
    <x v="0"/>
    <n v="10"/>
    <n v="3"/>
    <s v="Good(&gt;=3)"/>
    <n v="4"/>
    <s v="Short(&lt;=4)"/>
    <n v="3"/>
    <x v="0"/>
    <n v="0"/>
    <s v="Reasonable(&lt;=3)"/>
  </r>
  <r>
    <x v="11"/>
    <s v="Young(&lt;=29)"/>
    <x v="1"/>
    <s v="Rarely"/>
    <s v="Research &amp; Development"/>
    <n v="28"/>
    <s v="Far(&gt;=15)"/>
    <n v="4"/>
    <s v="Satisfied(&gt;=3)"/>
    <x v="0"/>
    <n v="2"/>
    <s v="Low"/>
    <n v="1"/>
    <x v="0"/>
    <x v="1"/>
    <n v="1"/>
    <s v="Not_Satisfied(&lt;=2)"/>
    <x v="0"/>
    <n v="1"/>
    <s v="Y"/>
    <x v="1"/>
    <n v="14"/>
    <x v="0"/>
    <n v="5"/>
    <n v="1"/>
    <s v="Poor(&lt;=2)"/>
    <n v="5"/>
    <s v="Long(5-10)"/>
    <n v="4"/>
    <x v="0"/>
    <n v="0"/>
    <s v="Reasonable(&lt;=3)"/>
  </r>
  <r>
    <x v="24"/>
    <s v="Middle_Age(30-50)"/>
    <x v="0"/>
    <s v="Rarely"/>
    <s v="Sales"/>
    <n v="28"/>
    <s v="Far(&gt;=15)"/>
    <n v="4"/>
    <s v="Satisfied(&gt;=3)"/>
    <x v="1"/>
    <n v="2"/>
    <s v="Low"/>
    <n v="3"/>
    <x v="1"/>
    <x v="0"/>
    <n v="1"/>
    <s v="Not_Satisfied(&lt;=2)"/>
    <x v="2"/>
    <n v="4"/>
    <s v="Y"/>
    <x v="0"/>
    <n v="13"/>
    <x v="0"/>
    <n v="20"/>
    <n v="3"/>
    <s v="Good(&gt;=3)"/>
    <n v="3"/>
    <s v="Short(&lt;=4)"/>
    <n v="2"/>
    <x v="0"/>
    <n v="2"/>
    <s v="Reasonable(&lt;=3)"/>
  </r>
  <r>
    <x v="22"/>
    <s v="Middle_Age(30-50)"/>
    <x v="1"/>
    <s v="Rarely"/>
    <s v="Sales"/>
    <n v="24"/>
    <s v="Far(&gt;=15)"/>
    <n v="2"/>
    <s v="Not_Satisfied(&lt;3)"/>
    <x v="0"/>
    <n v="2"/>
    <s v="Low"/>
    <n v="4"/>
    <x v="2"/>
    <x v="0"/>
    <n v="4"/>
    <s v="Satisfied(&gt;=3)"/>
    <x v="1"/>
    <n v="0"/>
    <s v="Y"/>
    <x v="1"/>
    <n v="11"/>
    <x v="0"/>
    <n v="21"/>
    <n v="2"/>
    <s v="Poor(&lt;=2)"/>
    <n v="20"/>
    <s v="Ultra_Long(&gt;10)"/>
    <n v="9"/>
    <x v="1"/>
    <n v="9"/>
    <s v="Not_Reasonable(&gt;3)"/>
  </r>
  <r>
    <x v="12"/>
    <s v="Middle_Age(30-50)"/>
    <x v="1"/>
    <s v="Rarely"/>
    <s v="Research &amp; Development"/>
    <n v="5"/>
    <s v="Nearby(&lt;=5)"/>
    <n v="2"/>
    <s v="Not_Satisfied(&lt;3)"/>
    <x v="1"/>
    <n v="3"/>
    <s v="Medium"/>
    <n v="2"/>
    <x v="0"/>
    <x v="3"/>
    <n v="1"/>
    <s v="Not_Satisfied(&lt;=2)"/>
    <x v="0"/>
    <n v="0"/>
    <s v="Y"/>
    <x v="1"/>
    <n v="19"/>
    <x v="0"/>
    <n v="10"/>
    <n v="3"/>
    <s v="Good(&gt;=3)"/>
    <n v="9"/>
    <s v="Long(5-10)"/>
    <n v="4"/>
    <x v="0"/>
    <n v="1"/>
    <s v="Reasonable(&lt;=3)"/>
  </r>
  <r>
    <x v="25"/>
    <s v="Young(&lt;=29)"/>
    <x v="1"/>
    <s v="Rarely"/>
    <s v="Sales"/>
    <n v="5"/>
    <s v="Nearby(&lt;=5)"/>
    <n v="4"/>
    <s v="Satisfied(&gt;=3)"/>
    <x v="0"/>
    <n v="2"/>
    <s v="Low"/>
    <n v="1"/>
    <x v="0"/>
    <x v="6"/>
    <n v="3"/>
    <s v="Satisfied(&gt;=3)"/>
    <x v="0"/>
    <n v="0"/>
    <s v="Y"/>
    <x v="1"/>
    <n v="18"/>
    <x v="0"/>
    <n v="5"/>
    <n v="3"/>
    <s v="Good(&gt;=3)"/>
    <n v="4"/>
    <s v="Short(&lt;=4)"/>
    <n v="2"/>
    <x v="0"/>
    <n v="0"/>
    <s v="Reasonable(&lt;=3)"/>
  </r>
  <r>
    <x v="9"/>
    <s v="Middle_Age(30-50)"/>
    <x v="1"/>
    <s v="Frequently"/>
    <s v="Research &amp; Development"/>
    <n v="23"/>
    <s v="Far(&gt;=15)"/>
    <n v="3"/>
    <s v="Satisfied(&gt;=3)"/>
    <x v="1"/>
    <n v="4"/>
    <s v="High"/>
    <n v="2"/>
    <x v="0"/>
    <x v="2"/>
    <n v="4"/>
    <s v="Satisfied(&gt;=3)"/>
    <x v="1"/>
    <n v="4"/>
    <s v="Y"/>
    <x v="1"/>
    <n v="17"/>
    <x v="0"/>
    <n v="17"/>
    <n v="3"/>
    <s v="Good(&gt;=3)"/>
    <n v="5"/>
    <s v="Long(5-10)"/>
    <n v="2"/>
    <x v="0"/>
    <n v="0"/>
    <s v="Reasonable(&lt;=3)"/>
  </r>
  <r>
    <x v="22"/>
    <s v="Middle_Age(30-50)"/>
    <x v="1"/>
    <s v="Rarely"/>
    <s v="Research &amp; Development"/>
    <n v="6"/>
    <s v="Middistance(6-14)"/>
    <n v="4"/>
    <s v="Satisfied(&gt;=3)"/>
    <x v="1"/>
    <n v="2"/>
    <s v="Low"/>
    <n v="3"/>
    <x v="1"/>
    <x v="4"/>
    <n v="1"/>
    <s v="Not_Satisfied(&lt;=2)"/>
    <x v="1"/>
    <n v="4"/>
    <s v="Y"/>
    <x v="1"/>
    <n v="15"/>
    <x v="0"/>
    <n v="9"/>
    <n v="3"/>
    <s v="Good(&gt;=3)"/>
    <n v="7"/>
    <s v="Long(5-10)"/>
    <n v="7"/>
    <x v="1"/>
    <n v="1"/>
    <s v="Reasonable(&lt;=3)"/>
  </r>
  <r>
    <x v="4"/>
    <s v="Young(&lt;=29)"/>
    <x v="1"/>
    <s v="Rarely"/>
    <s v="Research &amp; Development"/>
    <n v="4"/>
    <s v="Nearby(&lt;=5)"/>
    <n v="2"/>
    <s v="Not_Satisfied(&lt;3)"/>
    <x v="1"/>
    <n v="4"/>
    <s v="High"/>
    <n v="2"/>
    <x v="0"/>
    <x v="3"/>
    <n v="2"/>
    <s v="Not_Satisfied(&lt;=2)"/>
    <x v="1"/>
    <n v="1"/>
    <s v="Y"/>
    <x v="0"/>
    <n v="20"/>
    <x v="1"/>
    <n v="6"/>
    <n v="3"/>
    <s v="Good(&gt;=3)"/>
    <n v="6"/>
    <s v="Long(5-10)"/>
    <n v="2"/>
    <x v="0"/>
    <n v="0"/>
    <s v="Reasonable(&lt;=3)"/>
  </r>
  <r>
    <x v="1"/>
    <s v="Middle_Age(30-50)"/>
    <x v="1"/>
    <s v="Frequently"/>
    <s v="Sales"/>
    <n v="2"/>
    <s v="Nearby(&lt;=5)"/>
    <n v="4"/>
    <s v="Satisfied(&gt;=3)"/>
    <x v="1"/>
    <n v="2"/>
    <s v="Low"/>
    <n v="2"/>
    <x v="0"/>
    <x v="0"/>
    <n v="2"/>
    <s v="Not_Satisfied(&lt;=2)"/>
    <x v="1"/>
    <n v="2"/>
    <s v="Y"/>
    <x v="1"/>
    <n v="14"/>
    <x v="0"/>
    <n v="17"/>
    <n v="2"/>
    <s v="Poor(&lt;=2)"/>
    <n v="9"/>
    <s v="Long(5-10)"/>
    <n v="6"/>
    <x v="1"/>
    <n v="0"/>
    <s v="Reasonable(&lt;=3)"/>
  </r>
  <r>
    <x v="13"/>
    <s v="Middle_Age(30-50)"/>
    <x v="1"/>
    <s v="Rarely"/>
    <s v="Research &amp; Development"/>
    <n v="8"/>
    <s v="Middistance(6-14)"/>
    <n v="2"/>
    <s v="Not_Satisfied(&lt;3)"/>
    <x v="1"/>
    <n v="4"/>
    <s v="High"/>
    <n v="2"/>
    <x v="0"/>
    <x v="2"/>
    <n v="3"/>
    <s v="Satisfied(&gt;=3)"/>
    <x v="1"/>
    <n v="2"/>
    <s v="Y"/>
    <x v="1"/>
    <n v="12"/>
    <x v="0"/>
    <n v="6"/>
    <n v="4"/>
    <s v="Good(&gt;=3)"/>
    <n v="4"/>
    <s v="Short(&lt;=4)"/>
    <n v="3"/>
    <x v="0"/>
    <n v="1"/>
    <s v="Reasonable(&lt;=3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726DC-78DC-47B7-B609-95E6F0C3EC62}" name="PivotTable1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2" hier="-1"/>
  </pageFields>
  <dataFields count="1">
    <dataField name="Count of Attri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C1A4E-2E3D-4337-98A0-22A5D3EFE495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2" hier="-1"/>
  </pageFields>
  <dataFields count="1">
    <dataField name="Count of Attri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44576-F260-4F11-BFE7-F50D72427637}" name="PivotTable1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9:B43" firstHeaderRow="1" firstDataRow="1" firstDataCol="1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ount of Attrition" fld="2" subtotal="count" showDataAs="percentOfTotal" baseField="17" baseItem="0" numFmtId="10"/>
  </dataFields>
  <formats count="1"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357C7-BFB8-47F5-B716-2CCFC2EDF51A}" name="PivotTable1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0:B34" firstHeaderRow="1" firstDataRow="1" firstDataCol="1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ount of Attrition" fld="2" subtotal="count" showDataAs="percentOfTotal" baseField="17" baseItem="0" numFmtId="10"/>
  </dataFields>
  <formats count="1"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DFCA1-956D-434E-BEEE-C8ACCC20BE3A}" name="PivotTable1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4:B24" firstHeaderRow="1" firstDataRow="1" firstDataCol="1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Count of Attrition" fld="2" subtotal="count" showDataAs="percentOfTotal" baseField="17" baseItem="0" numFmtId="10"/>
  </dataFields>
  <formats count="1"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21971-6849-4D4D-A9B2-A59C757D7954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ount of Attrition" fld="2" subtotal="count" showDataAs="percentOfTotal" baseField="17" baseItem="0" numFmtId="10"/>
  </dataFields>
  <formats count="2"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1">
          <reference field="17" count="0"/>
        </references>
      </pivotArea>
    </format>
  </format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64371-B123-4FDD-BCCF-D1BFC8F03A8E}" name="PivotTable1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2"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ount of Attri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A1EFF-2AC8-4C3C-B845-09770D697F74}" name="PivotTable12" cacheId="28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6:B19" firstHeaderRow="1" firstDataRow="1" firstDataCol="1" rowPageCount="1" colPageCount="1"/>
  <pivotFields count="32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multipleItemSelectionAllowe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 v="1"/>
    </i>
    <i>
      <x/>
    </i>
    <i t="grand">
      <x/>
    </i>
  </rowItems>
  <colItems count="1">
    <i/>
  </colItems>
  <pageFields count="1">
    <pageField fld="2" hier="-1"/>
  </pageFields>
  <dataFields count="1">
    <dataField name="Count of Attrition" fld="2" subtotal="count" baseField="22" baseItem="0"/>
  </dataFields>
  <chartFormats count="7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E0AF0-61C9-4381-AD45-FCF731DDC836}" name="PivotTable5" cacheId="28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:B12" firstHeaderRow="1" firstDataRow="1" firstDataCol="1"/>
  <pivotFields count="32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 v="1"/>
    </i>
    <i>
      <x/>
    </i>
    <i t="grand">
      <x/>
    </i>
  </rowItems>
  <colItems count="1">
    <i/>
  </colItems>
  <dataFields count="1">
    <dataField name="Count of Attrition" fld="2" subtotal="count" showDataAs="percentOfTotal" baseField="22" baseItem="0" numFmtId="10"/>
  </dataFields>
  <formats count="2">
    <format dxfId="8">
      <pivotArea collapsedLevelsAreSubtotals="1" fieldPosition="0">
        <references count="1">
          <reference field="22" count="1">
            <x v="1"/>
          </reference>
        </references>
      </pivotArea>
    </format>
    <format dxfId="7">
      <pivotArea collapsedLevelsAreSubtotals="1" fieldPosition="0">
        <references count="1">
          <reference field="22" count="1">
            <x v="0"/>
          </reference>
        </references>
      </pivotArea>
    </format>
  </format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93751-FCC9-40CC-A778-6D9346EDD7B8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2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Attri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67898A-1D94-4A71-A5A3-E986FB49D3ED}" autoFormatId="16" applyNumberFormats="0" applyBorderFormats="0" applyFontFormats="0" applyPatternFormats="0" applyAlignmentFormats="0" applyWidthHeightFormats="0">
  <queryTableRefresh nextId="33">
    <queryTableFields count="32">
      <queryTableField id="1" name="Age" tableColumnId="1"/>
      <queryTableField id="2" name="Age_Category" tableColumnId="2"/>
      <queryTableField id="3" name="Attrition" tableColumnId="3"/>
      <queryTableField id="4" name="BusinessTravel" tableColumnId="4"/>
      <queryTableField id="5" name="Department" tableColumnId="5"/>
      <queryTableField id="6" name="DistanceFromHome" tableColumnId="6"/>
      <queryTableField id="7" name="Distance_Category" tableColumnId="7"/>
      <queryTableField id="8" name="EnvironmentSatisfaction" tableColumnId="8"/>
      <queryTableField id="9" name="Environment_Satisfaction_Category" tableColumnId="9"/>
      <queryTableField id="10" name="Gender" tableColumnId="10"/>
      <queryTableField id="11" name="JobInvolvement" tableColumnId="11"/>
      <queryTableField id="12" name="Involvment_Level" tableColumnId="12"/>
      <queryTableField id="13" name="JobLevel" tableColumnId="13"/>
      <queryTableField id="14" name="Job_Level_Index" tableColumnId="14"/>
      <queryTableField id="15" name="JobRole" tableColumnId="15"/>
      <queryTableField id="16" name="JobSatisfaction" tableColumnId="16"/>
      <queryTableField id="17" name="Job_Satisfaction_Category" tableColumnId="17"/>
      <queryTableField id="18" name="MaritalStatus" tableColumnId="18"/>
      <queryTableField id="19" name="NumCompaniesWorked" tableColumnId="19"/>
      <queryTableField id="20" name="OverNight" tableColumnId="20"/>
      <queryTableField id="21" name="OverTime" tableColumnId="21"/>
      <queryTableField id="22" name="PercentSalaryHike" tableColumnId="22"/>
      <queryTableField id="23" name="Salary_Hike" tableColumnId="23"/>
      <queryTableField id="24" name="TotalWorkingYears" tableColumnId="24"/>
      <queryTableField id="25" name="WorkLifeBalance" tableColumnId="25"/>
      <queryTableField id="26" name="Work_Balance_Category" tableColumnId="26"/>
      <queryTableField id="27" name="YearsAtCompany" tableColumnId="27"/>
      <queryTableField id="28" name="Company_Career_Duration" tableColumnId="28"/>
      <queryTableField id="29" name="YearsInCurrentRole" tableColumnId="29"/>
      <queryTableField id="30" name="Role_Duration" tableColumnId="30"/>
      <queryTableField id="31" name="YearsSinceLastPromotion" tableColumnId="31"/>
      <queryTableField id="32" name="Promotion_Frequency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10ABD-016D-4BB2-BBA2-003AA312EFF1}" name="At" displayName="At" ref="A1:AF1471" tableType="queryTable" totalsRowShown="0">
  <autoFilter ref="A1:AF1471" xr:uid="{5D310ABD-016D-4BB2-BBA2-003AA312EFF1}"/>
  <tableColumns count="32">
    <tableColumn id="1" xr3:uid="{68D9B6ED-46F2-42C2-96FD-A559B3571685}" uniqueName="1" name="Age" queryTableFieldId="1"/>
    <tableColumn id="2" xr3:uid="{760484CC-AA40-41DD-ADC8-FBBB44471B4B}" uniqueName="2" name="Age_Category" queryTableFieldId="2" dataDxfId="27"/>
    <tableColumn id="3" xr3:uid="{53CFFAC9-4B54-41EA-975A-A4494B6C1178}" uniqueName="3" name="Attrition" queryTableFieldId="3" dataDxfId="26"/>
    <tableColumn id="4" xr3:uid="{D206269C-020B-40FF-982C-37947CCF910D}" uniqueName="4" name="BusinessTravel" queryTableFieldId="4" dataDxfId="25"/>
    <tableColumn id="5" xr3:uid="{FD0DD66A-8742-49BA-885F-F54E600B6869}" uniqueName="5" name="Department" queryTableFieldId="5" dataDxfId="24"/>
    <tableColumn id="6" xr3:uid="{2AC8A1FE-9ACC-497B-AE2F-1B32EB597CB5}" uniqueName="6" name="DistanceFromHome" queryTableFieldId="6"/>
    <tableColumn id="7" xr3:uid="{6928481C-2046-4C27-ACCE-71300C85B907}" uniqueName="7" name="Distance_Category" queryTableFieldId="7" dataDxfId="23"/>
    <tableColumn id="8" xr3:uid="{34B171C2-1911-4FAD-8FFF-0F83F6187E0F}" uniqueName="8" name="EnvironmentSatisfaction" queryTableFieldId="8"/>
    <tableColumn id="9" xr3:uid="{C2206D3C-6305-4C77-8394-42D90123AD73}" uniqueName="9" name="Environment_Satisfaction_Category" queryTableFieldId="9" dataDxfId="22"/>
    <tableColumn id="10" xr3:uid="{F5348880-DF55-4FF2-A1CB-BF0330815579}" uniqueName="10" name="Gender" queryTableFieldId="10" dataDxfId="21"/>
    <tableColumn id="11" xr3:uid="{ED9A6B7B-56DE-4815-8966-E6CA521EB753}" uniqueName="11" name="JobInvolvement" queryTableFieldId="11"/>
    <tableColumn id="12" xr3:uid="{7362E84C-8809-4DAC-8CD2-5F46ECFFBA0A}" uniqueName="12" name="Involvment_Level" queryTableFieldId="12" dataDxfId="20"/>
    <tableColumn id="13" xr3:uid="{95CAC7F7-A5EE-4E9A-8AE2-A44456FE268F}" uniqueName="13" name="JobLevel" queryTableFieldId="13"/>
    <tableColumn id="14" xr3:uid="{0729D834-B8BF-47D4-9D5D-FDA2D4A24038}" uniqueName="14" name="Job_Level_Index" queryTableFieldId="14" dataDxfId="19"/>
    <tableColumn id="15" xr3:uid="{FB13A37A-02D3-4E2F-A82F-266F81CB2767}" uniqueName="15" name="JobRole" queryTableFieldId="15" dataDxfId="18"/>
    <tableColumn id="16" xr3:uid="{37D443C3-5093-44B9-958F-BD62DF286E4D}" uniqueName="16" name="JobSatisfaction" queryTableFieldId="16"/>
    <tableColumn id="17" xr3:uid="{E58EEBCB-3908-4617-8D57-76DFA475B821}" uniqueName="17" name="Job_Satisfaction_Category" queryTableFieldId="17" dataDxfId="17"/>
    <tableColumn id="18" xr3:uid="{3AEA1B2F-CC93-4143-AFA1-ACA94C2E6A26}" uniqueName="18" name="MaritalStatus" queryTableFieldId="18" dataDxfId="16"/>
    <tableColumn id="19" xr3:uid="{814B8A56-DF16-4DF5-BD9E-930E3356C91F}" uniqueName="19" name="NumCompaniesWorked" queryTableFieldId="19"/>
    <tableColumn id="20" xr3:uid="{4794500C-9F8A-491A-8451-226803D9BB2D}" uniqueName="20" name="OverNight" queryTableFieldId="20" dataDxfId="15"/>
    <tableColumn id="21" xr3:uid="{D0EEE436-9955-4EDF-AE10-BF16011F1E46}" uniqueName="21" name="OverTime" queryTableFieldId="21" dataDxfId="14"/>
    <tableColumn id="22" xr3:uid="{D1E2BF34-0909-41DC-AEF9-61DE1AE96BAE}" uniqueName="22" name="PercentSalaryHike" queryTableFieldId="22"/>
    <tableColumn id="23" xr3:uid="{440F74BB-1AE5-4EE6-A251-6D2817B85F64}" uniqueName="23" name="Salary_Hike" queryTableFieldId="23" dataDxfId="13"/>
    <tableColumn id="24" xr3:uid="{698A581E-AB90-409B-8C1C-34C9C4CD0845}" uniqueName="24" name="TotalWorkingYears" queryTableFieldId="24"/>
    <tableColumn id="25" xr3:uid="{41AB9236-E245-407A-A286-A0FBDF0923CC}" uniqueName="25" name="WorkLifeBalance" queryTableFieldId="25"/>
    <tableColumn id="26" xr3:uid="{7FB4ECCA-B47F-43F3-A333-EDE4EDD635BF}" uniqueName="26" name="Work_Balance_Category" queryTableFieldId="26" dataDxfId="12"/>
    <tableColumn id="27" xr3:uid="{A6BC73BF-A811-4C03-B346-91F401147FE6}" uniqueName="27" name="YearsAtCompany" queryTableFieldId="27"/>
    <tableColumn id="28" xr3:uid="{E7D353EA-2904-4F48-ABA4-F5AC04FDE6D4}" uniqueName="28" name="Company_Career_Duration" queryTableFieldId="28" dataDxfId="11"/>
    <tableColumn id="29" xr3:uid="{41A83D51-A626-48A9-8A31-DDFEA1A980E7}" uniqueName="29" name="YearsInCurrentRole" queryTableFieldId="29"/>
    <tableColumn id="30" xr3:uid="{565BA4E2-6908-4431-A11B-E5709F322C80}" uniqueName="30" name="Role_Duration" queryTableFieldId="30" dataDxfId="10"/>
    <tableColumn id="31" xr3:uid="{B15D28E7-605F-4315-88D8-7F7EA4B9918D}" uniqueName="31" name="YearsSinceLastPromotion" queryTableFieldId="31"/>
    <tableColumn id="32" xr3:uid="{CD958E40-AB0E-4549-9776-5E090213D032}" uniqueName="32" name="Promotion_Frequency" queryTableFieldId="32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1111-E74F-4D8D-9E3E-A309A7086077}">
  <dimension ref="A1:AG29"/>
  <sheetViews>
    <sheetView tabSelected="1" zoomScale="96" zoomScaleNormal="96" workbookViewId="0">
      <selection sqref="A1:U2"/>
    </sheetView>
  </sheetViews>
  <sheetFormatPr defaultRowHeight="15" x14ac:dyDescent="0.25"/>
  <cols>
    <col min="1" max="16384" width="9.140625" style="10"/>
  </cols>
  <sheetData>
    <row r="1" spans="1:33" x14ac:dyDescent="0.25">
      <c r="A1" s="20" t="s">
        <v>78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25">
      <c r="A3" s="13" t="s">
        <v>79</v>
      </c>
      <c r="B3" s="14"/>
    </row>
    <row r="4" spans="1:33" x14ac:dyDescent="0.25">
      <c r="A4" s="14"/>
      <c r="B4" s="14"/>
    </row>
    <row r="6" spans="1:33" x14ac:dyDescent="0.25">
      <c r="A6" s="15" t="s">
        <v>80</v>
      </c>
      <c r="B6" s="16"/>
    </row>
    <row r="7" spans="1:33" x14ac:dyDescent="0.25">
      <c r="A7" s="16"/>
      <c r="B7" s="16"/>
    </row>
    <row r="8" spans="1:33" x14ac:dyDescent="0.25">
      <c r="A8" s="17">
        <f>GETPIVOTDATA("Attrition",Sheet6!$A$3)</f>
        <v>1470</v>
      </c>
      <c r="B8" s="17"/>
    </row>
    <row r="9" spans="1:33" x14ac:dyDescent="0.25">
      <c r="A9" s="17"/>
      <c r="B9" s="17"/>
    </row>
    <row r="10" spans="1:33" x14ac:dyDescent="0.25">
      <c r="A10" s="9"/>
      <c r="B10" s="9"/>
    </row>
    <row r="11" spans="1:33" x14ac:dyDescent="0.25">
      <c r="A11" s="18" t="s">
        <v>83</v>
      </c>
      <c r="B11" s="18"/>
    </row>
    <row r="12" spans="1:33" x14ac:dyDescent="0.25">
      <c r="A12" s="18"/>
      <c r="B12" s="18"/>
    </row>
    <row r="13" spans="1:33" x14ac:dyDescent="0.25">
      <c r="A13" s="17">
        <f>GETPIVOTDATA("Attrition",Basic!$A$3)</f>
        <v>237</v>
      </c>
      <c r="B13" s="17"/>
    </row>
    <row r="14" spans="1:33" x14ac:dyDescent="0.25">
      <c r="A14" s="17"/>
      <c r="B14" s="17"/>
    </row>
    <row r="15" spans="1:33" x14ac:dyDescent="0.25">
      <c r="A15" s="9"/>
      <c r="B15" s="9"/>
    </row>
    <row r="16" spans="1:33" x14ac:dyDescent="0.25">
      <c r="A16" s="18" t="s">
        <v>85</v>
      </c>
      <c r="B16" s="18"/>
    </row>
    <row r="17" spans="1:2" x14ac:dyDescent="0.25">
      <c r="A17" s="18"/>
      <c r="B17" s="18"/>
    </row>
    <row r="18" spans="1:2" x14ac:dyDescent="0.25">
      <c r="A18" s="17">
        <f>ROUND(A13/A8*100,2)</f>
        <v>16.12</v>
      </c>
      <c r="B18" s="17"/>
    </row>
    <row r="19" spans="1:2" x14ac:dyDescent="0.25">
      <c r="A19" s="17"/>
      <c r="B19" s="17"/>
    </row>
    <row r="20" spans="1:2" x14ac:dyDescent="0.25">
      <c r="A20" s="9"/>
      <c r="B20" s="9"/>
    </row>
    <row r="21" spans="1:2" x14ac:dyDescent="0.25">
      <c r="A21" s="19" t="s">
        <v>86</v>
      </c>
      <c r="B21" s="19"/>
    </row>
    <row r="22" spans="1:2" x14ac:dyDescent="0.25">
      <c r="A22" s="19"/>
      <c r="B22" s="19"/>
    </row>
    <row r="23" spans="1:2" x14ac:dyDescent="0.25">
      <c r="A23" s="17">
        <f>GETPIVOTDATA("Attrition",'B2'!$A$3,"Gender","M")</f>
        <v>150</v>
      </c>
      <c r="B23" s="17"/>
    </row>
    <row r="24" spans="1:2" x14ac:dyDescent="0.25">
      <c r="A24" s="17"/>
      <c r="B24" s="17"/>
    </row>
    <row r="25" spans="1:2" x14ac:dyDescent="0.25">
      <c r="A25" s="9"/>
      <c r="B25" s="9"/>
    </row>
    <row r="26" spans="1:2" x14ac:dyDescent="0.25">
      <c r="A26" s="15" t="s">
        <v>87</v>
      </c>
      <c r="B26" s="15"/>
    </row>
    <row r="27" spans="1:2" x14ac:dyDescent="0.25">
      <c r="A27" s="15"/>
      <c r="B27" s="15"/>
    </row>
    <row r="28" spans="1:2" x14ac:dyDescent="0.25">
      <c r="A28" s="17">
        <f>GETPIVOTDATA("Attrition",'B2'!$A$3,"Gender","F")</f>
        <v>87</v>
      </c>
      <c r="B28" s="17"/>
    </row>
    <row r="29" spans="1:2" x14ac:dyDescent="0.25">
      <c r="A29" s="17"/>
      <c r="B29" s="17"/>
    </row>
  </sheetData>
  <mergeCells count="16">
    <mergeCell ref="A23:B24"/>
    <mergeCell ref="A26:B27"/>
    <mergeCell ref="A28:B29"/>
    <mergeCell ref="A25:B25"/>
    <mergeCell ref="A20:B20"/>
    <mergeCell ref="A13:B14"/>
    <mergeCell ref="A16:B17"/>
    <mergeCell ref="A18:B19"/>
    <mergeCell ref="A15:B15"/>
    <mergeCell ref="A10:B10"/>
    <mergeCell ref="A21:B22"/>
    <mergeCell ref="A1:U2"/>
    <mergeCell ref="A3:B4"/>
    <mergeCell ref="A6:B7"/>
    <mergeCell ref="A8:B9"/>
    <mergeCell ref="A11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D6E0-82FC-457D-B8E2-F589105EFE55}">
  <dimension ref="A1:B12"/>
  <sheetViews>
    <sheetView workbookViewId="0">
      <selection activeCell="A12" sqref="A12"/>
    </sheetView>
  </sheetViews>
  <sheetFormatPr defaultRowHeight="15" x14ac:dyDescent="0.25"/>
  <cols>
    <col min="1" max="1" width="16.85546875" bestFit="1" customWidth="1"/>
    <col min="2" max="2" width="6.28515625" bestFit="1" customWidth="1"/>
  </cols>
  <sheetData>
    <row r="1" spans="1:2" x14ac:dyDescent="0.25">
      <c r="A1" s="1" t="s">
        <v>2</v>
      </c>
      <c r="B1" t="s">
        <v>33</v>
      </c>
    </row>
    <row r="3" spans="1:2" x14ac:dyDescent="0.25">
      <c r="A3" t="s">
        <v>84</v>
      </c>
    </row>
    <row r="4" spans="1:2" x14ac:dyDescent="0.25">
      <c r="A4" s="3">
        <v>237</v>
      </c>
    </row>
    <row r="9" spans="1:2" x14ac:dyDescent="0.25">
      <c r="A9" s="1" t="s">
        <v>2</v>
      </c>
      <c r="B9" t="s">
        <v>33</v>
      </c>
    </row>
    <row r="11" spans="1:2" x14ac:dyDescent="0.25">
      <c r="A11" s="1" t="s">
        <v>84</v>
      </c>
    </row>
    <row r="12" spans="1:2" x14ac:dyDescent="0.25">
      <c r="A12" s="3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1E7F-CB40-4335-8471-C8709F1CDFAB}">
  <dimension ref="A1:B43"/>
  <sheetViews>
    <sheetView topLeftCell="A29" workbookViewId="0">
      <selection activeCell="B42" sqref="B42"/>
    </sheetView>
  </sheetViews>
  <sheetFormatPr defaultRowHeight="15" x14ac:dyDescent="0.25"/>
  <cols>
    <col min="1" max="1" width="14.85546875" bestFit="1" customWidth="1"/>
    <col min="2" max="2" width="16.85546875" bestFit="1" customWidth="1"/>
  </cols>
  <sheetData>
    <row r="1" spans="1:2" x14ac:dyDescent="0.25">
      <c r="A1" s="1" t="s">
        <v>2</v>
      </c>
      <c r="B1" t="s">
        <v>33</v>
      </c>
    </row>
    <row r="3" spans="1:2" x14ac:dyDescent="0.25">
      <c r="A3" s="1" t="s">
        <v>81</v>
      </c>
      <c r="B3" t="s">
        <v>84</v>
      </c>
    </row>
    <row r="4" spans="1:2" x14ac:dyDescent="0.25">
      <c r="A4" s="2" t="s">
        <v>67</v>
      </c>
      <c r="B4" s="6">
        <v>0.13924050632911392</v>
      </c>
    </row>
    <row r="5" spans="1:2" x14ac:dyDescent="0.25">
      <c r="A5" s="2" t="s">
        <v>58</v>
      </c>
      <c r="B5" s="6">
        <v>0.35443037974683544</v>
      </c>
    </row>
    <row r="6" spans="1:2" x14ac:dyDescent="0.25">
      <c r="A6" s="2" t="s">
        <v>43</v>
      </c>
      <c r="B6" s="6">
        <v>0.50632911392405067</v>
      </c>
    </row>
    <row r="7" spans="1:2" x14ac:dyDescent="0.25">
      <c r="A7" s="2" t="s">
        <v>82</v>
      </c>
      <c r="B7" s="5">
        <v>1</v>
      </c>
    </row>
    <row r="12" spans="1:2" x14ac:dyDescent="0.25">
      <c r="A12" s="1" t="s">
        <v>2</v>
      </c>
      <c r="B12" t="s">
        <v>33</v>
      </c>
    </row>
    <row r="14" spans="1:2" x14ac:dyDescent="0.25">
      <c r="A14" s="1" t="s">
        <v>81</v>
      </c>
      <c r="B14" t="s">
        <v>84</v>
      </c>
    </row>
    <row r="15" spans="1:2" x14ac:dyDescent="0.25">
      <c r="A15" s="2" t="s">
        <v>70</v>
      </c>
      <c r="B15" s="5">
        <v>3.7974683544303799E-2</v>
      </c>
    </row>
    <row r="16" spans="1:2" x14ac:dyDescent="0.25">
      <c r="A16" s="2" t="s">
        <v>77</v>
      </c>
      <c r="B16" s="5">
        <v>5.0632911392405063E-2</v>
      </c>
    </row>
    <row r="17" spans="1:2" x14ac:dyDescent="0.25">
      <c r="A17" s="2" t="s">
        <v>62</v>
      </c>
      <c r="B17" s="5">
        <v>0.26160337552742619</v>
      </c>
    </row>
    <row r="18" spans="1:2" x14ac:dyDescent="0.25">
      <c r="A18" s="2" t="s">
        <v>73</v>
      </c>
      <c r="B18" s="5">
        <v>2.1097046413502109E-2</v>
      </c>
    </row>
    <row r="19" spans="1:2" x14ac:dyDescent="0.25">
      <c r="A19" s="2" t="s">
        <v>69</v>
      </c>
      <c r="B19" s="5">
        <v>4.2194092827004218E-2</v>
      </c>
    </row>
    <row r="20" spans="1:2" x14ac:dyDescent="0.25">
      <c r="A20" s="2" t="s">
        <v>76</v>
      </c>
      <c r="B20" s="5">
        <v>8.4388185654008432E-3</v>
      </c>
    </row>
    <row r="21" spans="1:2" x14ac:dyDescent="0.25">
      <c r="A21" s="2" t="s">
        <v>56</v>
      </c>
      <c r="B21" s="5">
        <v>0.19831223628691982</v>
      </c>
    </row>
    <row r="22" spans="1:2" x14ac:dyDescent="0.25">
      <c r="A22" s="2" t="s">
        <v>41</v>
      </c>
      <c r="B22" s="5">
        <v>0.24050632911392406</v>
      </c>
    </row>
    <row r="23" spans="1:2" x14ac:dyDescent="0.25">
      <c r="A23" s="2" t="s">
        <v>75</v>
      </c>
      <c r="B23" s="5">
        <v>0.13924050632911392</v>
      </c>
    </row>
    <row r="24" spans="1:2" x14ac:dyDescent="0.25">
      <c r="A24" s="2" t="s">
        <v>82</v>
      </c>
      <c r="B24" s="5">
        <v>1</v>
      </c>
    </row>
    <row r="28" spans="1:2" x14ac:dyDescent="0.25">
      <c r="A28" s="1" t="s">
        <v>2</v>
      </c>
      <c r="B28" t="s">
        <v>33</v>
      </c>
    </row>
    <row r="30" spans="1:2" x14ac:dyDescent="0.25">
      <c r="A30" s="1" t="s">
        <v>81</v>
      </c>
      <c r="B30" t="s">
        <v>84</v>
      </c>
    </row>
    <row r="31" spans="1:2" x14ac:dyDescent="0.25">
      <c r="A31" s="2" t="s">
        <v>40</v>
      </c>
      <c r="B31" s="5">
        <v>0.82278481012658233</v>
      </c>
    </row>
    <row r="32" spans="1:2" x14ac:dyDescent="0.25">
      <c r="A32" s="2" t="s">
        <v>72</v>
      </c>
      <c r="B32" s="5">
        <v>4.2194092827004218E-2</v>
      </c>
    </row>
    <row r="33" spans="1:2" x14ac:dyDescent="0.25">
      <c r="A33" s="2" t="s">
        <v>68</v>
      </c>
      <c r="B33" s="5">
        <v>0.13502109704641349</v>
      </c>
    </row>
    <row r="34" spans="1:2" x14ac:dyDescent="0.25">
      <c r="A34" s="2" t="s">
        <v>82</v>
      </c>
      <c r="B34" s="5">
        <v>1</v>
      </c>
    </row>
    <row r="37" spans="1:2" x14ac:dyDescent="0.25">
      <c r="A37" s="1" t="s">
        <v>2</v>
      </c>
      <c r="B37" t="s">
        <v>33</v>
      </c>
    </row>
    <row r="39" spans="1:2" x14ac:dyDescent="0.25">
      <c r="A39" s="1" t="s">
        <v>81</v>
      </c>
      <c r="B39" t="s">
        <v>84</v>
      </c>
    </row>
    <row r="40" spans="1:2" x14ac:dyDescent="0.25">
      <c r="A40" s="2" t="s">
        <v>47</v>
      </c>
      <c r="B40" s="5">
        <v>0.20675105485232068</v>
      </c>
    </row>
    <row r="41" spans="1:2" x14ac:dyDescent="0.25">
      <c r="A41" s="2" t="s">
        <v>48</v>
      </c>
      <c r="B41" s="5">
        <v>0.77215189873417722</v>
      </c>
    </row>
    <row r="42" spans="1:2" x14ac:dyDescent="0.25">
      <c r="A42" s="2" t="s">
        <v>74</v>
      </c>
      <c r="B42" s="5">
        <v>2.1097046413502109E-2</v>
      </c>
    </row>
    <row r="43" spans="1:2" x14ac:dyDescent="0.25">
      <c r="A43" s="2" t="s">
        <v>82</v>
      </c>
      <c r="B43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8BCF-9111-4585-AF0F-C81D12960448}">
  <dimension ref="A1:B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1" spans="1:2" x14ac:dyDescent="0.25">
      <c r="A1" s="1" t="s">
        <v>2</v>
      </c>
      <c r="B1" t="s">
        <v>33</v>
      </c>
    </row>
    <row r="3" spans="1:2" x14ac:dyDescent="0.25">
      <c r="A3" s="1" t="s">
        <v>81</v>
      </c>
      <c r="B3" t="s">
        <v>84</v>
      </c>
    </row>
    <row r="4" spans="1:2" x14ac:dyDescent="0.25">
      <c r="A4" s="2" t="s">
        <v>38</v>
      </c>
      <c r="B4" s="3">
        <v>87</v>
      </c>
    </row>
    <row r="5" spans="1:2" x14ac:dyDescent="0.25">
      <c r="A5" s="2" t="s">
        <v>54</v>
      </c>
      <c r="B5" s="3">
        <v>150</v>
      </c>
    </row>
    <row r="6" spans="1:2" x14ac:dyDescent="0.25">
      <c r="A6" s="2" t="s">
        <v>82</v>
      </c>
      <c r="B6" s="3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FD1A-634D-475F-88DE-2D20C263E046}">
  <dimension ref="A1:AF1471"/>
  <sheetViews>
    <sheetView topLeftCell="A2" workbookViewId="0">
      <selection activeCell="D15" sqref="A2:AF1471"/>
    </sheetView>
  </sheetViews>
  <sheetFormatPr defaultRowHeight="15" x14ac:dyDescent="0.25"/>
  <cols>
    <col min="1" max="1" width="6.5703125" bestFit="1" customWidth="1"/>
    <col min="2" max="2" width="17.42578125" bestFit="1" customWidth="1"/>
    <col min="3" max="3" width="10.7109375" bestFit="1" customWidth="1"/>
    <col min="4" max="4" width="17" bestFit="1" customWidth="1"/>
    <col min="5" max="5" width="23.140625" bestFit="1" customWidth="1"/>
    <col min="6" max="6" width="21.5703125" bestFit="1" customWidth="1"/>
    <col min="7" max="7" width="20.5703125" bestFit="1" customWidth="1"/>
    <col min="8" max="8" width="26" bestFit="1" customWidth="1"/>
    <col min="9" max="9" width="36.28515625" bestFit="1" customWidth="1"/>
    <col min="10" max="10" width="10" bestFit="1" customWidth="1"/>
    <col min="11" max="11" width="17.7109375" bestFit="1" customWidth="1"/>
    <col min="12" max="12" width="19.28515625" bestFit="1" customWidth="1"/>
    <col min="13" max="13" width="11.140625" bestFit="1" customWidth="1"/>
    <col min="14" max="14" width="18" bestFit="1" customWidth="1"/>
    <col min="15" max="15" width="24.28515625" bestFit="1" customWidth="1"/>
    <col min="16" max="16" width="17.140625" bestFit="1" customWidth="1"/>
    <col min="17" max="17" width="27.28515625" bestFit="1" customWidth="1"/>
    <col min="18" max="18" width="15.140625" bestFit="1" customWidth="1"/>
    <col min="19" max="19" width="25.28515625" bestFit="1" customWidth="1"/>
    <col min="20" max="20" width="12.42578125" bestFit="1" customWidth="1"/>
    <col min="21" max="21" width="12" bestFit="1" customWidth="1"/>
    <col min="22" max="22" width="20.140625" bestFit="1" customWidth="1"/>
    <col min="23" max="23" width="16" bestFit="1" customWidth="1"/>
    <col min="24" max="24" width="20.42578125" bestFit="1" customWidth="1"/>
    <col min="25" max="25" width="18.5703125" bestFit="1" customWidth="1"/>
    <col min="26" max="26" width="25.28515625" bestFit="1" customWidth="1"/>
    <col min="27" max="27" width="18.85546875" bestFit="1" customWidth="1"/>
    <col min="28" max="28" width="28.140625" bestFit="1" customWidth="1"/>
    <col min="29" max="29" width="21.42578125" bestFit="1" customWidth="1"/>
    <col min="30" max="30" width="16.28515625" bestFit="1" customWidth="1"/>
    <col min="31" max="31" width="26.85546875" bestFit="1" customWidth="1"/>
    <col min="32" max="32" width="23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41</v>
      </c>
      <c r="B2" t="s">
        <v>32</v>
      </c>
      <c r="C2" t="s">
        <v>33</v>
      </c>
      <c r="D2" t="s">
        <v>34</v>
      </c>
      <c r="E2" t="s">
        <v>35</v>
      </c>
      <c r="F2">
        <v>1</v>
      </c>
      <c r="G2" t="s">
        <v>36</v>
      </c>
      <c r="H2">
        <v>2</v>
      </c>
      <c r="I2" t="s">
        <v>37</v>
      </c>
      <c r="J2" t="s">
        <v>38</v>
      </c>
      <c r="K2">
        <v>3</v>
      </c>
      <c r="L2" t="s">
        <v>39</v>
      </c>
      <c r="M2">
        <v>2</v>
      </c>
      <c r="N2" t="s">
        <v>40</v>
      </c>
      <c r="O2" t="s">
        <v>41</v>
      </c>
      <c r="P2">
        <v>4</v>
      </c>
      <c r="Q2" t="s">
        <v>42</v>
      </c>
      <c r="R2" t="s">
        <v>43</v>
      </c>
      <c r="S2">
        <v>8</v>
      </c>
      <c r="T2" t="s">
        <v>44</v>
      </c>
      <c r="U2" t="s">
        <v>44</v>
      </c>
      <c r="V2">
        <v>11</v>
      </c>
      <c r="W2" t="s">
        <v>45</v>
      </c>
      <c r="X2">
        <v>8</v>
      </c>
      <c r="Y2">
        <v>1</v>
      </c>
      <c r="Z2" t="s">
        <v>46</v>
      </c>
      <c r="AA2">
        <v>6</v>
      </c>
      <c r="AB2" t="s">
        <v>47</v>
      </c>
      <c r="AC2">
        <v>4</v>
      </c>
      <c r="AD2" t="s">
        <v>48</v>
      </c>
      <c r="AE2">
        <v>0</v>
      </c>
      <c r="AF2" t="s">
        <v>49</v>
      </c>
    </row>
    <row r="3" spans="1:32" x14ac:dyDescent="0.25">
      <c r="A3">
        <v>49</v>
      </c>
      <c r="B3" t="s">
        <v>32</v>
      </c>
      <c r="C3" t="s">
        <v>50</v>
      </c>
      <c r="D3" t="s">
        <v>51</v>
      </c>
      <c r="E3" t="s">
        <v>52</v>
      </c>
      <c r="F3">
        <v>8</v>
      </c>
      <c r="G3" t="s">
        <v>53</v>
      </c>
      <c r="H3">
        <v>3</v>
      </c>
      <c r="I3" t="s">
        <v>42</v>
      </c>
      <c r="J3" t="s">
        <v>54</v>
      </c>
      <c r="K3">
        <v>2</v>
      </c>
      <c r="L3" t="s">
        <v>55</v>
      </c>
      <c r="M3">
        <v>2</v>
      </c>
      <c r="N3" t="s">
        <v>40</v>
      </c>
      <c r="O3" t="s">
        <v>56</v>
      </c>
      <c r="P3">
        <v>2</v>
      </c>
      <c r="Q3" t="s">
        <v>57</v>
      </c>
      <c r="R3" t="s">
        <v>58</v>
      </c>
      <c r="S3">
        <v>1</v>
      </c>
      <c r="T3" t="s">
        <v>44</v>
      </c>
      <c r="U3" t="s">
        <v>59</v>
      </c>
      <c r="V3">
        <v>23</v>
      </c>
      <c r="W3" t="s">
        <v>60</v>
      </c>
      <c r="X3">
        <v>10</v>
      </c>
      <c r="Y3">
        <v>3</v>
      </c>
      <c r="Z3" t="s">
        <v>61</v>
      </c>
      <c r="AA3">
        <v>10</v>
      </c>
      <c r="AB3" t="s">
        <v>47</v>
      </c>
      <c r="AC3">
        <v>7</v>
      </c>
      <c r="AD3" t="s">
        <v>47</v>
      </c>
      <c r="AE3">
        <v>1</v>
      </c>
      <c r="AF3" t="s">
        <v>49</v>
      </c>
    </row>
    <row r="4" spans="1:32" x14ac:dyDescent="0.25">
      <c r="A4">
        <v>37</v>
      </c>
      <c r="B4" t="s">
        <v>32</v>
      </c>
      <c r="C4" t="s">
        <v>33</v>
      </c>
      <c r="D4" t="s">
        <v>34</v>
      </c>
      <c r="E4" t="s">
        <v>52</v>
      </c>
      <c r="F4">
        <v>2</v>
      </c>
      <c r="G4" t="s">
        <v>36</v>
      </c>
      <c r="H4">
        <v>4</v>
      </c>
      <c r="I4" t="s">
        <v>42</v>
      </c>
      <c r="J4" t="s">
        <v>54</v>
      </c>
      <c r="K4">
        <v>2</v>
      </c>
      <c r="L4" t="s">
        <v>55</v>
      </c>
      <c r="M4">
        <v>1</v>
      </c>
      <c r="N4" t="s">
        <v>40</v>
      </c>
      <c r="O4" t="s">
        <v>62</v>
      </c>
      <c r="P4">
        <v>3</v>
      </c>
      <c r="Q4" t="s">
        <v>42</v>
      </c>
      <c r="R4" t="s">
        <v>43</v>
      </c>
      <c r="S4">
        <v>6</v>
      </c>
      <c r="T4" t="s">
        <v>44</v>
      </c>
      <c r="U4" t="s">
        <v>44</v>
      </c>
      <c r="V4">
        <v>15</v>
      </c>
      <c r="W4" t="s">
        <v>45</v>
      </c>
      <c r="X4">
        <v>7</v>
      </c>
      <c r="Y4">
        <v>3</v>
      </c>
      <c r="Z4" t="s">
        <v>61</v>
      </c>
      <c r="AA4">
        <v>0</v>
      </c>
      <c r="AB4" t="s">
        <v>48</v>
      </c>
      <c r="AC4">
        <v>0</v>
      </c>
      <c r="AD4" t="s">
        <v>48</v>
      </c>
      <c r="AE4">
        <v>0</v>
      </c>
      <c r="AF4" t="s">
        <v>49</v>
      </c>
    </row>
    <row r="5" spans="1:32" x14ac:dyDescent="0.25">
      <c r="A5">
        <v>33</v>
      </c>
      <c r="B5" t="s">
        <v>32</v>
      </c>
      <c r="C5" t="s">
        <v>50</v>
      </c>
      <c r="D5" t="s">
        <v>51</v>
      </c>
      <c r="E5" t="s">
        <v>52</v>
      </c>
      <c r="F5">
        <v>3</v>
      </c>
      <c r="G5" t="s">
        <v>36</v>
      </c>
      <c r="H5">
        <v>4</v>
      </c>
      <c r="I5" t="s">
        <v>42</v>
      </c>
      <c r="J5" t="s">
        <v>38</v>
      </c>
      <c r="K5">
        <v>3</v>
      </c>
      <c r="L5" t="s">
        <v>39</v>
      </c>
      <c r="M5">
        <v>1</v>
      </c>
      <c r="N5" t="s">
        <v>40</v>
      </c>
      <c r="O5" t="s">
        <v>56</v>
      </c>
      <c r="P5">
        <v>3</v>
      </c>
      <c r="Q5" t="s">
        <v>42</v>
      </c>
      <c r="R5" t="s">
        <v>58</v>
      </c>
      <c r="S5">
        <v>1</v>
      </c>
      <c r="T5" t="s">
        <v>44</v>
      </c>
      <c r="U5" t="s">
        <v>44</v>
      </c>
      <c r="V5">
        <v>11</v>
      </c>
      <c r="W5" t="s">
        <v>45</v>
      </c>
      <c r="X5">
        <v>8</v>
      </c>
      <c r="Y5">
        <v>3</v>
      </c>
      <c r="Z5" t="s">
        <v>61</v>
      </c>
      <c r="AA5">
        <v>8</v>
      </c>
      <c r="AB5" t="s">
        <v>47</v>
      </c>
      <c r="AC5">
        <v>7</v>
      </c>
      <c r="AD5" t="s">
        <v>47</v>
      </c>
      <c r="AE5">
        <v>3</v>
      </c>
      <c r="AF5" t="s">
        <v>49</v>
      </c>
    </row>
    <row r="6" spans="1:32" x14ac:dyDescent="0.25">
      <c r="A6">
        <v>27</v>
      </c>
      <c r="B6" t="s">
        <v>63</v>
      </c>
      <c r="C6" t="s">
        <v>50</v>
      </c>
      <c r="D6" t="s">
        <v>34</v>
      </c>
      <c r="E6" t="s">
        <v>52</v>
      </c>
      <c r="F6">
        <v>2</v>
      </c>
      <c r="G6" t="s">
        <v>36</v>
      </c>
      <c r="H6">
        <v>1</v>
      </c>
      <c r="I6" t="s">
        <v>37</v>
      </c>
      <c r="J6" t="s">
        <v>54</v>
      </c>
      <c r="K6">
        <v>3</v>
      </c>
      <c r="L6" t="s">
        <v>39</v>
      </c>
      <c r="M6">
        <v>1</v>
      </c>
      <c r="N6" t="s">
        <v>40</v>
      </c>
      <c r="O6" t="s">
        <v>62</v>
      </c>
      <c r="P6">
        <v>2</v>
      </c>
      <c r="Q6" t="s">
        <v>57</v>
      </c>
      <c r="R6" t="s">
        <v>58</v>
      </c>
      <c r="S6">
        <v>9</v>
      </c>
      <c r="T6" t="s">
        <v>44</v>
      </c>
      <c r="U6" t="s">
        <v>59</v>
      </c>
      <c r="V6">
        <v>12</v>
      </c>
      <c r="W6" t="s">
        <v>45</v>
      </c>
      <c r="X6">
        <v>6</v>
      </c>
      <c r="Y6">
        <v>3</v>
      </c>
      <c r="Z6" t="s">
        <v>61</v>
      </c>
      <c r="AA6">
        <v>2</v>
      </c>
      <c r="AB6" t="s">
        <v>48</v>
      </c>
      <c r="AC6">
        <v>2</v>
      </c>
      <c r="AD6" t="s">
        <v>48</v>
      </c>
      <c r="AE6">
        <v>2</v>
      </c>
      <c r="AF6" t="s">
        <v>49</v>
      </c>
    </row>
    <row r="7" spans="1:32" x14ac:dyDescent="0.25">
      <c r="A7">
        <v>32</v>
      </c>
      <c r="B7" t="s">
        <v>32</v>
      </c>
      <c r="C7" t="s">
        <v>50</v>
      </c>
      <c r="D7" t="s">
        <v>51</v>
      </c>
      <c r="E7" t="s">
        <v>52</v>
      </c>
      <c r="F7">
        <v>2</v>
      </c>
      <c r="G7" t="s">
        <v>36</v>
      </c>
      <c r="H7">
        <v>4</v>
      </c>
      <c r="I7" t="s">
        <v>42</v>
      </c>
      <c r="J7" t="s">
        <v>54</v>
      </c>
      <c r="K7">
        <v>3</v>
      </c>
      <c r="L7" t="s">
        <v>39</v>
      </c>
      <c r="M7">
        <v>1</v>
      </c>
      <c r="N7" t="s">
        <v>40</v>
      </c>
      <c r="O7" t="s">
        <v>62</v>
      </c>
      <c r="P7">
        <v>4</v>
      </c>
      <c r="Q7" t="s">
        <v>42</v>
      </c>
      <c r="R7" t="s">
        <v>43</v>
      </c>
      <c r="S7">
        <v>0</v>
      </c>
      <c r="T7" t="s">
        <v>44</v>
      </c>
      <c r="U7" t="s">
        <v>59</v>
      </c>
      <c r="V7">
        <v>13</v>
      </c>
      <c r="W7" t="s">
        <v>45</v>
      </c>
      <c r="X7">
        <v>8</v>
      </c>
      <c r="Y7">
        <v>2</v>
      </c>
      <c r="Z7" t="s">
        <v>46</v>
      </c>
      <c r="AA7">
        <v>7</v>
      </c>
      <c r="AB7" t="s">
        <v>47</v>
      </c>
      <c r="AC7">
        <v>7</v>
      </c>
      <c r="AD7" t="s">
        <v>47</v>
      </c>
      <c r="AE7">
        <v>3</v>
      </c>
      <c r="AF7" t="s">
        <v>49</v>
      </c>
    </row>
    <row r="8" spans="1:32" x14ac:dyDescent="0.25">
      <c r="A8">
        <v>59</v>
      </c>
      <c r="B8" t="s">
        <v>64</v>
      </c>
      <c r="C8" t="s">
        <v>50</v>
      </c>
      <c r="D8" t="s">
        <v>34</v>
      </c>
      <c r="E8" t="s">
        <v>52</v>
      </c>
      <c r="F8">
        <v>3</v>
      </c>
      <c r="G8" t="s">
        <v>36</v>
      </c>
      <c r="H8">
        <v>3</v>
      </c>
      <c r="I8" t="s">
        <v>42</v>
      </c>
      <c r="J8" t="s">
        <v>38</v>
      </c>
      <c r="K8">
        <v>4</v>
      </c>
      <c r="L8" t="s">
        <v>65</v>
      </c>
      <c r="M8">
        <v>1</v>
      </c>
      <c r="N8" t="s">
        <v>40</v>
      </c>
      <c r="O8" t="s">
        <v>62</v>
      </c>
      <c r="P8">
        <v>1</v>
      </c>
      <c r="Q8" t="s">
        <v>57</v>
      </c>
      <c r="R8" t="s">
        <v>58</v>
      </c>
      <c r="S8">
        <v>4</v>
      </c>
      <c r="T8" t="s">
        <v>44</v>
      </c>
      <c r="U8" t="s">
        <v>44</v>
      </c>
      <c r="V8">
        <v>20</v>
      </c>
      <c r="W8" t="s">
        <v>60</v>
      </c>
      <c r="X8">
        <v>12</v>
      </c>
      <c r="Y8">
        <v>2</v>
      </c>
      <c r="Z8" t="s">
        <v>46</v>
      </c>
      <c r="AA8">
        <v>1</v>
      </c>
      <c r="AB8" t="s">
        <v>48</v>
      </c>
      <c r="AC8">
        <v>0</v>
      </c>
      <c r="AD8" t="s">
        <v>48</v>
      </c>
      <c r="AE8">
        <v>0</v>
      </c>
      <c r="AF8" t="s">
        <v>49</v>
      </c>
    </row>
    <row r="9" spans="1:32" x14ac:dyDescent="0.25">
      <c r="A9">
        <v>30</v>
      </c>
      <c r="B9" t="s">
        <v>32</v>
      </c>
      <c r="C9" t="s">
        <v>50</v>
      </c>
      <c r="D9" t="s">
        <v>34</v>
      </c>
      <c r="E9" t="s">
        <v>52</v>
      </c>
      <c r="F9">
        <v>24</v>
      </c>
      <c r="G9" t="s">
        <v>66</v>
      </c>
      <c r="H9">
        <v>4</v>
      </c>
      <c r="I9" t="s">
        <v>42</v>
      </c>
      <c r="J9" t="s">
        <v>54</v>
      </c>
      <c r="K9">
        <v>3</v>
      </c>
      <c r="L9" t="s">
        <v>39</v>
      </c>
      <c r="M9">
        <v>1</v>
      </c>
      <c r="N9" t="s">
        <v>40</v>
      </c>
      <c r="O9" t="s">
        <v>62</v>
      </c>
      <c r="P9">
        <v>3</v>
      </c>
      <c r="Q9" t="s">
        <v>42</v>
      </c>
      <c r="R9" t="s">
        <v>67</v>
      </c>
      <c r="S9">
        <v>1</v>
      </c>
      <c r="T9" t="s">
        <v>44</v>
      </c>
      <c r="U9" t="s">
        <v>59</v>
      </c>
      <c r="V9">
        <v>22</v>
      </c>
      <c r="W9" t="s">
        <v>60</v>
      </c>
      <c r="X9">
        <v>1</v>
      </c>
      <c r="Y9">
        <v>3</v>
      </c>
      <c r="Z9" t="s">
        <v>61</v>
      </c>
      <c r="AA9">
        <v>1</v>
      </c>
      <c r="AB9" t="s">
        <v>48</v>
      </c>
      <c r="AC9">
        <v>0</v>
      </c>
      <c r="AD9" t="s">
        <v>48</v>
      </c>
      <c r="AE9">
        <v>0</v>
      </c>
      <c r="AF9" t="s">
        <v>49</v>
      </c>
    </row>
    <row r="10" spans="1:32" x14ac:dyDescent="0.25">
      <c r="A10">
        <v>38</v>
      </c>
      <c r="B10" t="s">
        <v>32</v>
      </c>
      <c r="C10" t="s">
        <v>50</v>
      </c>
      <c r="D10" t="s">
        <v>51</v>
      </c>
      <c r="E10" t="s">
        <v>52</v>
      </c>
      <c r="F10">
        <v>23</v>
      </c>
      <c r="G10" t="s">
        <v>66</v>
      </c>
      <c r="H10">
        <v>4</v>
      </c>
      <c r="I10" t="s">
        <v>42</v>
      </c>
      <c r="J10" t="s">
        <v>54</v>
      </c>
      <c r="K10">
        <v>2</v>
      </c>
      <c r="L10" t="s">
        <v>55</v>
      </c>
      <c r="M10">
        <v>3</v>
      </c>
      <c r="N10" t="s">
        <v>68</v>
      </c>
      <c r="O10" t="s">
        <v>69</v>
      </c>
      <c r="P10">
        <v>3</v>
      </c>
      <c r="Q10" t="s">
        <v>42</v>
      </c>
      <c r="R10" t="s">
        <v>43</v>
      </c>
      <c r="S10">
        <v>0</v>
      </c>
      <c r="T10" t="s">
        <v>44</v>
      </c>
      <c r="U10" t="s">
        <v>59</v>
      </c>
      <c r="V10">
        <v>21</v>
      </c>
      <c r="W10" t="s">
        <v>60</v>
      </c>
      <c r="X10">
        <v>10</v>
      </c>
      <c r="Y10">
        <v>3</v>
      </c>
      <c r="Z10" t="s">
        <v>61</v>
      </c>
      <c r="AA10">
        <v>9</v>
      </c>
      <c r="AB10" t="s">
        <v>47</v>
      </c>
      <c r="AC10">
        <v>7</v>
      </c>
      <c r="AD10" t="s">
        <v>47</v>
      </c>
      <c r="AE10">
        <v>1</v>
      </c>
      <c r="AF10" t="s">
        <v>49</v>
      </c>
    </row>
    <row r="11" spans="1:32" x14ac:dyDescent="0.25">
      <c r="A11">
        <v>36</v>
      </c>
      <c r="B11" t="s">
        <v>32</v>
      </c>
      <c r="C11" t="s">
        <v>50</v>
      </c>
      <c r="D11" t="s">
        <v>34</v>
      </c>
      <c r="E11" t="s">
        <v>52</v>
      </c>
      <c r="F11">
        <v>27</v>
      </c>
      <c r="G11" t="s">
        <v>66</v>
      </c>
      <c r="H11">
        <v>3</v>
      </c>
      <c r="I11" t="s">
        <v>42</v>
      </c>
      <c r="J11" t="s">
        <v>54</v>
      </c>
      <c r="K11">
        <v>3</v>
      </c>
      <c r="L11" t="s">
        <v>39</v>
      </c>
      <c r="M11">
        <v>2</v>
      </c>
      <c r="N11" t="s">
        <v>40</v>
      </c>
      <c r="O11" t="s">
        <v>70</v>
      </c>
      <c r="P11">
        <v>3</v>
      </c>
      <c r="Q11" t="s">
        <v>42</v>
      </c>
      <c r="R11" t="s">
        <v>58</v>
      </c>
      <c r="S11">
        <v>6</v>
      </c>
      <c r="T11" t="s">
        <v>44</v>
      </c>
      <c r="U11" t="s">
        <v>59</v>
      </c>
      <c r="V11">
        <v>13</v>
      </c>
      <c r="W11" t="s">
        <v>45</v>
      </c>
      <c r="X11">
        <v>17</v>
      </c>
      <c r="Y11">
        <v>2</v>
      </c>
      <c r="Z11" t="s">
        <v>46</v>
      </c>
      <c r="AA11">
        <v>7</v>
      </c>
      <c r="AB11" t="s">
        <v>47</v>
      </c>
      <c r="AC11">
        <v>7</v>
      </c>
      <c r="AD11" t="s">
        <v>47</v>
      </c>
      <c r="AE11">
        <v>7</v>
      </c>
      <c r="AF11" t="s">
        <v>71</v>
      </c>
    </row>
    <row r="12" spans="1:32" x14ac:dyDescent="0.25">
      <c r="A12">
        <v>35</v>
      </c>
      <c r="B12" t="s">
        <v>32</v>
      </c>
      <c r="C12" t="s">
        <v>50</v>
      </c>
      <c r="D12" t="s">
        <v>34</v>
      </c>
      <c r="E12" t="s">
        <v>52</v>
      </c>
      <c r="F12">
        <v>16</v>
      </c>
      <c r="G12" t="s">
        <v>66</v>
      </c>
      <c r="H12">
        <v>1</v>
      </c>
      <c r="I12" t="s">
        <v>37</v>
      </c>
      <c r="J12" t="s">
        <v>54</v>
      </c>
      <c r="K12">
        <v>4</v>
      </c>
      <c r="L12" t="s">
        <v>65</v>
      </c>
      <c r="M12">
        <v>1</v>
      </c>
      <c r="N12" t="s">
        <v>40</v>
      </c>
      <c r="O12" t="s">
        <v>62</v>
      </c>
      <c r="P12">
        <v>2</v>
      </c>
      <c r="Q12" t="s">
        <v>57</v>
      </c>
      <c r="R12" t="s">
        <v>58</v>
      </c>
      <c r="S12">
        <v>0</v>
      </c>
      <c r="T12" t="s">
        <v>44</v>
      </c>
      <c r="U12" t="s">
        <v>59</v>
      </c>
      <c r="V12">
        <v>13</v>
      </c>
      <c r="W12" t="s">
        <v>45</v>
      </c>
      <c r="X12">
        <v>6</v>
      </c>
      <c r="Y12">
        <v>3</v>
      </c>
      <c r="Z12" t="s">
        <v>61</v>
      </c>
      <c r="AA12">
        <v>5</v>
      </c>
      <c r="AB12" t="s">
        <v>47</v>
      </c>
      <c r="AC12">
        <v>4</v>
      </c>
      <c r="AD12" t="s">
        <v>48</v>
      </c>
      <c r="AE12">
        <v>0</v>
      </c>
      <c r="AF12" t="s">
        <v>49</v>
      </c>
    </row>
    <row r="13" spans="1:32" x14ac:dyDescent="0.25">
      <c r="A13">
        <v>29</v>
      </c>
      <c r="B13" t="s">
        <v>63</v>
      </c>
      <c r="C13" t="s">
        <v>50</v>
      </c>
      <c r="D13" t="s">
        <v>34</v>
      </c>
      <c r="E13" t="s">
        <v>52</v>
      </c>
      <c r="F13">
        <v>15</v>
      </c>
      <c r="G13" t="s">
        <v>66</v>
      </c>
      <c r="H13">
        <v>4</v>
      </c>
      <c r="I13" t="s">
        <v>42</v>
      </c>
      <c r="J13" t="s">
        <v>38</v>
      </c>
      <c r="K13">
        <v>2</v>
      </c>
      <c r="L13" t="s">
        <v>55</v>
      </c>
      <c r="M13">
        <v>2</v>
      </c>
      <c r="N13" t="s">
        <v>40</v>
      </c>
      <c r="O13" t="s">
        <v>62</v>
      </c>
      <c r="P13">
        <v>3</v>
      </c>
      <c r="Q13" t="s">
        <v>42</v>
      </c>
      <c r="R13" t="s">
        <v>43</v>
      </c>
      <c r="S13">
        <v>0</v>
      </c>
      <c r="T13" t="s">
        <v>44</v>
      </c>
      <c r="U13" t="s">
        <v>44</v>
      </c>
      <c r="V13">
        <v>12</v>
      </c>
      <c r="W13" t="s">
        <v>45</v>
      </c>
      <c r="X13">
        <v>10</v>
      </c>
      <c r="Y13">
        <v>3</v>
      </c>
      <c r="Z13" t="s">
        <v>61</v>
      </c>
      <c r="AA13">
        <v>9</v>
      </c>
      <c r="AB13" t="s">
        <v>47</v>
      </c>
      <c r="AC13">
        <v>5</v>
      </c>
      <c r="AD13" t="s">
        <v>47</v>
      </c>
      <c r="AE13">
        <v>0</v>
      </c>
      <c r="AF13" t="s">
        <v>49</v>
      </c>
    </row>
    <row r="14" spans="1:32" x14ac:dyDescent="0.25">
      <c r="A14">
        <v>31</v>
      </c>
      <c r="B14" t="s">
        <v>32</v>
      </c>
      <c r="C14" t="s">
        <v>50</v>
      </c>
      <c r="D14" t="s">
        <v>34</v>
      </c>
      <c r="E14" t="s">
        <v>52</v>
      </c>
      <c r="F14">
        <v>26</v>
      </c>
      <c r="G14" t="s">
        <v>66</v>
      </c>
      <c r="H14">
        <v>1</v>
      </c>
      <c r="I14" t="s">
        <v>37</v>
      </c>
      <c r="J14" t="s">
        <v>54</v>
      </c>
      <c r="K14">
        <v>3</v>
      </c>
      <c r="L14" t="s">
        <v>39</v>
      </c>
      <c r="M14">
        <v>1</v>
      </c>
      <c r="N14" t="s">
        <v>40</v>
      </c>
      <c r="O14" t="s">
        <v>56</v>
      </c>
      <c r="P14">
        <v>3</v>
      </c>
      <c r="Q14" t="s">
        <v>42</v>
      </c>
      <c r="R14" t="s">
        <v>67</v>
      </c>
      <c r="S14">
        <v>1</v>
      </c>
      <c r="T14" t="s">
        <v>44</v>
      </c>
      <c r="U14" t="s">
        <v>59</v>
      </c>
      <c r="V14">
        <v>17</v>
      </c>
      <c r="W14" t="s">
        <v>45</v>
      </c>
      <c r="X14">
        <v>5</v>
      </c>
      <c r="Y14">
        <v>2</v>
      </c>
      <c r="Z14" t="s">
        <v>46</v>
      </c>
      <c r="AA14">
        <v>5</v>
      </c>
      <c r="AB14" t="s">
        <v>47</v>
      </c>
      <c r="AC14">
        <v>2</v>
      </c>
      <c r="AD14" t="s">
        <v>48</v>
      </c>
      <c r="AE14">
        <v>4</v>
      </c>
      <c r="AF14" t="s">
        <v>71</v>
      </c>
    </row>
    <row r="15" spans="1:32" x14ac:dyDescent="0.25">
      <c r="A15">
        <v>34</v>
      </c>
      <c r="B15" t="s">
        <v>32</v>
      </c>
      <c r="C15" t="s">
        <v>50</v>
      </c>
      <c r="D15" t="s">
        <v>34</v>
      </c>
      <c r="E15" t="s">
        <v>52</v>
      </c>
      <c r="F15">
        <v>19</v>
      </c>
      <c r="G15" t="s">
        <v>66</v>
      </c>
      <c r="H15">
        <v>2</v>
      </c>
      <c r="I15" t="s">
        <v>37</v>
      </c>
      <c r="J15" t="s">
        <v>54</v>
      </c>
      <c r="K15">
        <v>3</v>
      </c>
      <c r="L15" t="s">
        <v>39</v>
      </c>
      <c r="M15">
        <v>1</v>
      </c>
      <c r="N15" t="s">
        <v>40</v>
      </c>
      <c r="O15" t="s">
        <v>62</v>
      </c>
      <c r="P15">
        <v>4</v>
      </c>
      <c r="Q15" t="s">
        <v>42</v>
      </c>
      <c r="R15" t="s">
        <v>67</v>
      </c>
      <c r="S15">
        <v>0</v>
      </c>
      <c r="T15" t="s">
        <v>44</v>
      </c>
      <c r="U15" t="s">
        <v>59</v>
      </c>
      <c r="V15">
        <v>11</v>
      </c>
      <c r="W15" t="s">
        <v>45</v>
      </c>
      <c r="X15">
        <v>3</v>
      </c>
      <c r="Y15">
        <v>3</v>
      </c>
      <c r="Z15" t="s">
        <v>61</v>
      </c>
      <c r="AA15">
        <v>2</v>
      </c>
      <c r="AB15" t="s">
        <v>48</v>
      </c>
      <c r="AC15">
        <v>2</v>
      </c>
      <c r="AD15" t="s">
        <v>48</v>
      </c>
      <c r="AE15">
        <v>1</v>
      </c>
      <c r="AF15" t="s">
        <v>49</v>
      </c>
    </row>
    <row r="16" spans="1:32" x14ac:dyDescent="0.25">
      <c r="A16">
        <v>28</v>
      </c>
      <c r="B16" t="s">
        <v>63</v>
      </c>
      <c r="C16" t="s">
        <v>33</v>
      </c>
      <c r="D16" t="s">
        <v>34</v>
      </c>
      <c r="E16" t="s">
        <v>52</v>
      </c>
      <c r="F16">
        <v>24</v>
      </c>
      <c r="G16" t="s">
        <v>66</v>
      </c>
      <c r="H16">
        <v>3</v>
      </c>
      <c r="I16" t="s">
        <v>42</v>
      </c>
      <c r="J16" t="s">
        <v>54</v>
      </c>
      <c r="K16">
        <v>2</v>
      </c>
      <c r="L16" t="s">
        <v>55</v>
      </c>
      <c r="M16">
        <v>1</v>
      </c>
      <c r="N16" t="s">
        <v>40</v>
      </c>
      <c r="O16" t="s">
        <v>62</v>
      </c>
      <c r="P16">
        <v>3</v>
      </c>
      <c r="Q16" t="s">
        <v>42</v>
      </c>
      <c r="R16" t="s">
        <v>43</v>
      </c>
      <c r="S16">
        <v>5</v>
      </c>
      <c r="T16" t="s">
        <v>44</v>
      </c>
      <c r="U16" t="s">
        <v>44</v>
      </c>
      <c r="V16">
        <v>14</v>
      </c>
      <c r="W16" t="s">
        <v>45</v>
      </c>
      <c r="X16">
        <v>6</v>
      </c>
      <c r="Y16">
        <v>3</v>
      </c>
      <c r="Z16" t="s">
        <v>61</v>
      </c>
      <c r="AA16">
        <v>4</v>
      </c>
      <c r="AB16" t="s">
        <v>48</v>
      </c>
      <c r="AC16">
        <v>2</v>
      </c>
      <c r="AD16" t="s">
        <v>48</v>
      </c>
      <c r="AE16">
        <v>0</v>
      </c>
      <c r="AF16" t="s">
        <v>49</v>
      </c>
    </row>
    <row r="17" spans="1:32" x14ac:dyDescent="0.25">
      <c r="A17">
        <v>29</v>
      </c>
      <c r="B17" t="s">
        <v>63</v>
      </c>
      <c r="C17" t="s">
        <v>50</v>
      </c>
      <c r="D17" t="s">
        <v>34</v>
      </c>
      <c r="E17" t="s">
        <v>52</v>
      </c>
      <c r="F17">
        <v>21</v>
      </c>
      <c r="G17" t="s">
        <v>66</v>
      </c>
      <c r="H17">
        <v>2</v>
      </c>
      <c r="I17" t="s">
        <v>37</v>
      </c>
      <c r="J17" t="s">
        <v>38</v>
      </c>
      <c r="K17">
        <v>4</v>
      </c>
      <c r="L17" t="s">
        <v>65</v>
      </c>
      <c r="M17">
        <v>3</v>
      </c>
      <c r="N17" t="s">
        <v>68</v>
      </c>
      <c r="O17" t="s">
        <v>69</v>
      </c>
      <c r="P17">
        <v>1</v>
      </c>
      <c r="Q17" t="s">
        <v>57</v>
      </c>
      <c r="R17" t="s">
        <v>67</v>
      </c>
      <c r="S17">
        <v>1</v>
      </c>
      <c r="T17" t="s">
        <v>44</v>
      </c>
      <c r="U17" t="s">
        <v>59</v>
      </c>
      <c r="V17">
        <v>11</v>
      </c>
      <c r="W17" t="s">
        <v>45</v>
      </c>
      <c r="X17">
        <v>10</v>
      </c>
      <c r="Y17">
        <v>3</v>
      </c>
      <c r="Z17" t="s">
        <v>61</v>
      </c>
      <c r="AA17">
        <v>10</v>
      </c>
      <c r="AB17" t="s">
        <v>47</v>
      </c>
      <c r="AC17">
        <v>9</v>
      </c>
      <c r="AD17" t="s">
        <v>47</v>
      </c>
      <c r="AE17">
        <v>8</v>
      </c>
      <c r="AF17" t="s">
        <v>71</v>
      </c>
    </row>
    <row r="18" spans="1:32" x14ac:dyDescent="0.25">
      <c r="A18">
        <v>32</v>
      </c>
      <c r="B18" t="s">
        <v>32</v>
      </c>
      <c r="C18" t="s">
        <v>50</v>
      </c>
      <c r="D18" t="s">
        <v>34</v>
      </c>
      <c r="E18" t="s">
        <v>52</v>
      </c>
      <c r="F18">
        <v>5</v>
      </c>
      <c r="G18" t="s">
        <v>36</v>
      </c>
      <c r="H18">
        <v>1</v>
      </c>
      <c r="I18" t="s">
        <v>37</v>
      </c>
      <c r="J18" t="s">
        <v>54</v>
      </c>
      <c r="K18">
        <v>4</v>
      </c>
      <c r="L18" t="s">
        <v>65</v>
      </c>
      <c r="M18">
        <v>1</v>
      </c>
      <c r="N18" t="s">
        <v>40</v>
      </c>
      <c r="O18" t="s">
        <v>56</v>
      </c>
      <c r="P18">
        <v>2</v>
      </c>
      <c r="Q18" t="s">
        <v>57</v>
      </c>
      <c r="R18" t="s">
        <v>67</v>
      </c>
      <c r="S18">
        <v>0</v>
      </c>
      <c r="T18" t="s">
        <v>44</v>
      </c>
      <c r="U18" t="s">
        <v>44</v>
      </c>
      <c r="V18">
        <v>12</v>
      </c>
      <c r="W18" t="s">
        <v>45</v>
      </c>
      <c r="X18">
        <v>7</v>
      </c>
      <c r="Y18">
        <v>2</v>
      </c>
      <c r="Z18" t="s">
        <v>46</v>
      </c>
      <c r="AA18">
        <v>6</v>
      </c>
      <c r="AB18" t="s">
        <v>47</v>
      </c>
      <c r="AC18">
        <v>2</v>
      </c>
      <c r="AD18" t="s">
        <v>48</v>
      </c>
      <c r="AE18">
        <v>0</v>
      </c>
      <c r="AF18" t="s">
        <v>49</v>
      </c>
    </row>
    <row r="19" spans="1:32" x14ac:dyDescent="0.25">
      <c r="A19">
        <v>22</v>
      </c>
      <c r="B19" t="s">
        <v>63</v>
      </c>
      <c r="C19" t="s">
        <v>50</v>
      </c>
      <c r="D19" t="s">
        <v>34</v>
      </c>
      <c r="E19" t="s">
        <v>52</v>
      </c>
      <c r="F19">
        <v>16</v>
      </c>
      <c r="G19" t="s">
        <v>66</v>
      </c>
      <c r="H19">
        <v>4</v>
      </c>
      <c r="I19" t="s">
        <v>42</v>
      </c>
      <c r="J19" t="s">
        <v>54</v>
      </c>
      <c r="K19">
        <v>4</v>
      </c>
      <c r="L19" t="s">
        <v>65</v>
      </c>
      <c r="M19">
        <v>1</v>
      </c>
      <c r="N19" t="s">
        <v>40</v>
      </c>
      <c r="O19" t="s">
        <v>62</v>
      </c>
      <c r="P19">
        <v>4</v>
      </c>
      <c r="Q19" t="s">
        <v>42</v>
      </c>
      <c r="R19" t="s">
        <v>67</v>
      </c>
      <c r="S19">
        <v>1</v>
      </c>
      <c r="T19" t="s">
        <v>44</v>
      </c>
      <c r="U19" t="s">
        <v>44</v>
      </c>
      <c r="V19">
        <v>13</v>
      </c>
      <c r="W19" t="s">
        <v>45</v>
      </c>
      <c r="X19">
        <v>1</v>
      </c>
      <c r="Y19">
        <v>2</v>
      </c>
      <c r="Z19" t="s">
        <v>46</v>
      </c>
      <c r="AA19">
        <v>1</v>
      </c>
      <c r="AB19" t="s">
        <v>48</v>
      </c>
      <c r="AC19">
        <v>0</v>
      </c>
      <c r="AD19" t="s">
        <v>48</v>
      </c>
      <c r="AE19">
        <v>0</v>
      </c>
      <c r="AF19" t="s">
        <v>49</v>
      </c>
    </row>
    <row r="20" spans="1:32" x14ac:dyDescent="0.25">
      <c r="A20">
        <v>53</v>
      </c>
      <c r="B20" t="s">
        <v>64</v>
      </c>
      <c r="C20" t="s">
        <v>50</v>
      </c>
      <c r="D20" t="s">
        <v>34</v>
      </c>
      <c r="E20" t="s">
        <v>35</v>
      </c>
      <c r="F20">
        <v>2</v>
      </c>
      <c r="G20" t="s">
        <v>36</v>
      </c>
      <c r="H20">
        <v>1</v>
      </c>
      <c r="I20" t="s">
        <v>37</v>
      </c>
      <c r="J20" t="s">
        <v>38</v>
      </c>
      <c r="K20">
        <v>2</v>
      </c>
      <c r="L20" t="s">
        <v>55</v>
      </c>
      <c r="M20">
        <v>4</v>
      </c>
      <c r="N20" t="s">
        <v>72</v>
      </c>
      <c r="O20" t="s">
        <v>73</v>
      </c>
      <c r="P20">
        <v>4</v>
      </c>
      <c r="Q20" t="s">
        <v>42</v>
      </c>
      <c r="R20" t="s">
        <v>58</v>
      </c>
      <c r="S20">
        <v>2</v>
      </c>
      <c r="T20" t="s">
        <v>44</v>
      </c>
      <c r="U20" t="s">
        <v>59</v>
      </c>
      <c r="V20">
        <v>16</v>
      </c>
      <c r="W20" t="s">
        <v>45</v>
      </c>
      <c r="X20">
        <v>31</v>
      </c>
      <c r="Y20">
        <v>3</v>
      </c>
      <c r="Z20" t="s">
        <v>61</v>
      </c>
      <c r="AA20">
        <v>25</v>
      </c>
      <c r="AB20" t="s">
        <v>74</v>
      </c>
      <c r="AC20">
        <v>8</v>
      </c>
      <c r="AD20" t="s">
        <v>47</v>
      </c>
      <c r="AE20">
        <v>3</v>
      </c>
      <c r="AF20" t="s">
        <v>49</v>
      </c>
    </row>
    <row r="21" spans="1:32" x14ac:dyDescent="0.25">
      <c r="A21">
        <v>38</v>
      </c>
      <c r="B21" t="s">
        <v>32</v>
      </c>
      <c r="C21" t="s">
        <v>50</v>
      </c>
      <c r="D21" t="s">
        <v>34</v>
      </c>
      <c r="E21" t="s">
        <v>52</v>
      </c>
      <c r="F21">
        <v>2</v>
      </c>
      <c r="G21" t="s">
        <v>36</v>
      </c>
      <c r="H21">
        <v>4</v>
      </c>
      <c r="I21" t="s">
        <v>42</v>
      </c>
      <c r="J21" t="s">
        <v>54</v>
      </c>
      <c r="K21">
        <v>3</v>
      </c>
      <c r="L21" t="s">
        <v>39</v>
      </c>
      <c r="M21">
        <v>1</v>
      </c>
      <c r="N21" t="s">
        <v>40</v>
      </c>
      <c r="O21" t="s">
        <v>56</v>
      </c>
      <c r="P21">
        <v>4</v>
      </c>
      <c r="Q21" t="s">
        <v>42</v>
      </c>
      <c r="R21" t="s">
        <v>43</v>
      </c>
      <c r="S21">
        <v>5</v>
      </c>
      <c r="T21" t="s">
        <v>44</v>
      </c>
      <c r="U21" t="s">
        <v>44</v>
      </c>
      <c r="V21">
        <v>11</v>
      </c>
      <c r="W21" t="s">
        <v>45</v>
      </c>
      <c r="X21">
        <v>6</v>
      </c>
      <c r="Y21">
        <v>3</v>
      </c>
      <c r="Z21" t="s">
        <v>61</v>
      </c>
      <c r="AA21">
        <v>3</v>
      </c>
      <c r="AB21" t="s">
        <v>48</v>
      </c>
      <c r="AC21">
        <v>2</v>
      </c>
      <c r="AD21" t="s">
        <v>48</v>
      </c>
      <c r="AE21">
        <v>1</v>
      </c>
      <c r="AF21" t="s">
        <v>49</v>
      </c>
    </row>
    <row r="22" spans="1:32" x14ac:dyDescent="0.25">
      <c r="A22">
        <v>24</v>
      </c>
      <c r="B22" t="s">
        <v>63</v>
      </c>
      <c r="C22" t="s">
        <v>50</v>
      </c>
      <c r="D22" t="s">
        <v>34</v>
      </c>
      <c r="E22" t="s">
        <v>52</v>
      </c>
      <c r="F22">
        <v>11</v>
      </c>
      <c r="G22" t="s">
        <v>53</v>
      </c>
      <c r="H22">
        <v>1</v>
      </c>
      <c r="I22" t="s">
        <v>37</v>
      </c>
      <c r="J22" t="s">
        <v>38</v>
      </c>
      <c r="K22">
        <v>4</v>
      </c>
      <c r="L22" t="s">
        <v>65</v>
      </c>
      <c r="M22">
        <v>2</v>
      </c>
      <c r="N22" t="s">
        <v>40</v>
      </c>
      <c r="O22" t="s">
        <v>69</v>
      </c>
      <c r="P22">
        <v>3</v>
      </c>
      <c r="Q22" t="s">
        <v>42</v>
      </c>
      <c r="R22" t="s">
        <v>67</v>
      </c>
      <c r="S22">
        <v>0</v>
      </c>
      <c r="T22" t="s">
        <v>44</v>
      </c>
      <c r="U22" t="s">
        <v>59</v>
      </c>
      <c r="V22">
        <v>18</v>
      </c>
      <c r="W22" t="s">
        <v>45</v>
      </c>
      <c r="X22">
        <v>5</v>
      </c>
      <c r="Y22">
        <v>2</v>
      </c>
      <c r="Z22" t="s">
        <v>46</v>
      </c>
      <c r="AA22">
        <v>4</v>
      </c>
      <c r="AB22" t="s">
        <v>48</v>
      </c>
      <c r="AC22">
        <v>2</v>
      </c>
      <c r="AD22" t="s">
        <v>48</v>
      </c>
      <c r="AE22">
        <v>1</v>
      </c>
      <c r="AF22" t="s">
        <v>49</v>
      </c>
    </row>
    <row r="23" spans="1:32" x14ac:dyDescent="0.25">
      <c r="A23">
        <v>36</v>
      </c>
      <c r="B23" t="s">
        <v>32</v>
      </c>
      <c r="C23" t="s">
        <v>33</v>
      </c>
      <c r="D23" t="s">
        <v>34</v>
      </c>
      <c r="E23" t="s">
        <v>35</v>
      </c>
      <c r="F23">
        <v>9</v>
      </c>
      <c r="G23" t="s">
        <v>53</v>
      </c>
      <c r="H23">
        <v>3</v>
      </c>
      <c r="I23" t="s">
        <v>42</v>
      </c>
      <c r="J23" t="s">
        <v>54</v>
      </c>
      <c r="K23">
        <v>2</v>
      </c>
      <c r="L23" t="s">
        <v>55</v>
      </c>
      <c r="M23">
        <v>1</v>
      </c>
      <c r="N23" t="s">
        <v>40</v>
      </c>
      <c r="O23" t="s">
        <v>75</v>
      </c>
      <c r="P23">
        <v>1</v>
      </c>
      <c r="Q23" t="s">
        <v>57</v>
      </c>
      <c r="R23" t="s">
        <v>43</v>
      </c>
      <c r="S23">
        <v>7</v>
      </c>
      <c r="T23" t="s">
        <v>44</v>
      </c>
      <c r="U23" t="s">
        <v>59</v>
      </c>
      <c r="V23">
        <v>23</v>
      </c>
      <c r="W23" t="s">
        <v>60</v>
      </c>
      <c r="X23">
        <v>10</v>
      </c>
      <c r="Y23">
        <v>3</v>
      </c>
      <c r="Z23" t="s">
        <v>61</v>
      </c>
      <c r="AA23">
        <v>5</v>
      </c>
      <c r="AB23" t="s">
        <v>47</v>
      </c>
      <c r="AC23">
        <v>3</v>
      </c>
      <c r="AD23" t="s">
        <v>48</v>
      </c>
      <c r="AE23">
        <v>0</v>
      </c>
      <c r="AF23" t="s">
        <v>49</v>
      </c>
    </row>
    <row r="24" spans="1:32" x14ac:dyDescent="0.25">
      <c r="A24">
        <v>34</v>
      </c>
      <c r="B24" t="s">
        <v>32</v>
      </c>
      <c r="C24" t="s">
        <v>50</v>
      </c>
      <c r="D24" t="s">
        <v>34</v>
      </c>
      <c r="E24" t="s">
        <v>52</v>
      </c>
      <c r="F24">
        <v>7</v>
      </c>
      <c r="G24" t="s">
        <v>53</v>
      </c>
      <c r="H24">
        <v>1</v>
      </c>
      <c r="I24" t="s">
        <v>37</v>
      </c>
      <c r="J24" t="s">
        <v>38</v>
      </c>
      <c r="K24">
        <v>3</v>
      </c>
      <c r="L24" t="s">
        <v>39</v>
      </c>
      <c r="M24">
        <v>3</v>
      </c>
      <c r="N24" t="s">
        <v>68</v>
      </c>
      <c r="O24" t="s">
        <v>76</v>
      </c>
      <c r="P24">
        <v>2</v>
      </c>
      <c r="Q24" t="s">
        <v>57</v>
      </c>
      <c r="R24" t="s">
        <v>43</v>
      </c>
      <c r="S24">
        <v>0</v>
      </c>
      <c r="T24" t="s">
        <v>44</v>
      </c>
      <c r="U24" t="s">
        <v>59</v>
      </c>
      <c r="V24">
        <v>11</v>
      </c>
      <c r="W24" t="s">
        <v>45</v>
      </c>
      <c r="X24">
        <v>13</v>
      </c>
      <c r="Y24">
        <v>3</v>
      </c>
      <c r="Z24" t="s">
        <v>61</v>
      </c>
      <c r="AA24">
        <v>12</v>
      </c>
      <c r="AB24" t="s">
        <v>74</v>
      </c>
      <c r="AC24">
        <v>6</v>
      </c>
      <c r="AD24" t="s">
        <v>47</v>
      </c>
      <c r="AE24">
        <v>2</v>
      </c>
      <c r="AF24" t="s">
        <v>49</v>
      </c>
    </row>
    <row r="25" spans="1:32" x14ac:dyDescent="0.25">
      <c r="A25">
        <v>21</v>
      </c>
      <c r="B25" t="s">
        <v>63</v>
      </c>
      <c r="C25" t="s">
        <v>50</v>
      </c>
      <c r="D25" t="s">
        <v>34</v>
      </c>
      <c r="E25" t="s">
        <v>52</v>
      </c>
      <c r="F25">
        <v>15</v>
      </c>
      <c r="G25" t="s">
        <v>66</v>
      </c>
      <c r="H25">
        <v>3</v>
      </c>
      <c r="I25" t="s">
        <v>42</v>
      </c>
      <c r="J25" t="s">
        <v>54</v>
      </c>
      <c r="K25">
        <v>3</v>
      </c>
      <c r="L25" t="s">
        <v>39</v>
      </c>
      <c r="M25">
        <v>1</v>
      </c>
      <c r="N25" t="s">
        <v>40</v>
      </c>
      <c r="O25" t="s">
        <v>56</v>
      </c>
      <c r="P25">
        <v>4</v>
      </c>
      <c r="Q25" t="s">
        <v>42</v>
      </c>
      <c r="R25" t="s">
        <v>43</v>
      </c>
      <c r="S25">
        <v>1</v>
      </c>
      <c r="T25" t="s">
        <v>44</v>
      </c>
      <c r="U25" t="s">
        <v>59</v>
      </c>
      <c r="V25">
        <v>14</v>
      </c>
      <c r="W25" t="s">
        <v>45</v>
      </c>
      <c r="X25">
        <v>0</v>
      </c>
      <c r="Y25">
        <v>3</v>
      </c>
      <c r="Z25" t="s">
        <v>61</v>
      </c>
      <c r="AA25">
        <v>0</v>
      </c>
      <c r="AB25" t="s">
        <v>48</v>
      </c>
      <c r="AC25">
        <v>0</v>
      </c>
      <c r="AD25" t="s">
        <v>48</v>
      </c>
      <c r="AE25">
        <v>0</v>
      </c>
      <c r="AF25" t="s">
        <v>49</v>
      </c>
    </row>
    <row r="26" spans="1:32" x14ac:dyDescent="0.25">
      <c r="A26">
        <v>34</v>
      </c>
      <c r="B26" t="s">
        <v>32</v>
      </c>
      <c r="C26" t="s">
        <v>33</v>
      </c>
      <c r="D26" t="s">
        <v>34</v>
      </c>
      <c r="E26" t="s">
        <v>52</v>
      </c>
      <c r="F26">
        <v>6</v>
      </c>
      <c r="G26" t="s">
        <v>53</v>
      </c>
      <c r="H26">
        <v>2</v>
      </c>
      <c r="I26" t="s">
        <v>37</v>
      </c>
      <c r="J26" t="s">
        <v>54</v>
      </c>
      <c r="K26">
        <v>3</v>
      </c>
      <c r="L26" t="s">
        <v>39</v>
      </c>
      <c r="M26">
        <v>1</v>
      </c>
      <c r="N26" t="s">
        <v>40</v>
      </c>
      <c r="O26" t="s">
        <v>56</v>
      </c>
      <c r="P26">
        <v>1</v>
      </c>
      <c r="Q26" t="s">
        <v>57</v>
      </c>
      <c r="R26" t="s">
        <v>43</v>
      </c>
      <c r="S26">
        <v>2</v>
      </c>
      <c r="T26" t="s">
        <v>44</v>
      </c>
      <c r="U26" t="s">
        <v>59</v>
      </c>
      <c r="V26">
        <v>11</v>
      </c>
      <c r="W26" t="s">
        <v>45</v>
      </c>
      <c r="X26">
        <v>8</v>
      </c>
      <c r="Y26">
        <v>3</v>
      </c>
      <c r="Z26" t="s">
        <v>61</v>
      </c>
      <c r="AA26">
        <v>4</v>
      </c>
      <c r="AB26" t="s">
        <v>48</v>
      </c>
      <c r="AC26">
        <v>2</v>
      </c>
      <c r="AD26" t="s">
        <v>48</v>
      </c>
      <c r="AE26">
        <v>1</v>
      </c>
      <c r="AF26" t="s">
        <v>49</v>
      </c>
    </row>
    <row r="27" spans="1:32" x14ac:dyDescent="0.25">
      <c r="A27">
        <v>53</v>
      </c>
      <c r="B27" t="s">
        <v>64</v>
      </c>
      <c r="C27" t="s">
        <v>50</v>
      </c>
      <c r="D27" t="s">
        <v>34</v>
      </c>
      <c r="E27" t="s">
        <v>52</v>
      </c>
      <c r="F27">
        <v>5</v>
      </c>
      <c r="G27" t="s">
        <v>36</v>
      </c>
      <c r="H27">
        <v>3</v>
      </c>
      <c r="I27" t="s">
        <v>42</v>
      </c>
      <c r="J27" t="s">
        <v>38</v>
      </c>
      <c r="K27">
        <v>3</v>
      </c>
      <c r="L27" t="s">
        <v>39</v>
      </c>
      <c r="M27">
        <v>5</v>
      </c>
      <c r="N27" t="s">
        <v>72</v>
      </c>
      <c r="O27" t="s">
        <v>73</v>
      </c>
      <c r="P27">
        <v>3</v>
      </c>
      <c r="Q27" t="s">
        <v>42</v>
      </c>
      <c r="R27" t="s">
        <v>67</v>
      </c>
      <c r="S27">
        <v>4</v>
      </c>
      <c r="T27" t="s">
        <v>44</v>
      </c>
      <c r="U27" t="s">
        <v>59</v>
      </c>
      <c r="V27">
        <v>11</v>
      </c>
      <c r="W27" t="s">
        <v>45</v>
      </c>
      <c r="X27">
        <v>26</v>
      </c>
      <c r="Y27">
        <v>2</v>
      </c>
      <c r="Z27" t="s">
        <v>46</v>
      </c>
      <c r="AA27">
        <v>14</v>
      </c>
      <c r="AB27" t="s">
        <v>74</v>
      </c>
      <c r="AC27">
        <v>13</v>
      </c>
      <c r="AD27" t="s">
        <v>74</v>
      </c>
      <c r="AE27">
        <v>4</v>
      </c>
      <c r="AF27" t="s">
        <v>71</v>
      </c>
    </row>
    <row r="28" spans="1:32" x14ac:dyDescent="0.25">
      <c r="A28">
        <v>32</v>
      </c>
      <c r="B28" t="s">
        <v>32</v>
      </c>
      <c r="C28" t="s">
        <v>33</v>
      </c>
      <c r="D28" t="s">
        <v>51</v>
      </c>
      <c r="E28" t="s">
        <v>52</v>
      </c>
      <c r="F28">
        <v>16</v>
      </c>
      <c r="G28" t="s">
        <v>66</v>
      </c>
      <c r="H28">
        <v>2</v>
      </c>
      <c r="I28" t="s">
        <v>37</v>
      </c>
      <c r="J28" t="s">
        <v>38</v>
      </c>
      <c r="K28">
        <v>1</v>
      </c>
      <c r="L28" t="s">
        <v>55</v>
      </c>
      <c r="M28">
        <v>1</v>
      </c>
      <c r="N28" t="s">
        <v>40</v>
      </c>
      <c r="O28" t="s">
        <v>56</v>
      </c>
      <c r="P28">
        <v>1</v>
      </c>
      <c r="Q28" t="s">
        <v>57</v>
      </c>
      <c r="R28" t="s">
        <v>43</v>
      </c>
      <c r="S28">
        <v>1</v>
      </c>
      <c r="T28" t="s">
        <v>44</v>
      </c>
      <c r="U28" t="s">
        <v>44</v>
      </c>
      <c r="V28">
        <v>22</v>
      </c>
      <c r="W28" t="s">
        <v>60</v>
      </c>
      <c r="X28">
        <v>10</v>
      </c>
      <c r="Y28">
        <v>3</v>
      </c>
      <c r="Z28" t="s">
        <v>61</v>
      </c>
      <c r="AA28">
        <v>10</v>
      </c>
      <c r="AB28" t="s">
        <v>47</v>
      </c>
      <c r="AC28">
        <v>2</v>
      </c>
      <c r="AD28" t="s">
        <v>48</v>
      </c>
      <c r="AE28">
        <v>6</v>
      </c>
      <c r="AF28" t="s">
        <v>71</v>
      </c>
    </row>
    <row r="29" spans="1:32" x14ac:dyDescent="0.25">
      <c r="A29">
        <v>42</v>
      </c>
      <c r="B29" t="s">
        <v>32</v>
      </c>
      <c r="C29" t="s">
        <v>50</v>
      </c>
      <c r="D29" t="s">
        <v>34</v>
      </c>
      <c r="E29" t="s">
        <v>35</v>
      </c>
      <c r="F29">
        <v>8</v>
      </c>
      <c r="G29" t="s">
        <v>53</v>
      </c>
      <c r="H29">
        <v>3</v>
      </c>
      <c r="I29" t="s">
        <v>42</v>
      </c>
      <c r="J29" t="s">
        <v>54</v>
      </c>
      <c r="K29">
        <v>3</v>
      </c>
      <c r="L29" t="s">
        <v>39</v>
      </c>
      <c r="M29">
        <v>2</v>
      </c>
      <c r="N29" t="s">
        <v>40</v>
      </c>
      <c r="O29" t="s">
        <v>41</v>
      </c>
      <c r="P29">
        <v>2</v>
      </c>
      <c r="Q29" t="s">
        <v>57</v>
      </c>
      <c r="R29" t="s">
        <v>58</v>
      </c>
      <c r="S29">
        <v>0</v>
      </c>
      <c r="T29" t="s">
        <v>44</v>
      </c>
      <c r="U29" t="s">
        <v>59</v>
      </c>
      <c r="V29">
        <v>11</v>
      </c>
      <c r="W29" t="s">
        <v>45</v>
      </c>
      <c r="X29">
        <v>10</v>
      </c>
      <c r="Y29">
        <v>3</v>
      </c>
      <c r="Z29" t="s">
        <v>61</v>
      </c>
      <c r="AA29">
        <v>9</v>
      </c>
      <c r="AB29" t="s">
        <v>47</v>
      </c>
      <c r="AC29">
        <v>7</v>
      </c>
      <c r="AD29" t="s">
        <v>47</v>
      </c>
      <c r="AE29">
        <v>4</v>
      </c>
      <c r="AF29" t="s">
        <v>71</v>
      </c>
    </row>
    <row r="30" spans="1:32" x14ac:dyDescent="0.25">
      <c r="A30">
        <v>44</v>
      </c>
      <c r="B30" t="s">
        <v>32</v>
      </c>
      <c r="C30" t="s">
        <v>50</v>
      </c>
      <c r="D30" t="s">
        <v>34</v>
      </c>
      <c r="E30" t="s">
        <v>52</v>
      </c>
      <c r="F30">
        <v>7</v>
      </c>
      <c r="G30" t="s">
        <v>53</v>
      </c>
      <c r="H30">
        <v>1</v>
      </c>
      <c r="I30" t="s">
        <v>37</v>
      </c>
      <c r="J30" t="s">
        <v>38</v>
      </c>
      <c r="K30">
        <v>2</v>
      </c>
      <c r="L30" t="s">
        <v>55</v>
      </c>
      <c r="M30">
        <v>3</v>
      </c>
      <c r="N30" t="s">
        <v>68</v>
      </c>
      <c r="O30" t="s">
        <v>70</v>
      </c>
      <c r="P30">
        <v>4</v>
      </c>
      <c r="Q30" t="s">
        <v>42</v>
      </c>
      <c r="R30" t="s">
        <v>58</v>
      </c>
      <c r="S30">
        <v>3</v>
      </c>
      <c r="T30" t="s">
        <v>44</v>
      </c>
      <c r="U30" t="s">
        <v>59</v>
      </c>
      <c r="V30">
        <v>14</v>
      </c>
      <c r="W30" t="s">
        <v>45</v>
      </c>
      <c r="X30">
        <v>24</v>
      </c>
      <c r="Y30">
        <v>3</v>
      </c>
      <c r="Z30" t="s">
        <v>61</v>
      </c>
      <c r="AA30">
        <v>22</v>
      </c>
      <c r="AB30" t="s">
        <v>74</v>
      </c>
      <c r="AC30">
        <v>6</v>
      </c>
      <c r="AD30" t="s">
        <v>47</v>
      </c>
      <c r="AE30">
        <v>5</v>
      </c>
      <c r="AF30" t="s">
        <v>71</v>
      </c>
    </row>
    <row r="31" spans="1:32" x14ac:dyDescent="0.25">
      <c r="A31">
        <v>46</v>
      </c>
      <c r="B31" t="s">
        <v>32</v>
      </c>
      <c r="C31" t="s">
        <v>50</v>
      </c>
      <c r="D31" t="s">
        <v>34</v>
      </c>
      <c r="E31" t="s">
        <v>35</v>
      </c>
      <c r="F31">
        <v>2</v>
      </c>
      <c r="G31" t="s">
        <v>36</v>
      </c>
      <c r="H31">
        <v>2</v>
      </c>
      <c r="I31" t="s">
        <v>37</v>
      </c>
      <c r="J31" t="s">
        <v>38</v>
      </c>
      <c r="K31">
        <v>3</v>
      </c>
      <c r="L31" t="s">
        <v>39</v>
      </c>
      <c r="M31">
        <v>5</v>
      </c>
      <c r="N31" t="s">
        <v>72</v>
      </c>
      <c r="O31" t="s">
        <v>73</v>
      </c>
      <c r="P31">
        <v>1</v>
      </c>
      <c r="Q31" t="s">
        <v>57</v>
      </c>
      <c r="R31" t="s">
        <v>43</v>
      </c>
      <c r="S31">
        <v>3</v>
      </c>
      <c r="T31" t="s">
        <v>44</v>
      </c>
      <c r="U31" t="s">
        <v>59</v>
      </c>
      <c r="V31">
        <v>12</v>
      </c>
      <c r="W31" t="s">
        <v>45</v>
      </c>
      <c r="X31">
        <v>22</v>
      </c>
      <c r="Y31">
        <v>2</v>
      </c>
      <c r="Z31" t="s">
        <v>46</v>
      </c>
      <c r="AA31">
        <v>2</v>
      </c>
      <c r="AB31" t="s">
        <v>48</v>
      </c>
      <c r="AC31">
        <v>2</v>
      </c>
      <c r="AD31" t="s">
        <v>48</v>
      </c>
      <c r="AE31">
        <v>2</v>
      </c>
      <c r="AF31" t="s">
        <v>49</v>
      </c>
    </row>
    <row r="32" spans="1:32" x14ac:dyDescent="0.25">
      <c r="A32">
        <v>33</v>
      </c>
      <c r="B32" t="s">
        <v>32</v>
      </c>
      <c r="C32" t="s">
        <v>50</v>
      </c>
      <c r="D32" t="s">
        <v>34</v>
      </c>
      <c r="E32" t="s">
        <v>52</v>
      </c>
      <c r="F32">
        <v>2</v>
      </c>
      <c r="G32" t="s">
        <v>36</v>
      </c>
      <c r="H32">
        <v>3</v>
      </c>
      <c r="I32" t="s">
        <v>42</v>
      </c>
      <c r="J32" t="s">
        <v>54</v>
      </c>
      <c r="K32">
        <v>3</v>
      </c>
      <c r="L32" t="s">
        <v>39</v>
      </c>
      <c r="M32">
        <v>1</v>
      </c>
      <c r="N32" t="s">
        <v>40</v>
      </c>
      <c r="O32" t="s">
        <v>62</v>
      </c>
      <c r="P32">
        <v>4</v>
      </c>
      <c r="Q32" t="s">
        <v>42</v>
      </c>
      <c r="R32" t="s">
        <v>43</v>
      </c>
      <c r="S32">
        <v>4</v>
      </c>
      <c r="T32" t="s">
        <v>44</v>
      </c>
      <c r="U32" t="s">
        <v>59</v>
      </c>
      <c r="V32">
        <v>11</v>
      </c>
      <c r="W32" t="s">
        <v>45</v>
      </c>
      <c r="X32">
        <v>7</v>
      </c>
      <c r="Y32">
        <v>3</v>
      </c>
      <c r="Z32" t="s">
        <v>61</v>
      </c>
      <c r="AA32">
        <v>1</v>
      </c>
      <c r="AB32" t="s">
        <v>48</v>
      </c>
      <c r="AC32">
        <v>1</v>
      </c>
      <c r="AD32" t="s">
        <v>48</v>
      </c>
      <c r="AE32">
        <v>0</v>
      </c>
      <c r="AF32" t="s">
        <v>49</v>
      </c>
    </row>
    <row r="33" spans="1:32" x14ac:dyDescent="0.25">
      <c r="A33">
        <v>44</v>
      </c>
      <c r="B33" t="s">
        <v>32</v>
      </c>
      <c r="C33" t="s">
        <v>50</v>
      </c>
      <c r="D33" t="s">
        <v>34</v>
      </c>
      <c r="E33" t="s">
        <v>52</v>
      </c>
      <c r="F33">
        <v>10</v>
      </c>
      <c r="G33" t="s">
        <v>53</v>
      </c>
      <c r="H33">
        <v>4</v>
      </c>
      <c r="I33" t="s">
        <v>42</v>
      </c>
      <c r="J33" t="s">
        <v>54</v>
      </c>
      <c r="K33">
        <v>3</v>
      </c>
      <c r="L33" t="s">
        <v>39</v>
      </c>
      <c r="M33">
        <v>2</v>
      </c>
      <c r="N33" t="s">
        <v>40</v>
      </c>
      <c r="O33" t="s">
        <v>70</v>
      </c>
      <c r="P33">
        <v>4</v>
      </c>
      <c r="Q33" t="s">
        <v>42</v>
      </c>
      <c r="R33" t="s">
        <v>58</v>
      </c>
      <c r="S33">
        <v>2</v>
      </c>
      <c r="T33" t="s">
        <v>44</v>
      </c>
      <c r="U33" t="s">
        <v>44</v>
      </c>
      <c r="V33">
        <v>13</v>
      </c>
      <c r="W33" t="s">
        <v>45</v>
      </c>
      <c r="X33">
        <v>9</v>
      </c>
      <c r="Y33">
        <v>4</v>
      </c>
      <c r="Z33" t="s">
        <v>61</v>
      </c>
      <c r="AA33">
        <v>4</v>
      </c>
      <c r="AB33" t="s">
        <v>48</v>
      </c>
      <c r="AC33">
        <v>2</v>
      </c>
      <c r="AD33" t="s">
        <v>48</v>
      </c>
      <c r="AE33">
        <v>1</v>
      </c>
      <c r="AF33" t="s">
        <v>49</v>
      </c>
    </row>
    <row r="34" spans="1:32" x14ac:dyDescent="0.25">
      <c r="A34">
        <v>30</v>
      </c>
      <c r="B34" t="s">
        <v>32</v>
      </c>
      <c r="C34" t="s">
        <v>50</v>
      </c>
      <c r="D34" t="s">
        <v>34</v>
      </c>
      <c r="E34" t="s">
        <v>52</v>
      </c>
      <c r="F34">
        <v>9</v>
      </c>
      <c r="G34" t="s">
        <v>53</v>
      </c>
      <c r="H34">
        <v>4</v>
      </c>
      <c r="I34" t="s">
        <v>42</v>
      </c>
      <c r="J34" t="s">
        <v>54</v>
      </c>
      <c r="K34">
        <v>2</v>
      </c>
      <c r="L34" t="s">
        <v>55</v>
      </c>
      <c r="M34">
        <v>1</v>
      </c>
      <c r="N34" t="s">
        <v>40</v>
      </c>
      <c r="O34" t="s">
        <v>62</v>
      </c>
      <c r="P34">
        <v>3</v>
      </c>
      <c r="Q34" t="s">
        <v>42</v>
      </c>
      <c r="R34" t="s">
        <v>43</v>
      </c>
      <c r="S34">
        <v>1</v>
      </c>
      <c r="T34" t="s">
        <v>44</v>
      </c>
      <c r="U34" t="s">
        <v>59</v>
      </c>
      <c r="V34">
        <v>13</v>
      </c>
      <c r="W34" t="s">
        <v>45</v>
      </c>
      <c r="X34">
        <v>10</v>
      </c>
      <c r="Y34">
        <v>3</v>
      </c>
      <c r="Z34" t="s">
        <v>61</v>
      </c>
      <c r="AA34">
        <v>10</v>
      </c>
      <c r="AB34" t="s">
        <v>47</v>
      </c>
      <c r="AC34">
        <v>0</v>
      </c>
      <c r="AD34" t="s">
        <v>48</v>
      </c>
      <c r="AE34">
        <v>1</v>
      </c>
      <c r="AF34" t="s">
        <v>49</v>
      </c>
    </row>
    <row r="35" spans="1:32" x14ac:dyDescent="0.25">
      <c r="A35">
        <v>39</v>
      </c>
      <c r="B35" t="s">
        <v>32</v>
      </c>
      <c r="C35" t="s">
        <v>33</v>
      </c>
      <c r="D35" t="s">
        <v>34</v>
      </c>
      <c r="E35" t="s">
        <v>35</v>
      </c>
      <c r="F35">
        <v>5</v>
      </c>
      <c r="G35" t="s">
        <v>36</v>
      </c>
      <c r="H35">
        <v>4</v>
      </c>
      <c r="I35" t="s">
        <v>42</v>
      </c>
      <c r="J35" t="s">
        <v>54</v>
      </c>
      <c r="K35">
        <v>3</v>
      </c>
      <c r="L35" t="s">
        <v>39</v>
      </c>
      <c r="M35">
        <v>2</v>
      </c>
      <c r="N35" t="s">
        <v>40</v>
      </c>
      <c r="O35" t="s">
        <v>75</v>
      </c>
      <c r="P35">
        <v>4</v>
      </c>
      <c r="Q35" t="s">
        <v>42</v>
      </c>
      <c r="R35" t="s">
        <v>58</v>
      </c>
      <c r="S35">
        <v>3</v>
      </c>
      <c r="T35" t="s">
        <v>44</v>
      </c>
      <c r="U35" t="s">
        <v>59</v>
      </c>
      <c r="V35">
        <v>14</v>
      </c>
      <c r="W35" t="s">
        <v>45</v>
      </c>
      <c r="X35">
        <v>19</v>
      </c>
      <c r="Y35">
        <v>4</v>
      </c>
      <c r="Z35" t="s">
        <v>61</v>
      </c>
      <c r="AA35">
        <v>1</v>
      </c>
      <c r="AB35" t="s">
        <v>48</v>
      </c>
      <c r="AC35">
        <v>0</v>
      </c>
      <c r="AD35" t="s">
        <v>48</v>
      </c>
      <c r="AE35">
        <v>0</v>
      </c>
      <c r="AF35" t="s">
        <v>49</v>
      </c>
    </row>
    <row r="36" spans="1:32" x14ac:dyDescent="0.25">
      <c r="A36">
        <v>24</v>
      </c>
      <c r="B36" t="s">
        <v>63</v>
      </c>
      <c r="C36" t="s">
        <v>33</v>
      </c>
      <c r="D36" t="s">
        <v>34</v>
      </c>
      <c r="E36" t="s">
        <v>52</v>
      </c>
      <c r="F36">
        <v>1</v>
      </c>
      <c r="G36" t="s">
        <v>36</v>
      </c>
      <c r="H36">
        <v>2</v>
      </c>
      <c r="I36" t="s">
        <v>37</v>
      </c>
      <c r="J36" t="s">
        <v>54</v>
      </c>
      <c r="K36">
        <v>3</v>
      </c>
      <c r="L36" t="s">
        <v>39</v>
      </c>
      <c r="M36">
        <v>1</v>
      </c>
      <c r="N36" t="s">
        <v>40</v>
      </c>
      <c r="O36" t="s">
        <v>56</v>
      </c>
      <c r="P36">
        <v>4</v>
      </c>
      <c r="Q36" t="s">
        <v>42</v>
      </c>
      <c r="R36" t="s">
        <v>58</v>
      </c>
      <c r="S36">
        <v>2</v>
      </c>
      <c r="T36" t="s">
        <v>44</v>
      </c>
      <c r="U36" t="s">
        <v>44</v>
      </c>
      <c r="V36">
        <v>16</v>
      </c>
      <c r="W36" t="s">
        <v>45</v>
      </c>
      <c r="X36">
        <v>6</v>
      </c>
      <c r="Y36">
        <v>2</v>
      </c>
      <c r="Z36" t="s">
        <v>46</v>
      </c>
      <c r="AA36">
        <v>2</v>
      </c>
      <c r="AB36" t="s">
        <v>48</v>
      </c>
      <c r="AC36">
        <v>0</v>
      </c>
      <c r="AD36" t="s">
        <v>48</v>
      </c>
      <c r="AE36">
        <v>2</v>
      </c>
      <c r="AF36" t="s">
        <v>49</v>
      </c>
    </row>
    <row r="37" spans="1:32" x14ac:dyDescent="0.25">
      <c r="A37">
        <v>43</v>
      </c>
      <c r="B37" t="s">
        <v>32</v>
      </c>
      <c r="C37" t="s">
        <v>50</v>
      </c>
      <c r="D37" t="s">
        <v>34</v>
      </c>
      <c r="E37" t="s">
        <v>52</v>
      </c>
      <c r="F37">
        <v>2</v>
      </c>
      <c r="G37" t="s">
        <v>36</v>
      </c>
      <c r="H37">
        <v>4</v>
      </c>
      <c r="I37" t="s">
        <v>42</v>
      </c>
      <c r="J37" t="s">
        <v>38</v>
      </c>
      <c r="K37">
        <v>4</v>
      </c>
      <c r="L37" t="s">
        <v>65</v>
      </c>
      <c r="M37">
        <v>1</v>
      </c>
      <c r="N37" t="s">
        <v>40</v>
      </c>
      <c r="O37" t="s">
        <v>56</v>
      </c>
      <c r="P37">
        <v>3</v>
      </c>
      <c r="Q37" t="s">
        <v>42</v>
      </c>
      <c r="R37" t="s">
        <v>67</v>
      </c>
      <c r="S37">
        <v>1</v>
      </c>
      <c r="T37" t="s">
        <v>44</v>
      </c>
      <c r="U37" t="s">
        <v>59</v>
      </c>
      <c r="V37">
        <v>12</v>
      </c>
      <c r="W37" t="s">
        <v>45</v>
      </c>
      <c r="X37">
        <v>6</v>
      </c>
      <c r="Y37">
        <v>2</v>
      </c>
      <c r="Z37" t="s">
        <v>46</v>
      </c>
      <c r="AA37">
        <v>5</v>
      </c>
      <c r="AB37" t="s">
        <v>47</v>
      </c>
      <c r="AC37">
        <v>3</v>
      </c>
      <c r="AD37" t="s">
        <v>48</v>
      </c>
      <c r="AE37">
        <v>1</v>
      </c>
      <c r="AF37" t="s">
        <v>49</v>
      </c>
    </row>
    <row r="38" spans="1:32" x14ac:dyDescent="0.25">
      <c r="A38">
        <v>50</v>
      </c>
      <c r="B38" t="s">
        <v>32</v>
      </c>
      <c r="C38" t="s">
        <v>33</v>
      </c>
      <c r="D38" t="s">
        <v>34</v>
      </c>
      <c r="E38" t="s">
        <v>35</v>
      </c>
      <c r="F38">
        <v>3</v>
      </c>
      <c r="G38" t="s">
        <v>36</v>
      </c>
      <c r="H38">
        <v>1</v>
      </c>
      <c r="I38" t="s">
        <v>37</v>
      </c>
      <c r="J38" t="s">
        <v>54</v>
      </c>
      <c r="K38">
        <v>2</v>
      </c>
      <c r="L38" t="s">
        <v>55</v>
      </c>
      <c r="M38">
        <v>1</v>
      </c>
      <c r="N38" t="s">
        <v>40</v>
      </c>
      <c r="O38" t="s">
        <v>75</v>
      </c>
      <c r="P38">
        <v>3</v>
      </c>
      <c r="Q38" t="s">
        <v>42</v>
      </c>
      <c r="R38" t="s">
        <v>58</v>
      </c>
      <c r="S38">
        <v>1</v>
      </c>
      <c r="T38" t="s">
        <v>44</v>
      </c>
      <c r="U38" t="s">
        <v>44</v>
      </c>
      <c r="V38">
        <v>14</v>
      </c>
      <c r="W38" t="s">
        <v>45</v>
      </c>
      <c r="X38">
        <v>3</v>
      </c>
      <c r="Y38">
        <v>3</v>
      </c>
      <c r="Z38" t="s">
        <v>61</v>
      </c>
      <c r="AA38">
        <v>3</v>
      </c>
      <c r="AB38" t="s">
        <v>48</v>
      </c>
      <c r="AC38">
        <v>2</v>
      </c>
      <c r="AD38" t="s">
        <v>48</v>
      </c>
      <c r="AE38">
        <v>0</v>
      </c>
      <c r="AF38" t="s">
        <v>49</v>
      </c>
    </row>
    <row r="39" spans="1:32" x14ac:dyDescent="0.25">
      <c r="A39">
        <v>35</v>
      </c>
      <c r="B39" t="s">
        <v>32</v>
      </c>
      <c r="C39" t="s">
        <v>50</v>
      </c>
      <c r="D39" t="s">
        <v>34</v>
      </c>
      <c r="E39" t="s">
        <v>35</v>
      </c>
      <c r="F39">
        <v>2</v>
      </c>
      <c r="G39" t="s">
        <v>36</v>
      </c>
      <c r="H39">
        <v>4</v>
      </c>
      <c r="I39" t="s">
        <v>42</v>
      </c>
      <c r="J39" t="s">
        <v>38</v>
      </c>
      <c r="K39">
        <v>3</v>
      </c>
      <c r="L39" t="s">
        <v>39</v>
      </c>
      <c r="M39">
        <v>1</v>
      </c>
      <c r="N39" t="s">
        <v>40</v>
      </c>
      <c r="O39" t="s">
        <v>75</v>
      </c>
      <c r="P39">
        <v>4</v>
      </c>
      <c r="Q39" t="s">
        <v>42</v>
      </c>
      <c r="R39" t="s">
        <v>58</v>
      </c>
      <c r="S39">
        <v>1</v>
      </c>
      <c r="T39" t="s">
        <v>44</v>
      </c>
      <c r="U39" t="s">
        <v>59</v>
      </c>
      <c r="V39">
        <v>13</v>
      </c>
      <c r="W39" t="s">
        <v>45</v>
      </c>
      <c r="X39">
        <v>2</v>
      </c>
      <c r="Y39">
        <v>3</v>
      </c>
      <c r="Z39" t="s">
        <v>61</v>
      </c>
      <c r="AA39">
        <v>2</v>
      </c>
      <c r="AB39" t="s">
        <v>48</v>
      </c>
      <c r="AC39">
        <v>2</v>
      </c>
      <c r="AD39" t="s">
        <v>48</v>
      </c>
      <c r="AE39">
        <v>2</v>
      </c>
      <c r="AF39" t="s">
        <v>49</v>
      </c>
    </row>
    <row r="40" spans="1:32" x14ac:dyDescent="0.25">
      <c r="A40">
        <v>36</v>
      </c>
      <c r="B40" t="s">
        <v>32</v>
      </c>
      <c r="C40" t="s">
        <v>50</v>
      </c>
      <c r="D40" t="s">
        <v>34</v>
      </c>
      <c r="E40" t="s">
        <v>52</v>
      </c>
      <c r="F40">
        <v>5</v>
      </c>
      <c r="G40" t="s">
        <v>36</v>
      </c>
      <c r="H40">
        <v>2</v>
      </c>
      <c r="I40" t="s">
        <v>37</v>
      </c>
      <c r="J40" t="s">
        <v>38</v>
      </c>
      <c r="K40">
        <v>2</v>
      </c>
      <c r="L40" t="s">
        <v>55</v>
      </c>
      <c r="M40">
        <v>1</v>
      </c>
      <c r="N40" t="s">
        <v>40</v>
      </c>
      <c r="O40" t="s">
        <v>56</v>
      </c>
      <c r="P40">
        <v>1</v>
      </c>
      <c r="Q40" t="s">
        <v>57</v>
      </c>
      <c r="R40" t="s">
        <v>58</v>
      </c>
      <c r="S40">
        <v>9</v>
      </c>
      <c r="T40" t="s">
        <v>44</v>
      </c>
      <c r="U40" t="s">
        <v>44</v>
      </c>
      <c r="V40">
        <v>14</v>
      </c>
      <c r="W40" t="s">
        <v>45</v>
      </c>
      <c r="X40">
        <v>6</v>
      </c>
      <c r="Y40">
        <v>4</v>
      </c>
      <c r="Z40" t="s">
        <v>61</v>
      </c>
      <c r="AA40">
        <v>1</v>
      </c>
      <c r="AB40" t="s">
        <v>48</v>
      </c>
      <c r="AC40">
        <v>1</v>
      </c>
      <c r="AD40" t="s">
        <v>48</v>
      </c>
      <c r="AE40">
        <v>0</v>
      </c>
      <c r="AF40" t="s">
        <v>49</v>
      </c>
    </row>
    <row r="41" spans="1:32" x14ac:dyDescent="0.25">
      <c r="A41">
        <v>33</v>
      </c>
      <c r="B41" t="s">
        <v>32</v>
      </c>
      <c r="C41" t="s">
        <v>50</v>
      </c>
      <c r="D41" t="s">
        <v>51</v>
      </c>
      <c r="E41" t="s">
        <v>35</v>
      </c>
      <c r="F41">
        <v>1</v>
      </c>
      <c r="G41" t="s">
        <v>36</v>
      </c>
      <c r="H41">
        <v>3</v>
      </c>
      <c r="I41" t="s">
        <v>42</v>
      </c>
      <c r="J41" t="s">
        <v>38</v>
      </c>
      <c r="K41">
        <v>4</v>
      </c>
      <c r="L41" t="s">
        <v>65</v>
      </c>
      <c r="M41">
        <v>2</v>
      </c>
      <c r="N41" t="s">
        <v>40</v>
      </c>
      <c r="O41" t="s">
        <v>41</v>
      </c>
      <c r="P41">
        <v>1</v>
      </c>
      <c r="Q41" t="s">
        <v>57</v>
      </c>
      <c r="R41" t="s">
        <v>58</v>
      </c>
      <c r="S41">
        <v>2</v>
      </c>
      <c r="T41" t="s">
        <v>44</v>
      </c>
      <c r="U41" t="s">
        <v>59</v>
      </c>
      <c r="V41">
        <v>19</v>
      </c>
      <c r="W41" t="s">
        <v>45</v>
      </c>
      <c r="X41">
        <v>10</v>
      </c>
      <c r="Y41">
        <v>3</v>
      </c>
      <c r="Z41" t="s">
        <v>61</v>
      </c>
      <c r="AA41">
        <v>5</v>
      </c>
      <c r="AB41" t="s">
        <v>47</v>
      </c>
      <c r="AC41">
        <v>3</v>
      </c>
      <c r="AD41" t="s">
        <v>48</v>
      </c>
      <c r="AE41">
        <v>1</v>
      </c>
      <c r="AF41" t="s">
        <v>49</v>
      </c>
    </row>
    <row r="42" spans="1:32" x14ac:dyDescent="0.25">
      <c r="A42">
        <v>35</v>
      </c>
      <c r="B42" t="s">
        <v>32</v>
      </c>
      <c r="C42" t="s">
        <v>50</v>
      </c>
      <c r="D42" t="s">
        <v>34</v>
      </c>
      <c r="E42" t="s">
        <v>52</v>
      </c>
      <c r="F42">
        <v>4</v>
      </c>
      <c r="G42" t="s">
        <v>36</v>
      </c>
      <c r="H42">
        <v>3</v>
      </c>
      <c r="I42" t="s">
        <v>42</v>
      </c>
      <c r="J42" t="s">
        <v>54</v>
      </c>
      <c r="K42">
        <v>3</v>
      </c>
      <c r="L42" t="s">
        <v>39</v>
      </c>
      <c r="M42">
        <v>1</v>
      </c>
      <c r="N42" t="s">
        <v>40</v>
      </c>
      <c r="O42" t="s">
        <v>62</v>
      </c>
      <c r="P42">
        <v>4</v>
      </c>
      <c r="Q42" t="s">
        <v>42</v>
      </c>
      <c r="R42" t="s">
        <v>67</v>
      </c>
      <c r="S42">
        <v>1</v>
      </c>
      <c r="T42" t="s">
        <v>44</v>
      </c>
      <c r="U42" t="s">
        <v>59</v>
      </c>
      <c r="V42">
        <v>12</v>
      </c>
      <c r="W42" t="s">
        <v>45</v>
      </c>
      <c r="X42">
        <v>1</v>
      </c>
      <c r="Y42">
        <v>3</v>
      </c>
      <c r="Z42" t="s">
        <v>61</v>
      </c>
      <c r="AA42">
        <v>1</v>
      </c>
      <c r="AB42" t="s">
        <v>48</v>
      </c>
      <c r="AC42">
        <v>0</v>
      </c>
      <c r="AD42" t="s">
        <v>48</v>
      </c>
      <c r="AE42">
        <v>0</v>
      </c>
      <c r="AF42" t="s">
        <v>49</v>
      </c>
    </row>
    <row r="43" spans="1:32" x14ac:dyDescent="0.25">
      <c r="A43">
        <v>27</v>
      </c>
      <c r="B43" t="s">
        <v>63</v>
      </c>
      <c r="C43" t="s">
        <v>50</v>
      </c>
      <c r="D43" t="s">
        <v>34</v>
      </c>
      <c r="E43" t="s">
        <v>52</v>
      </c>
      <c r="F43">
        <v>2</v>
      </c>
      <c r="G43" t="s">
        <v>36</v>
      </c>
      <c r="H43">
        <v>4</v>
      </c>
      <c r="I43" t="s">
        <v>42</v>
      </c>
      <c r="J43" t="s">
        <v>38</v>
      </c>
      <c r="K43">
        <v>3</v>
      </c>
      <c r="L43" t="s">
        <v>39</v>
      </c>
      <c r="M43">
        <v>1</v>
      </c>
      <c r="N43" t="s">
        <v>40</v>
      </c>
      <c r="O43" t="s">
        <v>62</v>
      </c>
      <c r="P43">
        <v>1</v>
      </c>
      <c r="Q43" t="s">
        <v>57</v>
      </c>
      <c r="R43" t="s">
        <v>67</v>
      </c>
      <c r="S43">
        <v>1</v>
      </c>
      <c r="T43" t="s">
        <v>44</v>
      </c>
      <c r="U43" t="s">
        <v>59</v>
      </c>
      <c r="V43">
        <v>13</v>
      </c>
      <c r="W43" t="s">
        <v>45</v>
      </c>
      <c r="X43">
        <v>1</v>
      </c>
      <c r="Y43">
        <v>3</v>
      </c>
      <c r="Z43" t="s">
        <v>61</v>
      </c>
      <c r="AA43">
        <v>1</v>
      </c>
      <c r="AB43" t="s">
        <v>48</v>
      </c>
      <c r="AC43">
        <v>0</v>
      </c>
      <c r="AD43" t="s">
        <v>48</v>
      </c>
      <c r="AE43">
        <v>0</v>
      </c>
      <c r="AF43" t="s">
        <v>49</v>
      </c>
    </row>
    <row r="44" spans="1:32" x14ac:dyDescent="0.25">
      <c r="A44">
        <v>26</v>
      </c>
      <c r="B44" t="s">
        <v>63</v>
      </c>
      <c r="C44" t="s">
        <v>33</v>
      </c>
      <c r="D44" t="s">
        <v>34</v>
      </c>
      <c r="E44" t="s">
        <v>52</v>
      </c>
      <c r="F44">
        <v>25</v>
      </c>
      <c r="G44" t="s">
        <v>66</v>
      </c>
      <c r="H44">
        <v>1</v>
      </c>
      <c r="I44" t="s">
        <v>37</v>
      </c>
      <c r="J44" t="s">
        <v>54</v>
      </c>
      <c r="K44">
        <v>1</v>
      </c>
      <c r="L44" t="s">
        <v>55</v>
      </c>
      <c r="M44">
        <v>1</v>
      </c>
      <c r="N44" t="s">
        <v>40</v>
      </c>
      <c r="O44" t="s">
        <v>62</v>
      </c>
      <c r="P44">
        <v>3</v>
      </c>
      <c r="Q44" t="s">
        <v>42</v>
      </c>
      <c r="R44" t="s">
        <v>43</v>
      </c>
      <c r="S44">
        <v>1</v>
      </c>
      <c r="T44" t="s">
        <v>44</v>
      </c>
      <c r="U44" t="s">
        <v>59</v>
      </c>
      <c r="V44">
        <v>12</v>
      </c>
      <c r="W44" t="s">
        <v>45</v>
      </c>
      <c r="X44">
        <v>1</v>
      </c>
      <c r="Y44">
        <v>2</v>
      </c>
      <c r="Z44" t="s">
        <v>46</v>
      </c>
      <c r="AA44">
        <v>1</v>
      </c>
      <c r="AB44" t="s">
        <v>48</v>
      </c>
      <c r="AC44">
        <v>0</v>
      </c>
      <c r="AD44" t="s">
        <v>48</v>
      </c>
      <c r="AE44">
        <v>0</v>
      </c>
      <c r="AF44" t="s">
        <v>49</v>
      </c>
    </row>
    <row r="45" spans="1:32" x14ac:dyDescent="0.25">
      <c r="A45">
        <v>27</v>
      </c>
      <c r="B45" t="s">
        <v>63</v>
      </c>
      <c r="C45" t="s">
        <v>50</v>
      </c>
      <c r="D45" t="s">
        <v>51</v>
      </c>
      <c r="E45" t="s">
        <v>35</v>
      </c>
      <c r="F45">
        <v>8</v>
      </c>
      <c r="G45" t="s">
        <v>53</v>
      </c>
      <c r="H45">
        <v>4</v>
      </c>
      <c r="I45" t="s">
        <v>42</v>
      </c>
      <c r="J45" t="s">
        <v>54</v>
      </c>
      <c r="K45">
        <v>3</v>
      </c>
      <c r="L45" t="s">
        <v>39</v>
      </c>
      <c r="M45">
        <v>3</v>
      </c>
      <c r="N45" t="s">
        <v>68</v>
      </c>
      <c r="O45" t="s">
        <v>41</v>
      </c>
      <c r="P45">
        <v>3</v>
      </c>
      <c r="Q45" t="s">
        <v>42</v>
      </c>
      <c r="R45" t="s">
        <v>43</v>
      </c>
      <c r="S45">
        <v>1</v>
      </c>
      <c r="T45" t="s">
        <v>44</v>
      </c>
      <c r="U45" t="s">
        <v>59</v>
      </c>
      <c r="V45">
        <v>15</v>
      </c>
      <c r="W45" t="s">
        <v>45</v>
      </c>
      <c r="X45">
        <v>9</v>
      </c>
      <c r="Y45">
        <v>3</v>
      </c>
      <c r="Z45" t="s">
        <v>61</v>
      </c>
      <c r="AA45">
        <v>9</v>
      </c>
      <c r="AB45" t="s">
        <v>47</v>
      </c>
      <c r="AC45">
        <v>8</v>
      </c>
      <c r="AD45" t="s">
        <v>47</v>
      </c>
      <c r="AE45">
        <v>1</v>
      </c>
      <c r="AF45" t="s">
        <v>49</v>
      </c>
    </row>
    <row r="46" spans="1:32" x14ac:dyDescent="0.25">
      <c r="A46">
        <v>30</v>
      </c>
      <c r="B46" t="s">
        <v>32</v>
      </c>
      <c r="C46" t="s">
        <v>50</v>
      </c>
      <c r="D46" t="s">
        <v>51</v>
      </c>
      <c r="E46" t="s">
        <v>52</v>
      </c>
      <c r="F46">
        <v>1</v>
      </c>
      <c r="G46" t="s">
        <v>36</v>
      </c>
      <c r="H46">
        <v>3</v>
      </c>
      <c r="I46" t="s">
        <v>42</v>
      </c>
      <c r="J46" t="s">
        <v>38</v>
      </c>
      <c r="K46">
        <v>3</v>
      </c>
      <c r="L46" t="s">
        <v>39</v>
      </c>
      <c r="M46">
        <v>2</v>
      </c>
      <c r="N46" t="s">
        <v>40</v>
      </c>
      <c r="O46" t="s">
        <v>62</v>
      </c>
      <c r="P46">
        <v>4</v>
      </c>
      <c r="Q46" t="s">
        <v>42</v>
      </c>
      <c r="R46" t="s">
        <v>43</v>
      </c>
      <c r="S46">
        <v>1</v>
      </c>
      <c r="T46" t="s">
        <v>44</v>
      </c>
      <c r="U46" t="s">
        <v>59</v>
      </c>
      <c r="V46">
        <v>23</v>
      </c>
      <c r="W46" t="s">
        <v>60</v>
      </c>
      <c r="X46">
        <v>12</v>
      </c>
      <c r="Y46">
        <v>3</v>
      </c>
      <c r="Z46" t="s">
        <v>61</v>
      </c>
      <c r="AA46">
        <v>12</v>
      </c>
      <c r="AB46" t="s">
        <v>74</v>
      </c>
      <c r="AC46">
        <v>8</v>
      </c>
      <c r="AD46" t="s">
        <v>47</v>
      </c>
      <c r="AE46">
        <v>3</v>
      </c>
      <c r="AF46" t="s">
        <v>49</v>
      </c>
    </row>
    <row r="47" spans="1:32" x14ac:dyDescent="0.25">
      <c r="A47">
        <v>41</v>
      </c>
      <c r="B47" t="s">
        <v>32</v>
      </c>
      <c r="C47" t="s">
        <v>33</v>
      </c>
      <c r="D47" t="s">
        <v>34</v>
      </c>
      <c r="E47" t="s">
        <v>52</v>
      </c>
      <c r="F47">
        <v>12</v>
      </c>
      <c r="G47" t="s">
        <v>53</v>
      </c>
      <c r="H47">
        <v>2</v>
      </c>
      <c r="I47" t="s">
        <v>37</v>
      </c>
      <c r="J47" t="s">
        <v>38</v>
      </c>
      <c r="K47">
        <v>3</v>
      </c>
      <c r="L47" t="s">
        <v>39</v>
      </c>
      <c r="M47">
        <v>5</v>
      </c>
      <c r="N47" t="s">
        <v>72</v>
      </c>
      <c r="O47" t="s">
        <v>76</v>
      </c>
      <c r="P47">
        <v>3</v>
      </c>
      <c r="Q47" t="s">
        <v>42</v>
      </c>
      <c r="R47" t="s">
        <v>58</v>
      </c>
      <c r="S47">
        <v>1</v>
      </c>
      <c r="T47" t="s">
        <v>44</v>
      </c>
      <c r="U47" t="s">
        <v>59</v>
      </c>
      <c r="V47">
        <v>12</v>
      </c>
      <c r="W47" t="s">
        <v>45</v>
      </c>
      <c r="X47">
        <v>23</v>
      </c>
      <c r="Y47">
        <v>3</v>
      </c>
      <c r="Z47" t="s">
        <v>61</v>
      </c>
      <c r="AA47">
        <v>22</v>
      </c>
      <c r="AB47" t="s">
        <v>74</v>
      </c>
      <c r="AC47">
        <v>15</v>
      </c>
      <c r="AD47" t="s">
        <v>74</v>
      </c>
      <c r="AE47">
        <v>15</v>
      </c>
      <c r="AF47" t="s">
        <v>71</v>
      </c>
    </row>
    <row r="48" spans="1:32" x14ac:dyDescent="0.25">
      <c r="A48">
        <v>34</v>
      </c>
      <c r="B48" t="s">
        <v>32</v>
      </c>
      <c r="C48" t="s">
        <v>50</v>
      </c>
      <c r="D48" t="s">
        <v>34</v>
      </c>
      <c r="E48" t="s">
        <v>35</v>
      </c>
      <c r="F48">
        <v>23</v>
      </c>
      <c r="G48" t="s">
        <v>66</v>
      </c>
      <c r="H48">
        <v>2</v>
      </c>
      <c r="I48" t="s">
        <v>37</v>
      </c>
      <c r="J48" t="s">
        <v>54</v>
      </c>
      <c r="K48">
        <v>3</v>
      </c>
      <c r="L48" t="s">
        <v>39</v>
      </c>
      <c r="M48">
        <v>2</v>
      </c>
      <c r="N48" t="s">
        <v>40</v>
      </c>
      <c r="O48" t="s">
        <v>41</v>
      </c>
      <c r="P48">
        <v>3</v>
      </c>
      <c r="Q48" t="s">
        <v>42</v>
      </c>
      <c r="R48" t="s">
        <v>43</v>
      </c>
      <c r="S48">
        <v>0</v>
      </c>
      <c r="T48" t="s">
        <v>44</v>
      </c>
      <c r="U48" t="s">
        <v>59</v>
      </c>
      <c r="V48">
        <v>20</v>
      </c>
      <c r="W48" t="s">
        <v>60</v>
      </c>
      <c r="X48">
        <v>10</v>
      </c>
      <c r="Y48">
        <v>3</v>
      </c>
      <c r="Z48" t="s">
        <v>61</v>
      </c>
      <c r="AA48">
        <v>9</v>
      </c>
      <c r="AB48" t="s">
        <v>47</v>
      </c>
      <c r="AC48">
        <v>5</v>
      </c>
      <c r="AD48" t="s">
        <v>47</v>
      </c>
      <c r="AE48">
        <v>8</v>
      </c>
      <c r="AF48" t="s">
        <v>71</v>
      </c>
    </row>
    <row r="49" spans="1:32" x14ac:dyDescent="0.25">
      <c r="A49">
        <v>37</v>
      </c>
      <c r="B49" t="s">
        <v>32</v>
      </c>
      <c r="C49" t="s">
        <v>50</v>
      </c>
      <c r="D49" t="s">
        <v>34</v>
      </c>
      <c r="E49" t="s">
        <v>52</v>
      </c>
      <c r="F49">
        <v>19</v>
      </c>
      <c r="G49" t="s">
        <v>66</v>
      </c>
      <c r="H49">
        <v>2</v>
      </c>
      <c r="I49" t="s">
        <v>37</v>
      </c>
      <c r="J49" t="s">
        <v>54</v>
      </c>
      <c r="K49">
        <v>3</v>
      </c>
      <c r="L49" t="s">
        <v>39</v>
      </c>
      <c r="M49">
        <v>1</v>
      </c>
      <c r="N49" t="s">
        <v>40</v>
      </c>
      <c r="O49" t="s">
        <v>56</v>
      </c>
      <c r="P49">
        <v>2</v>
      </c>
      <c r="Q49" t="s">
        <v>57</v>
      </c>
      <c r="R49" t="s">
        <v>58</v>
      </c>
      <c r="S49">
        <v>4</v>
      </c>
      <c r="T49" t="s">
        <v>44</v>
      </c>
      <c r="U49" t="s">
        <v>59</v>
      </c>
      <c r="V49">
        <v>21</v>
      </c>
      <c r="W49" t="s">
        <v>60</v>
      </c>
      <c r="X49">
        <v>8</v>
      </c>
      <c r="Y49">
        <v>3</v>
      </c>
      <c r="Z49" t="s">
        <v>61</v>
      </c>
      <c r="AA49">
        <v>1</v>
      </c>
      <c r="AB49" t="s">
        <v>48</v>
      </c>
      <c r="AC49">
        <v>0</v>
      </c>
      <c r="AD49" t="s">
        <v>48</v>
      </c>
      <c r="AE49">
        <v>0</v>
      </c>
      <c r="AF49" t="s">
        <v>49</v>
      </c>
    </row>
    <row r="50" spans="1:32" x14ac:dyDescent="0.25">
      <c r="A50">
        <v>46</v>
      </c>
      <c r="B50" t="s">
        <v>32</v>
      </c>
      <c r="C50" t="s">
        <v>50</v>
      </c>
      <c r="D50" t="s">
        <v>51</v>
      </c>
      <c r="E50" t="s">
        <v>35</v>
      </c>
      <c r="F50">
        <v>5</v>
      </c>
      <c r="G50" t="s">
        <v>36</v>
      </c>
      <c r="H50">
        <v>1</v>
      </c>
      <c r="I50" t="s">
        <v>37</v>
      </c>
      <c r="J50" t="s">
        <v>54</v>
      </c>
      <c r="K50">
        <v>3</v>
      </c>
      <c r="L50" t="s">
        <v>39</v>
      </c>
      <c r="M50">
        <v>2</v>
      </c>
      <c r="N50" t="s">
        <v>40</v>
      </c>
      <c r="O50" t="s">
        <v>41</v>
      </c>
      <c r="P50">
        <v>4</v>
      </c>
      <c r="Q50" t="s">
        <v>42</v>
      </c>
      <c r="R50" t="s">
        <v>43</v>
      </c>
      <c r="S50">
        <v>4</v>
      </c>
      <c r="T50" t="s">
        <v>44</v>
      </c>
      <c r="U50" t="s">
        <v>44</v>
      </c>
      <c r="V50">
        <v>21</v>
      </c>
      <c r="W50" t="s">
        <v>60</v>
      </c>
      <c r="X50">
        <v>14</v>
      </c>
      <c r="Y50">
        <v>3</v>
      </c>
      <c r="Z50" t="s">
        <v>61</v>
      </c>
      <c r="AA50">
        <v>9</v>
      </c>
      <c r="AB50" t="s">
        <v>47</v>
      </c>
      <c r="AC50">
        <v>6</v>
      </c>
      <c r="AD50" t="s">
        <v>47</v>
      </c>
      <c r="AE50">
        <v>0</v>
      </c>
      <c r="AF50" t="s">
        <v>49</v>
      </c>
    </row>
    <row r="51" spans="1:32" x14ac:dyDescent="0.25">
      <c r="A51">
        <v>35</v>
      </c>
      <c r="B51" t="s">
        <v>32</v>
      </c>
      <c r="C51" t="s">
        <v>50</v>
      </c>
      <c r="D51" t="s">
        <v>34</v>
      </c>
      <c r="E51" t="s">
        <v>52</v>
      </c>
      <c r="F51">
        <v>8</v>
      </c>
      <c r="G51" t="s">
        <v>53</v>
      </c>
      <c r="H51">
        <v>4</v>
      </c>
      <c r="I51" t="s">
        <v>42</v>
      </c>
      <c r="J51" t="s">
        <v>54</v>
      </c>
      <c r="K51">
        <v>4</v>
      </c>
      <c r="L51" t="s">
        <v>65</v>
      </c>
      <c r="M51">
        <v>1</v>
      </c>
      <c r="N51" t="s">
        <v>40</v>
      </c>
      <c r="O51" t="s">
        <v>62</v>
      </c>
      <c r="P51">
        <v>4</v>
      </c>
      <c r="Q51" t="s">
        <v>42</v>
      </c>
      <c r="R51" t="s">
        <v>58</v>
      </c>
      <c r="S51">
        <v>1</v>
      </c>
      <c r="T51" t="s">
        <v>44</v>
      </c>
      <c r="U51" t="s">
        <v>59</v>
      </c>
      <c r="V51">
        <v>19</v>
      </c>
      <c r="W51" t="s">
        <v>45</v>
      </c>
      <c r="X51">
        <v>1</v>
      </c>
      <c r="Y51">
        <v>3</v>
      </c>
      <c r="Z51" t="s">
        <v>61</v>
      </c>
      <c r="AA51">
        <v>1</v>
      </c>
      <c r="AB51" t="s">
        <v>48</v>
      </c>
      <c r="AC51">
        <v>0</v>
      </c>
      <c r="AD51" t="s">
        <v>48</v>
      </c>
      <c r="AE51">
        <v>0</v>
      </c>
      <c r="AF51" t="s">
        <v>49</v>
      </c>
    </row>
    <row r="52" spans="1:32" x14ac:dyDescent="0.25">
      <c r="A52">
        <v>48</v>
      </c>
      <c r="B52" t="s">
        <v>32</v>
      </c>
      <c r="C52" t="s">
        <v>33</v>
      </c>
      <c r="D52" t="s">
        <v>34</v>
      </c>
      <c r="E52" t="s">
        <v>52</v>
      </c>
      <c r="F52">
        <v>1</v>
      </c>
      <c r="G52" t="s">
        <v>36</v>
      </c>
      <c r="H52">
        <v>1</v>
      </c>
      <c r="I52" t="s">
        <v>37</v>
      </c>
      <c r="J52" t="s">
        <v>54</v>
      </c>
      <c r="K52">
        <v>2</v>
      </c>
      <c r="L52" t="s">
        <v>55</v>
      </c>
      <c r="M52">
        <v>3</v>
      </c>
      <c r="N52" t="s">
        <v>68</v>
      </c>
      <c r="O52" t="s">
        <v>62</v>
      </c>
      <c r="P52">
        <v>3</v>
      </c>
      <c r="Q52" t="s">
        <v>42</v>
      </c>
      <c r="R52" t="s">
        <v>43</v>
      </c>
      <c r="S52">
        <v>9</v>
      </c>
      <c r="T52" t="s">
        <v>44</v>
      </c>
      <c r="U52" t="s">
        <v>44</v>
      </c>
      <c r="V52">
        <v>13</v>
      </c>
      <c r="W52" t="s">
        <v>45</v>
      </c>
      <c r="X52">
        <v>23</v>
      </c>
      <c r="Y52">
        <v>3</v>
      </c>
      <c r="Z52" t="s">
        <v>61</v>
      </c>
      <c r="AA52">
        <v>1</v>
      </c>
      <c r="AB52" t="s">
        <v>48</v>
      </c>
      <c r="AC52">
        <v>0</v>
      </c>
      <c r="AD52" t="s">
        <v>48</v>
      </c>
      <c r="AE52">
        <v>0</v>
      </c>
      <c r="AF52" t="s">
        <v>49</v>
      </c>
    </row>
    <row r="53" spans="1:32" x14ac:dyDescent="0.25">
      <c r="A53">
        <v>28</v>
      </c>
      <c r="B53" t="s">
        <v>63</v>
      </c>
      <c r="C53" t="s">
        <v>33</v>
      </c>
      <c r="D53" t="s">
        <v>34</v>
      </c>
      <c r="E53" t="s">
        <v>52</v>
      </c>
      <c r="F53">
        <v>5</v>
      </c>
      <c r="G53" t="s">
        <v>36</v>
      </c>
      <c r="H53">
        <v>3</v>
      </c>
      <c r="I53" t="s">
        <v>42</v>
      </c>
      <c r="J53" t="s">
        <v>54</v>
      </c>
      <c r="K53">
        <v>3</v>
      </c>
      <c r="L53" t="s">
        <v>39</v>
      </c>
      <c r="M53">
        <v>1</v>
      </c>
      <c r="N53" t="s">
        <v>40</v>
      </c>
      <c r="O53" t="s">
        <v>62</v>
      </c>
      <c r="P53">
        <v>3</v>
      </c>
      <c r="Q53" t="s">
        <v>42</v>
      </c>
      <c r="R53" t="s">
        <v>43</v>
      </c>
      <c r="S53">
        <v>1</v>
      </c>
      <c r="T53" t="s">
        <v>44</v>
      </c>
      <c r="U53" t="s">
        <v>44</v>
      </c>
      <c r="V53">
        <v>13</v>
      </c>
      <c r="W53" t="s">
        <v>45</v>
      </c>
      <c r="X53">
        <v>2</v>
      </c>
      <c r="Y53">
        <v>2</v>
      </c>
      <c r="Z53" t="s">
        <v>46</v>
      </c>
      <c r="AA53">
        <v>2</v>
      </c>
      <c r="AB53" t="s">
        <v>48</v>
      </c>
      <c r="AC53">
        <v>2</v>
      </c>
      <c r="AD53" t="s">
        <v>48</v>
      </c>
      <c r="AE53">
        <v>2</v>
      </c>
      <c r="AF53" t="s">
        <v>49</v>
      </c>
    </row>
    <row r="54" spans="1:32" x14ac:dyDescent="0.25">
      <c r="A54">
        <v>44</v>
      </c>
      <c r="B54" t="s">
        <v>32</v>
      </c>
      <c r="C54" t="s">
        <v>50</v>
      </c>
      <c r="D54" t="s">
        <v>34</v>
      </c>
      <c r="E54" t="s">
        <v>35</v>
      </c>
      <c r="F54">
        <v>1</v>
      </c>
      <c r="G54" t="s">
        <v>36</v>
      </c>
      <c r="H54">
        <v>2</v>
      </c>
      <c r="I54" t="s">
        <v>37</v>
      </c>
      <c r="J54" t="s">
        <v>38</v>
      </c>
      <c r="K54">
        <v>3</v>
      </c>
      <c r="L54" t="s">
        <v>39</v>
      </c>
      <c r="M54">
        <v>2</v>
      </c>
      <c r="N54" t="s">
        <v>40</v>
      </c>
      <c r="O54" t="s">
        <v>41</v>
      </c>
      <c r="P54">
        <v>1</v>
      </c>
      <c r="Q54" t="s">
        <v>57</v>
      </c>
      <c r="R54" t="s">
        <v>67</v>
      </c>
      <c r="S54">
        <v>5</v>
      </c>
      <c r="T54" t="s">
        <v>44</v>
      </c>
      <c r="U54" t="s">
        <v>44</v>
      </c>
      <c r="V54">
        <v>21</v>
      </c>
      <c r="W54" t="s">
        <v>60</v>
      </c>
      <c r="X54">
        <v>9</v>
      </c>
      <c r="Y54">
        <v>2</v>
      </c>
      <c r="Z54" t="s">
        <v>46</v>
      </c>
      <c r="AA54">
        <v>4</v>
      </c>
      <c r="AB54" t="s">
        <v>48</v>
      </c>
      <c r="AC54">
        <v>3</v>
      </c>
      <c r="AD54" t="s">
        <v>48</v>
      </c>
      <c r="AE54">
        <v>1</v>
      </c>
      <c r="AF54" t="s">
        <v>49</v>
      </c>
    </row>
    <row r="55" spans="1:32" x14ac:dyDescent="0.25">
      <c r="A55">
        <v>35</v>
      </c>
      <c r="B55" t="s">
        <v>32</v>
      </c>
      <c r="C55" t="s">
        <v>50</v>
      </c>
      <c r="D55" t="s">
        <v>34</v>
      </c>
      <c r="E55" t="s">
        <v>52</v>
      </c>
      <c r="F55">
        <v>11</v>
      </c>
      <c r="G55" t="s">
        <v>53</v>
      </c>
      <c r="H55">
        <v>3</v>
      </c>
      <c r="I55" t="s">
        <v>42</v>
      </c>
      <c r="J55" t="s">
        <v>54</v>
      </c>
      <c r="K55">
        <v>2</v>
      </c>
      <c r="L55" t="s">
        <v>55</v>
      </c>
      <c r="M55">
        <v>3</v>
      </c>
      <c r="N55" t="s">
        <v>68</v>
      </c>
      <c r="O55" t="s">
        <v>70</v>
      </c>
      <c r="P55">
        <v>1</v>
      </c>
      <c r="Q55" t="s">
        <v>57</v>
      </c>
      <c r="R55" t="s">
        <v>58</v>
      </c>
      <c r="S55">
        <v>2</v>
      </c>
      <c r="T55" t="s">
        <v>44</v>
      </c>
      <c r="U55" t="s">
        <v>44</v>
      </c>
      <c r="V55">
        <v>13</v>
      </c>
      <c r="W55" t="s">
        <v>45</v>
      </c>
      <c r="X55">
        <v>10</v>
      </c>
      <c r="Y55">
        <v>3</v>
      </c>
      <c r="Z55" t="s">
        <v>61</v>
      </c>
      <c r="AA55">
        <v>4</v>
      </c>
      <c r="AB55" t="s">
        <v>48</v>
      </c>
      <c r="AC55">
        <v>0</v>
      </c>
      <c r="AD55" t="s">
        <v>48</v>
      </c>
      <c r="AE55">
        <v>2</v>
      </c>
      <c r="AF55" t="s">
        <v>49</v>
      </c>
    </row>
    <row r="56" spans="1:32" x14ac:dyDescent="0.25">
      <c r="A56">
        <v>26</v>
      </c>
      <c r="B56" t="s">
        <v>63</v>
      </c>
      <c r="C56" t="s">
        <v>50</v>
      </c>
      <c r="D56" t="s">
        <v>34</v>
      </c>
      <c r="E56" t="s">
        <v>35</v>
      </c>
      <c r="F56">
        <v>23</v>
      </c>
      <c r="G56" t="s">
        <v>66</v>
      </c>
      <c r="H56">
        <v>3</v>
      </c>
      <c r="I56" t="s">
        <v>42</v>
      </c>
      <c r="J56" t="s">
        <v>38</v>
      </c>
      <c r="K56">
        <v>2</v>
      </c>
      <c r="L56" t="s">
        <v>55</v>
      </c>
      <c r="M56">
        <v>2</v>
      </c>
      <c r="N56" t="s">
        <v>40</v>
      </c>
      <c r="O56" t="s">
        <v>41</v>
      </c>
      <c r="P56">
        <v>4</v>
      </c>
      <c r="Q56" t="s">
        <v>42</v>
      </c>
      <c r="R56" t="s">
        <v>58</v>
      </c>
      <c r="S56">
        <v>7</v>
      </c>
      <c r="T56" t="s">
        <v>44</v>
      </c>
      <c r="U56" t="s">
        <v>44</v>
      </c>
      <c r="V56">
        <v>19</v>
      </c>
      <c r="W56" t="s">
        <v>45</v>
      </c>
      <c r="X56">
        <v>5</v>
      </c>
      <c r="Y56">
        <v>2</v>
      </c>
      <c r="Z56" t="s">
        <v>46</v>
      </c>
      <c r="AA56">
        <v>2</v>
      </c>
      <c r="AB56" t="s">
        <v>48</v>
      </c>
      <c r="AC56">
        <v>2</v>
      </c>
      <c r="AD56" t="s">
        <v>48</v>
      </c>
      <c r="AE56">
        <v>0</v>
      </c>
      <c r="AF56" t="s">
        <v>49</v>
      </c>
    </row>
    <row r="57" spans="1:32" x14ac:dyDescent="0.25">
      <c r="A57">
        <v>33</v>
      </c>
      <c r="B57" t="s">
        <v>32</v>
      </c>
      <c r="C57" t="s">
        <v>50</v>
      </c>
      <c r="D57" t="s">
        <v>51</v>
      </c>
      <c r="E57" t="s">
        <v>52</v>
      </c>
      <c r="F57">
        <v>1</v>
      </c>
      <c r="G57" t="s">
        <v>36</v>
      </c>
      <c r="H57">
        <v>1</v>
      </c>
      <c r="I57" t="s">
        <v>37</v>
      </c>
      <c r="J57" t="s">
        <v>38</v>
      </c>
      <c r="K57">
        <v>3</v>
      </c>
      <c r="L57" t="s">
        <v>39</v>
      </c>
      <c r="M57">
        <v>3</v>
      </c>
      <c r="N57" t="s">
        <v>68</v>
      </c>
      <c r="O57" t="s">
        <v>76</v>
      </c>
      <c r="P57">
        <v>4</v>
      </c>
      <c r="Q57" t="s">
        <v>42</v>
      </c>
      <c r="R57" t="s">
        <v>43</v>
      </c>
      <c r="S57">
        <v>1</v>
      </c>
      <c r="T57" t="s">
        <v>44</v>
      </c>
      <c r="U57" t="s">
        <v>44</v>
      </c>
      <c r="V57">
        <v>12</v>
      </c>
      <c r="W57" t="s">
        <v>45</v>
      </c>
      <c r="X57">
        <v>15</v>
      </c>
      <c r="Y57">
        <v>3</v>
      </c>
      <c r="Z57" t="s">
        <v>61</v>
      </c>
      <c r="AA57">
        <v>15</v>
      </c>
      <c r="AB57" t="s">
        <v>74</v>
      </c>
      <c r="AC57">
        <v>14</v>
      </c>
      <c r="AD57" t="s">
        <v>74</v>
      </c>
      <c r="AE57">
        <v>8</v>
      </c>
      <c r="AF57" t="s">
        <v>71</v>
      </c>
    </row>
    <row r="58" spans="1:32" x14ac:dyDescent="0.25">
      <c r="A58">
        <v>35</v>
      </c>
      <c r="B58" t="s">
        <v>32</v>
      </c>
      <c r="C58" t="s">
        <v>50</v>
      </c>
      <c r="D58" t="s">
        <v>51</v>
      </c>
      <c r="E58" t="s">
        <v>35</v>
      </c>
      <c r="F58">
        <v>18</v>
      </c>
      <c r="G58" t="s">
        <v>66</v>
      </c>
      <c r="H58">
        <v>2</v>
      </c>
      <c r="I58" t="s">
        <v>37</v>
      </c>
      <c r="J58" t="s">
        <v>54</v>
      </c>
      <c r="K58">
        <v>3</v>
      </c>
      <c r="L58" t="s">
        <v>39</v>
      </c>
      <c r="M58">
        <v>3</v>
      </c>
      <c r="N58" t="s">
        <v>68</v>
      </c>
      <c r="O58" t="s">
        <v>41</v>
      </c>
      <c r="P58">
        <v>1</v>
      </c>
      <c r="Q58" t="s">
        <v>57</v>
      </c>
      <c r="R58" t="s">
        <v>58</v>
      </c>
      <c r="S58">
        <v>1</v>
      </c>
      <c r="T58" t="s">
        <v>44</v>
      </c>
      <c r="U58" t="s">
        <v>59</v>
      </c>
      <c r="V58">
        <v>22</v>
      </c>
      <c r="W58" t="s">
        <v>60</v>
      </c>
      <c r="X58">
        <v>9</v>
      </c>
      <c r="Y58">
        <v>2</v>
      </c>
      <c r="Z58" t="s">
        <v>46</v>
      </c>
      <c r="AA58">
        <v>9</v>
      </c>
      <c r="AB58" t="s">
        <v>47</v>
      </c>
      <c r="AC58">
        <v>8</v>
      </c>
      <c r="AD58" t="s">
        <v>47</v>
      </c>
      <c r="AE58">
        <v>1</v>
      </c>
      <c r="AF58" t="s">
        <v>49</v>
      </c>
    </row>
    <row r="59" spans="1:32" x14ac:dyDescent="0.25">
      <c r="A59">
        <v>35</v>
      </c>
      <c r="B59" t="s">
        <v>32</v>
      </c>
      <c r="C59" t="s">
        <v>50</v>
      </c>
      <c r="D59" t="s">
        <v>34</v>
      </c>
      <c r="E59" t="s">
        <v>52</v>
      </c>
      <c r="F59">
        <v>23</v>
      </c>
      <c r="G59" t="s">
        <v>66</v>
      </c>
      <c r="H59">
        <v>3</v>
      </c>
      <c r="I59" t="s">
        <v>42</v>
      </c>
      <c r="J59" t="s">
        <v>38</v>
      </c>
      <c r="K59">
        <v>3</v>
      </c>
      <c r="L59" t="s">
        <v>39</v>
      </c>
      <c r="M59">
        <v>1</v>
      </c>
      <c r="N59" t="s">
        <v>40</v>
      </c>
      <c r="O59" t="s">
        <v>62</v>
      </c>
      <c r="P59">
        <v>1</v>
      </c>
      <c r="Q59" t="s">
        <v>57</v>
      </c>
      <c r="R59" t="s">
        <v>58</v>
      </c>
      <c r="S59">
        <v>3</v>
      </c>
      <c r="T59" t="s">
        <v>44</v>
      </c>
      <c r="U59" t="s">
        <v>44</v>
      </c>
      <c r="V59">
        <v>15</v>
      </c>
      <c r="W59" t="s">
        <v>45</v>
      </c>
      <c r="X59">
        <v>4</v>
      </c>
      <c r="Y59">
        <v>3</v>
      </c>
      <c r="Z59" t="s">
        <v>61</v>
      </c>
      <c r="AA59">
        <v>2</v>
      </c>
      <c r="AB59" t="s">
        <v>48</v>
      </c>
      <c r="AC59">
        <v>2</v>
      </c>
      <c r="AD59" t="s">
        <v>48</v>
      </c>
      <c r="AE59">
        <v>2</v>
      </c>
      <c r="AF59" t="s">
        <v>49</v>
      </c>
    </row>
    <row r="60" spans="1:32" x14ac:dyDescent="0.25">
      <c r="A60">
        <v>31</v>
      </c>
      <c r="B60" t="s">
        <v>32</v>
      </c>
      <c r="C60" t="s">
        <v>50</v>
      </c>
      <c r="D60" t="s">
        <v>34</v>
      </c>
      <c r="E60" t="s">
        <v>52</v>
      </c>
      <c r="F60">
        <v>7</v>
      </c>
      <c r="G60" t="s">
        <v>53</v>
      </c>
      <c r="H60">
        <v>4</v>
      </c>
      <c r="I60" t="s">
        <v>42</v>
      </c>
      <c r="J60" t="s">
        <v>54</v>
      </c>
      <c r="K60">
        <v>3</v>
      </c>
      <c r="L60" t="s">
        <v>39</v>
      </c>
      <c r="M60">
        <v>2</v>
      </c>
      <c r="N60" t="s">
        <v>40</v>
      </c>
      <c r="O60" t="s">
        <v>62</v>
      </c>
      <c r="P60">
        <v>4</v>
      </c>
      <c r="Q60" t="s">
        <v>42</v>
      </c>
      <c r="R60" t="s">
        <v>67</v>
      </c>
      <c r="S60">
        <v>3</v>
      </c>
      <c r="T60" t="s">
        <v>44</v>
      </c>
      <c r="U60" t="s">
        <v>59</v>
      </c>
      <c r="V60">
        <v>22</v>
      </c>
      <c r="W60" t="s">
        <v>60</v>
      </c>
      <c r="X60">
        <v>10</v>
      </c>
      <c r="Y60">
        <v>2</v>
      </c>
      <c r="Z60" t="s">
        <v>46</v>
      </c>
      <c r="AA60">
        <v>7</v>
      </c>
      <c r="AB60" t="s">
        <v>47</v>
      </c>
      <c r="AC60">
        <v>7</v>
      </c>
      <c r="AD60" t="s">
        <v>47</v>
      </c>
      <c r="AE60">
        <v>1</v>
      </c>
      <c r="AF60" t="s">
        <v>49</v>
      </c>
    </row>
    <row r="61" spans="1:32" x14ac:dyDescent="0.25">
      <c r="A61">
        <v>37</v>
      </c>
      <c r="B61" t="s">
        <v>32</v>
      </c>
      <c r="C61" t="s">
        <v>50</v>
      </c>
      <c r="D61" t="s">
        <v>34</v>
      </c>
      <c r="E61" t="s">
        <v>52</v>
      </c>
      <c r="F61">
        <v>1</v>
      </c>
      <c r="G61" t="s">
        <v>36</v>
      </c>
      <c r="H61">
        <v>1</v>
      </c>
      <c r="I61" t="s">
        <v>37</v>
      </c>
      <c r="J61" t="s">
        <v>54</v>
      </c>
      <c r="K61">
        <v>2</v>
      </c>
      <c r="L61" t="s">
        <v>55</v>
      </c>
      <c r="M61">
        <v>2</v>
      </c>
      <c r="N61" t="s">
        <v>40</v>
      </c>
      <c r="O61" t="s">
        <v>69</v>
      </c>
      <c r="P61">
        <v>3</v>
      </c>
      <c r="Q61" t="s">
        <v>42</v>
      </c>
      <c r="R61" t="s">
        <v>67</v>
      </c>
      <c r="S61">
        <v>1</v>
      </c>
      <c r="T61" t="s">
        <v>44</v>
      </c>
      <c r="U61" t="s">
        <v>59</v>
      </c>
      <c r="V61">
        <v>18</v>
      </c>
      <c r="W61" t="s">
        <v>45</v>
      </c>
      <c r="X61">
        <v>7</v>
      </c>
      <c r="Y61">
        <v>4</v>
      </c>
      <c r="Z61" t="s">
        <v>61</v>
      </c>
      <c r="AA61">
        <v>7</v>
      </c>
      <c r="AB61" t="s">
        <v>47</v>
      </c>
      <c r="AC61">
        <v>5</v>
      </c>
      <c r="AD61" t="s">
        <v>47</v>
      </c>
      <c r="AE61">
        <v>0</v>
      </c>
      <c r="AF61" t="s">
        <v>49</v>
      </c>
    </row>
    <row r="62" spans="1:32" x14ac:dyDescent="0.25">
      <c r="A62">
        <v>32</v>
      </c>
      <c r="B62" t="s">
        <v>32</v>
      </c>
      <c r="C62" t="s">
        <v>50</v>
      </c>
      <c r="D62" t="s">
        <v>34</v>
      </c>
      <c r="E62" t="s">
        <v>52</v>
      </c>
      <c r="F62">
        <v>1</v>
      </c>
      <c r="G62" t="s">
        <v>36</v>
      </c>
      <c r="H62">
        <v>1</v>
      </c>
      <c r="I62" t="s">
        <v>37</v>
      </c>
      <c r="J62" t="s">
        <v>54</v>
      </c>
      <c r="K62">
        <v>3</v>
      </c>
      <c r="L62" t="s">
        <v>39</v>
      </c>
      <c r="M62">
        <v>2</v>
      </c>
      <c r="N62" t="s">
        <v>40</v>
      </c>
      <c r="O62" t="s">
        <v>69</v>
      </c>
      <c r="P62">
        <v>4</v>
      </c>
      <c r="Q62" t="s">
        <v>42</v>
      </c>
      <c r="R62" t="s">
        <v>58</v>
      </c>
      <c r="S62">
        <v>1</v>
      </c>
      <c r="T62" t="s">
        <v>44</v>
      </c>
      <c r="U62" t="s">
        <v>44</v>
      </c>
      <c r="V62">
        <v>22</v>
      </c>
      <c r="W62" t="s">
        <v>60</v>
      </c>
      <c r="X62">
        <v>9</v>
      </c>
      <c r="Y62">
        <v>3</v>
      </c>
      <c r="Z62" t="s">
        <v>61</v>
      </c>
      <c r="AA62">
        <v>9</v>
      </c>
      <c r="AB62" t="s">
        <v>47</v>
      </c>
      <c r="AC62">
        <v>8</v>
      </c>
      <c r="AD62" t="s">
        <v>47</v>
      </c>
      <c r="AE62">
        <v>7</v>
      </c>
      <c r="AF62" t="s">
        <v>71</v>
      </c>
    </row>
    <row r="63" spans="1:32" x14ac:dyDescent="0.25">
      <c r="A63">
        <v>38</v>
      </c>
      <c r="B63" t="s">
        <v>32</v>
      </c>
      <c r="C63" t="s">
        <v>50</v>
      </c>
      <c r="D63" t="s">
        <v>51</v>
      </c>
      <c r="E63" t="s">
        <v>52</v>
      </c>
      <c r="F63">
        <v>29</v>
      </c>
      <c r="G63" t="s">
        <v>66</v>
      </c>
      <c r="H63">
        <v>4</v>
      </c>
      <c r="I63" t="s">
        <v>42</v>
      </c>
      <c r="J63" t="s">
        <v>38</v>
      </c>
      <c r="K63">
        <v>3</v>
      </c>
      <c r="L63" t="s">
        <v>39</v>
      </c>
      <c r="M63">
        <v>2</v>
      </c>
      <c r="N63" t="s">
        <v>40</v>
      </c>
      <c r="O63" t="s">
        <v>62</v>
      </c>
      <c r="P63">
        <v>4</v>
      </c>
      <c r="Q63" t="s">
        <v>42</v>
      </c>
      <c r="R63" t="s">
        <v>43</v>
      </c>
      <c r="S63">
        <v>1</v>
      </c>
      <c r="T63" t="s">
        <v>44</v>
      </c>
      <c r="U63" t="s">
        <v>59</v>
      </c>
      <c r="V63">
        <v>11</v>
      </c>
      <c r="W63" t="s">
        <v>45</v>
      </c>
      <c r="X63">
        <v>10</v>
      </c>
      <c r="Y63">
        <v>3</v>
      </c>
      <c r="Z63" t="s">
        <v>61</v>
      </c>
      <c r="AA63">
        <v>10</v>
      </c>
      <c r="AB63" t="s">
        <v>47</v>
      </c>
      <c r="AC63">
        <v>3</v>
      </c>
      <c r="AD63" t="s">
        <v>48</v>
      </c>
      <c r="AE63">
        <v>9</v>
      </c>
      <c r="AF63" t="s">
        <v>71</v>
      </c>
    </row>
    <row r="64" spans="1:32" x14ac:dyDescent="0.25">
      <c r="A64">
        <v>50</v>
      </c>
      <c r="B64" t="s">
        <v>32</v>
      </c>
      <c r="C64" t="s">
        <v>50</v>
      </c>
      <c r="D64" t="s">
        <v>34</v>
      </c>
      <c r="E64" t="s">
        <v>52</v>
      </c>
      <c r="F64">
        <v>7</v>
      </c>
      <c r="G64" t="s">
        <v>53</v>
      </c>
      <c r="H64">
        <v>2</v>
      </c>
      <c r="I64" t="s">
        <v>37</v>
      </c>
      <c r="J64" t="s">
        <v>38</v>
      </c>
      <c r="K64">
        <v>2</v>
      </c>
      <c r="L64" t="s">
        <v>55</v>
      </c>
      <c r="M64">
        <v>5</v>
      </c>
      <c r="N64" t="s">
        <v>72</v>
      </c>
      <c r="O64" t="s">
        <v>76</v>
      </c>
      <c r="P64">
        <v>3</v>
      </c>
      <c r="Q64" t="s">
        <v>42</v>
      </c>
      <c r="R64" t="s">
        <v>67</v>
      </c>
      <c r="S64">
        <v>5</v>
      </c>
      <c r="T64" t="s">
        <v>44</v>
      </c>
      <c r="U64" t="s">
        <v>44</v>
      </c>
      <c r="V64">
        <v>12</v>
      </c>
      <c r="W64" t="s">
        <v>45</v>
      </c>
      <c r="X64">
        <v>29</v>
      </c>
      <c r="Y64">
        <v>2</v>
      </c>
      <c r="Z64" t="s">
        <v>46</v>
      </c>
      <c r="AA64">
        <v>27</v>
      </c>
      <c r="AB64" t="s">
        <v>74</v>
      </c>
      <c r="AC64">
        <v>3</v>
      </c>
      <c r="AD64" t="s">
        <v>48</v>
      </c>
      <c r="AE64">
        <v>13</v>
      </c>
      <c r="AF64" t="s">
        <v>71</v>
      </c>
    </row>
    <row r="65" spans="1:32" x14ac:dyDescent="0.25">
      <c r="A65">
        <v>59</v>
      </c>
      <c r="B65" t="s">
        <v>64</v>
      </c>
      <c r="C65" t="s">
        <v>50</v>
      </c>
      <c r="D65" t="s">
        <v>34</v>
      </c>
      <c r="E65" t="s">
        <v>35</v>
      </c>
      <c r="F65">
        <v>25</v>
      </c>
      <c r="G65" t="s">
        <v>66</v>
      </c>
      <c r="H65">
        <v>1</v>
      </c>
      <c r="I65" t="s">
        <v>37</v>
      </c>
      <c r="J65" t="s">
        <v>38</v>
      </c>
      <c r="K65">
        <v>3</v>
      </c>
      <c r="L65" t="s">
        <v>39</v>
      </c>
      <c r="M65">
        <v>3</v>
      </c>
      <c r="N65" t="s">
        <v>68</v>
      </c>
      <c r="O65" t="s">
        <v>41</v>
      </c>
      <c r="P65">
        <v>1</v>
      </c>
      <c r="Q65" t="s">
        <v>57</v>
      </c>
      <c r="R65" t="s">
        <v>43</v>
      </c>
      <c r="S65">
        <v>7</v>
      </c>
      <c r="T65" t="s">
        <v>44</v>
      </c>
      <c r="U65" t="s">
        <v>59</v>
      </c>
      <c r="V65">
        <v>11</v>
      </c>
      <c r="W65" t="s">
        <v>45</v>
      </c>
      <c r="X65">
        <v>28</v>
      </c>
      <c r="Y65">
        <v>2</v>
      </c>
      <c r="Z65" t="s">
        <v>46</v>
      </c>
      <c r="AA65">
        <v>21</v>
      </c>
      <c r="AB65" t="s">
        <v>74</v>
      </c>
      <c r="AC65">
        <v>16</v>
      </c>
      <c r="AD65" t="s">
        <v>74</v>
      </c>
      <c r="AE65">
        <v>7</v>
      </c>
      <c r="AF65" t="s">
        <v>71</v>
      </c>
    </row>
    <row r="66" spans="1:32" x14ac:dyDescent="0.25">
      <c r="A66">
        <v>36</v>
      </c>
      <c r="B66" t="s">
        <v>32</v>
      </c>
      <c r="C66" t="s">
        <v>50</v>
      </c>
      <c r="D66" t="s">
        <v>34</v>
      </c>
      <c r="E66" t="s">
        <v>52</v>
      </c>
      <c r="F66">
        <v>8</v>
      </c>
      <c r="G66" t="s">
        <v>53</v>
      </c>
      <c r="H66">
        <v>3</v>
      </c>
      <c r="I66" t="s">
        <v>42</v>
      </c>
      <c r="J66" t="s">
        <v>38</v>
      </c>
      <c r="K66">
        <v>3</v>
      </c>
      <c r="L66" t="s">
        <v>39</v>
      </c>
      <c r="M66">
        <v>3</v>
      </c>
      <c r="N66" t="s">
        <v>68</v>
      </c>
      <c r="O66" t="s">
        <v>70</v>
      </c>
      <c r="P66">
        <v>3</v>
      </c>
      <c r="Q66" t="s">
        <v>42</v>
      </c>
      <c r="R66" t="s">
        <v>67</v>
      </c>
      <c r="S66">
        <v>1</v>
      </c>
      <c r="T66" t="s">
        <v>44</v>
      </c>
      <c r="U66" t="s">
        <v>59</v>
      </c>
      <c r="V66">
        <v>13</v>
      </c>
      <c r="W66" t="s">
        <v>45</v>
      </c>
      <c r="X66">
        <v>17</v>
      </c>
      <c r="Y66">
        <v>3</v>
      </c>
      <c r="Z66" t="s">
        <v>61</v>
      </c>
      <c r="AA66">
        <v>17</v>
      </c>
      <c r="AB66" t="s">
        <v>74</v>
      </c>
      <c r="AC66">
        <v>14</v>
      </c>
      <c r="AD66" t="s">
        <v>74</v>
      </c>
      <c r="AE66">
        <v>12</v>
      </c>
      <c r="AF66" t="s">
        <v>71</v>
      </c>
    </row>
    <row r="67" spans="1:32" x14ac:dyDescent="0.25">
      <c r="A67">
        <v>55</v>
      </c>
      <c r="B67" t="s">
        <v>64</v>
      </c>
      <c r="C67" t="s">
        <v>50</v>
      </c>
      <c r="D67" t="s">
        <v>34</v>
      </c>
      <c r="E67" t="s">
        <v>52</v>
      </c>
      <c r="F67">
        <v>8</v>
      </c>
      <c r="G67" t="s">
        <v>53</v>
      </c>
      <c r="H67">
        <v>4</v>
      </c>
      <c r="I67" t="s">
        <v>42</v>
      </c>
      <c r="J67" t="s">
        <v>38</v>
      </c>
      <c r="K67">
        <v>3</v>
      </c>
      <c r="L67" t="s">
        <v>39</v>
      </c>
      <c r="M67">
        <v>4</v>
      </c>
      <c r="N67" t="s">
        <v>72</v>
      </c>
      <c r="O67" t="s">
        <v>73</v>
      </c>
      <c r="P67">
        <v>3</v>
      </c>
      <c r="Q67" t="s">
        <v>42</v>
      </c>
      <c r="R67" t="s">
        <v>67</v>
      </c>
      <c r="S67">
        <v>2</v>
      </c>
      <c r="T67" t="s">
        <v>44</v>
      </c>
      <c r="U67" t="s">
        <v>44</v>
      </c>
      <c r="V67">
        <v>14</v>
      </c>
      <c r="W67" t="s">
        <v>45</v>
      </c>
      <c r="X67">
        <v>21</v>
      </c>
      <c r="Y67">
        <v>3</v>
      </c>
      <c r="Z67" t="s">
        <v>61</v>
      </c>
      <c r="AA67">
        <v>5</v>
      </c>
      <c r="AB67" t="s">
        <v>47</v>
      </c>
      <c r="AC67">
        <v>0</v>
      </c>
      <c r="AD67" t="s">
        <v>48</v>
      </c>
      <c r="AE67">
        <v>0</v>
      </c>
      <c r="AF67" t="s">
        <v>49</v>
      </c>
    </row>
    <row r="68" spans="1:32" x14ac:dyDescent="0.25">
      <c r="A68">
        <v>36</v>
      </c>
      <c r="B68" t="s">
        <v>32</v>
      </c>
      <c r="C68" t="s">
        <v>50</v>
      </c>
      <c r="D68" t="s">
        <v>51</v>
      </c>
      <c r="E68" t="s">
        <v>52</v>
      </c>
      <c r="F68">
        <v>11</v>
      </c>
      <c r="G68" t="s">
        <v>53</v>
      </c>
      <c r="H68">
        <v>2</v>
      </c>
      <c r="I68" t="s">
        <v>37</v>
      </c>
      <c r="J68" t="s">
        <v>54</v>
      </c>
      <c r="K68">
        <v>2</v>
      </c>
      <c r="L68" t="s">
        <v>55</v>
      </c>
      <c r="M68">
        <v>2</v>
      </c>
      <c r="N68" t="s">
        <v>40</v>
      </c>
      <c r="O68" t="s">
        <v>69</v>
      </c>
      <c r="P68">
        <v>2</v>
      </c>
      <c r="Q68" t="s">
        <v>57</v>
      </c>
      <c r="R68" t="s">
        <v>43</v>
      </c>
      <c r="S68">
        <v>1</v>
      </c>
      <c r="T68" t="s">
        <v>44</v>
      </c>
      <c r="U68" t="s">
        <v>59</v>
      </c>
      <c r="V68">
        <v>13</v>
      </c>
      <c r="W68" t="s">
        <v>45</v>
      </c>
      <c r="X68">
        <v>6</v>
      </c>
      <c r="Y68">
        <v>3</v>
      </c>
      <c r="Z68" t="s">
        <v>61</v>
      </c>
      <c r="AA68">
        <v>6</v>
      </c>
      <c r="AB68" t="s">
        <v>47</v>
      </c>
      <c r="AC68">
        <v>5</v>
      </c>
      <c r="AD68" t="s">
        <v>47</v>
      </c>
      <c r="AE68">
        <v>0</v>
      </c>
      <c r="AF68" t="s">
        <v>49</v>
      </c>
    </row>
    <row r="69" spans="1:32" x14ac:dyDescent="0.25">
      <c r="A69">
        <v>45</v>
      </c>
      <c r="B69" t="s">
        <v>32</v>
      </c>
      <c r="C69" t="s">
        <v>50</v>
      </c>
      <c r="D69" t="s">
        <v>34</v>
      </c>
      <c r="E69" t="s">
        <v>52</v>
      </c>
      <c r="F69">
        <v>7</v>
      </c>
      <c r="G69" t="s">
        <v>53</v>
      </c>
      <c r="H69">
        <v>2</v>
      </c>
      <c r="I69" t="s">
        <v>37</v>
      </c>
      <c r="J69" t="s">
        <v>54</v>
      </c>
      <c r="K69">
        <v>3</v>
      </c>
      <c r="L69" t="s">
        <v>39</v>
      </c>
      <c r="M69">
        <v>3</v>
      </c>
      <c r="N69" t="s">
        <v>68</v>
      </c>
      <c r="O69" t="s">
        <v>56</v>
      </c>
      <c r="P69">
        <v>1</v>
      </c>
      <c r="Q69" t="s">
        <v>57</v>
      </c>
      <c r="R69" t="s">
        <v>67</v>
      </c>
      <c r="S69">
        <v>2</v>
      </c>
      <c r="T69" t="s">
        <v>44</v>
      </c>
      <c r="U69" t="s">
        <v>59</v>
      </c>
      <c r="V69">
        <v>17</v>
      </c>
      <c r="W69" t="s">
        <v>45</v>
      </c>
      <c r="X69">
        <v>25</v>
      </c>
      <c r="Y69">
        <v>3</v>
      </c>
      <c r="Z69" t="s">
        <v>61</v>
      </c>
      <c r="AA69">
        <v>1</v>
      </c>
      <c r="AB69" t="s">
        <v>48</v>
      </c>
      <c r="AC69">
        <v>0</v>
      </c>
      <c r="AD69" t="s">
        <v>48</v>
      </c>
      <c r="AE69">
        <v>0</v>
      </c>
      <c r="AF69" t="s">
        <v>49</v>
      </c>
    </row>
    <row r="70" spans="1:32" x14ac:dyDescent="0.25">
      <c r="A70">
        <v>35</v>
      </c>
      <c r="B70" t="s">
        <v>32</v>
      </c>
      <c r="C70" t="s">
        <v>50</v>
      </c>
      <c r="D70" t="s">
        <v>51</v>
      </c>
      <c r="E70" t="s">
        <v>52</v>
      </c>
      <c r="F70">
        <v>1</v>
      </c>
      <c r="G70" t="s">
        <v>36</v>
      </c>
      <c r="H70">
        <v>2</v>
      </c>
      <c r="I70" t="s">
        <v>37</v>
      </c>
      <c r="J70" t="s">
        <v>54</v>
      </c>
      <c r="K70">
        <v>3</v>
      </c>
      <c r="L70" t="s">
        <v>39</v>
      </c>
      <c r="M70">
        <v>1</v>
      </c>
      <c r="N70" t="s">
        <v>40</v>
      </c>
      <c r="O70" t="s">
        <v>56</v>
      </c>
      <c r="P70">
        <v>1</v>
      </c>
      <c r="Q70" t="s">
        <v>57</v>
      </c>
      <c r="R70" t="s">
        <v>58</v>
      </c>
      <c r="S70">
        <v>4</v>
      </c>
      <c r="T70" t="s">
        <v>44</v>
      </c>
      <c r="U70" t="s">
        <v>59</v>
      </c>
      <c r="V70">
        <v>13</v>
      </c>
      <c r="W70" t="s">
        <v>45</v>
      </c>
      <c r="X70">
        <v>5</v>
      </c>
      <c r="Y70">
        <v>2</v>
      </c>
      <c r="Z70" t="s">
        <v>46</v>
      </c>
      <c r="AA70">
        <v>3</v>
      </c>
      <c r="AB70" t="s">
        <v>48</v>
      </c>
      <c r="AC70">
        <v>2</v>
      </c>
      <c r="AD70" t="s">
        <v>48</v>
      </c>
      <c r="AE70">
        <v>1</v>
      </c>
      <c r="AF70" t="s">
        <v>49</v>
      </c>
    </row>
    <row r="71" spans="1:32" x14ac:dyDescent="0.25">
      <c r="A71">
        <v>36</v>
      </c>
      <c r="B71" t="s">
        <v>32</v>
      </c>
      <c r="C71" t="s">
        <v>33</v>
      </c>
      <c r="D71" t="s">
        <v>34</v>
      </c>
      <c r="E71" t="s">
        <v>52</v>
      </c>
      <c r="F71">
        <v>9</v>
      </c>
      <c r="G71" t="s">
        <v>53</v>
      </c>
      <c r="H71">
        <v>4</v>
      </c>
      <c r="I71" t="s">
        <v>42</v>
      </c>
      <c r="J71" t="s">
        <v>54</v>
      </c>
      <c r="K71">
        <v>2</v>
      </c>
      <c r="L71" t="s">
        <v>55</v>
      </c>
      <c r="M71">
        <v>1</v>
      </c>
      <c r="N71" t="s">
        <v>40</v>
      </c>
      <c r="O71" t="s">
        <v>56</v>
      </c>
      <c r="P71">
        <v>3</v>
      </c>
      <c r="Q71" t="s">
        <v>42</v>
      </c>
      <c r="R71" t="s">
        <v>58</v>
      </c>
      <c r="S71">
        <v>0</v>
      </c>
      <c r="T71" t="s">
        <v>44</v>
      </c>
      <c r="U71" t="s">
        <v>44</v>
      </c>
      <c r="V71">
        <v>17</v>
      </c>
      <c r="W71" t="s">
        <v>45</v>
      </c>
      <c r="X71">
        <v>2</v>
      </c>
      <c r="Y71">
        <v>2</v>
      </c>
      <c r="Z71" t="s">
        <v>46</v>
      </c>
      <c r="AA71">
        <v>1</v>
      </c>
      <c r="AB71" t="s">
        <v>48</v>
      </c>
      <c r="AC71">
        <v>0</v>
      </c>
      <c r="AD71" t="s">
        <v>48</v>
      </c>
      <c r="AE71">
        <v>0</v>
      </c>
      <c r="AF71" t="s">
        <v>49</v>
      </c>
    </row>
    <row r="72" spans="1:32" x14ac:dyDescent="0.25">
      <c r="A72">
        <v>59</v>
      </c>
      <c r="B72" t="s">
        <v>64</v>
      </c>
      <c r="C72" t="s">
        <v>50</v>
      </c>
      <c r="D72" t="s">
        <v>51</v>
      </c>
      <c r="E72" t="s">
        <v>35</v>
      </c>
      <c r="F72">
        <v>1</v>
      </c>
      <c r="G72" t="s">
        <v>36</v>
      </c>
      <c r="H72">
        <v>1</v>
      </c>
      <c r="I72" t="s">
        <v>37</v>
      </c>
      <c r="J72" t="s">
        <v>38</v>
      </c>
      <c r="K72">
        <v>2</v>
      </c>
      <c r="L72" t="s">
        <v>55</v>
      </c>
      <c r="M72">
        <v>2</v>
      </c>
      <c r="N72" t="s">
        <v>40</v>
      </c>
      <c r="O72" t="s">
        <v>41</v>
      </c>
      <c r="P72">
        <v>3</v>
      </c>
      <c r="Q72" t="s">
        <v>42</v>
      </c>
      <c r="R72" t="s">
        <v>43</v>
      </c>
      <c r="S72">
        <v>7</v>
      </c>
      <c r="T72" t="s">
        <v>44</v>
      </c>
      <c r="U72" t="s">
        <v>59</v>
      </c>
      <c r="V72">
        <v>11</v>
      </c>
      <c r="W72" t="s">
        <v>45</v>
      </c>
      <c r="X72">
        <v>20</v>
      </c>
      <c r="Y72">
        <v>2</v>
      </c>
      <c r="Z72" t="s">
        <v>46</v>
      </c>
      <c r="AA72">
        <v>4</v>
      </c>
      <c r="AB72" t="s">
        <v>48</v>
      </c>
      <c r="AC72">
        <v>3</v>
      </c>
      <c r="AD72" t="s">
        <v>48</v>
      </c>
      <c r="AE72">
        <v>1</v>
      </c>
      <c r="AF72" t="s">
        <v>49</v>
      </c>
    </row>
    <row r="73" spans="1:32" x14ac:dyDescent="0.25">
      <c r="A73">
        <v>29</v>
      </c>
      <c r="B73" t="s">
        <v>63</v>
      </c>
      <c r="C73" t="s">
        <v>50</v>
      </c>
      <c r="D73" t="s">
        <v>34</v>
      </c>
      <c r="E73" t="s">
        <v>52</v>
      </c>
      <c r="F73">
        <v>2</v>
      </c>
      <c r="G73" t="s">
        <v>36</v>
      </c>
      <c r="H73">
        <v>3</v>
      </c>
      <c r="I73" t="s">
        <v>42</v>
      </c>
      <c r="J73" t="s">
        <v>54</v>
      </c>
      <c r="K73">
        <v>3</v>
      </c>
      <c r="L73" t="s">
        <v>39</v>
      </c>
      <c r="M73">
        <v>1</v>
      </c>
      <c r="N73" t="s">
        <v>40</v>
      </c>
      <c r="O73" t="s">
        <v>56</v>
      </c>
      <c r="P73">
        <v>2</v>
      </c>
      <c r="Q73" t="s">
        <v>57</v>
      </c>
      <c r="R73" t="s">
        <v>58</v>
      </c>
      <c r="S73">
        <v>0</v>
      </c>
      <c r="T73" t="s">
        <v>44</v>
      </c>
      <c r="U73" t="s">
        <v>59</v>
      </c>
      <c r="V73">
        <v>23</v>
      </c>
      <c r="W73" t="s">
        <v>60</v>
      </c>
      <c r="X73">
        <v>6</v>
      </c>
      <c r="Y73">
        <v>3</v>
      </c>
      <c r="Z73" t="s">
        <v>61</v>
      </c>
      <c r="AA73">
        <v>5</v>
      </c>
      <c r="AB73" t="s">
        <v>47</v>
      </c>
      <c r="AC73">
        <v>4</v>
      </c>
      <c r="AD73" t="s">
        <v>48</v>
      </c>
      <c r="AE73">
        <v>0</v>
      </c>
      <c r="AF73" t="s">
        <v>49</v>
      </c>
    </row>
    <row r="74" spans="1:32" x14ac:dyDescent="0.25">
      <c r="A74">
        <v>31</v>
      </c>
      <c r="B74" t="s">
        <v>32</v>
      </c>
      <c r="C74" t="s">
        <v>50</v>
      </c>
      <c r="D74" t="s">
        <v>34</v>
      </c>
      <c r="E74" t="s">
        <v>52</v>
      </c>
      <c r="F74">
        <v>1</v>
      </c>
      <c r="G74" t="s">
        <v>36</v>
      </c>
      <c r="H74">
        <v>3</v>
      </c>
      <c r="I74" t="s">
        <v>42</v>
      </c>
      <c r="J74" t="s">
        <v>54</v>
      </c>
      <c r="K74">
        <v>3</v>
      </c>
      <c r="L74" t="s">
        <v>39</v>
      </c>
      <c r="M74">
        <v>1</v>
      </c>
      <c r="N74" t="s">
        <v>40</v>
      </c>
      <c r="O74" t="s">
        <v>56</v>
      </c>
      <c r="P74">
        <v>2</v>
      </c>
      <c r="Q74" t="s">
        <v>57</v>
      </c>
      <c r="R74" t="s">
        <v>43</v>
      </c>
      <c r="S74">
        <v>1</v>
      </c>
      <c r="T74" t="s">
        <v>44</v>
      </c>
      <c r="U74" t="s">
        <v>59</v>
      </c>
      <c r="V74">
        <v>17</v>
      </c>
      <c r="W74" t="s">
        <v>45</v>
      </c>
      <c r="X74">
        <v>1</v>
      </c>
      <c r="Y74">
        <v>3</v>
      </c>
      <c r="Z74" t="s">
        <v>61</v>
      </c>
      <c r="AA74">
        <v>1</v>
      </c>
      <c r="AB74" t="s">
        <v>48</v>
      </c>
      <c r="AC74">
        <v>1</v>
      </c>
      <c r="AD74" t="s">
        <v>48</v>
      </c>
      <c r="AE74">
        <v>1</v>
      </c>
      <c r="AF74" t="s">
        <v>49</v>
      </c>
    </row>
    <row r="75" spans="1:32" x14ac:dyDescent="0.25">
      <c r="A75">
        <v>32</v>
      </c>
      <c r="B75" t="s">
        <v>32</v>
      </c>
      <c r="C75" t="s">
        <v>50</v>
      </c>
      <c r="D75" t="s">
        <v>34</v>
      </c>
      <c r="E75" t="s">
        <v>52</v>
      </c>
      <c r="F75">
        <v>1</v>
      </c>
      <c r="G75" t="s">
        <v>36</v>
      </c>
      <c r="H75">
        <v>2</v>
      </c>
      <c r="I75" t="s">
        <v>37</v>
      </c>
      <c r="J75" t="s">
        <v>54</v>
      </c>
      <c r="K75">
        <v>3</v>
      </c>
      <c r="L75" t="s">
        <v>39</v>
      </c>
      <c r="M75">
        <v>2</v>
      </c>
      <c r="N75" t="s">
        <v>40</v>
      </c>
      <c r="O75" t="s">
        <v>56</v>
      </c>
      <c r="P75">
        <v>2</v>
      </c>
      <c r="Q75" t="s">
        <v>57</v>
      </c>
      <c r="R75" t="s">
        <v>58</v>
      </c>
      <c r="S75">
        <v>1</v>
      </c>
      <c r="T75" t="s">
        <v>44</v>
      </c>
      <c r="U75" t="s">
        <v>59</v>
      </c>
      <c r="V75">
        <v>17</v>
      </c>
      <c r="W75" t="s">
        <v>45</v>
      </c>
      <c r="X75">
        <v>10</v>
      </c>
      <c r="Y75">
        <v>3</v>
      </c>
      <c r="Z75" t="s">
        <v>61</v>
      </c>
      <c r="AA75">
        <v>10</v>
      </c>
      <c r="AB75" t="s">
        <v>47</v>
      </c>
      <c r="AC75">
        <v>4</v>
      </c>
      <c r="AD75" t="s">
        <v>48</v>
      </c>
      <c r="AE75">
        <v>0</v>
      </c>
      <c r="AF75" t="s">
        <v>49</v>
      </c>
    </row>
    <row r="76" spans="1:32" x14ac:dyDescent="0.25">
      <c r="A76">
        <v>36</v>
      </c>
      <c r="B76" t="s">
        <v>32</v>
      </c>
      <c r="C76" t="s">
        <v>50</v>
      </c>
      <c r="D76" t="s">
        <v>34</v>
      </c>
      <c r="E76" t="s">
        <v>52</v>
      </c>
      <c r="F76">
        <v>6</v>
      </c>
      <c r="G76" t="s">
        <v>53</v>
      </c>
      <c r="H76">
        <v>2</v>
      </c>
      <c r="I76" t="s">
        <v>37</v>
      </c>
      <c r="J76" t="s">
        <v>38</v>
      </c>
      <c r="K76">
        <v>4</v>
      </c>
      <c r="L76" t="s">
        <v>65</v>
      </c>
      <c r="M76">
        <v>1</v>
      </c>
      <c r="N76" t="s">
        <v>40</v>
      </c>
      <c r="O76" t="s">
        <v>62</v>
      </c>
      <c r="P76">
        <v>4</v>
      </c>
      <c r="Q76" t="s">
        <v>42</v>
      </c>
      <c r="R76" t="s">
        <v>58</v>
      </c>
      <c r="S76">
        <v>3</v>
      </c>
      <c r="T76" t="s">
        <v>44</v>
      </c>
      <c r="U76" t="s">
        <v>59</v>
      </c>
      <c r="V76">
        <v>12</v>
      </c>
      <c r="W76" t="s">
        <v>45</v>
      </c>
      <c r="X76">
        <v>5</v>
      </c>
      <c r="Y76">
        <v>3</v>
      </c>
      <c r="Z76" t="s">
        <v>61</v>
      </c>
      <c r="AA76">
        <v>1</v>
      </c>
      <c r="AB76" t="s">
        <v>48</v>
      </c>
      <c r="AC76">
        <v>0</v>
      </c>
      <c r="AD76" t="s">
        <v>48</v>
      </c>
      <c r="AE76">
        <v>0</v>
      </c>
      <c r="AF76" t="s">
        <v>49</v>
      </c>
    </row>
    <row r="77" spans="1:32" x14ac:dyDescent="0.25">
      <c r="A77">
        <v>31</v>
      </c>
      <c r="B77" t="s">
        <v>32</v>
      </c>
      <c r="C77" t="s">
        <v>50</v>
      </c>
      <c r="D77" t="s">
        <v>34</v>
      </c>
      <c r="E77" t="s">
        <v>52</v>
      </c>
      <c r="F77">
        <v>8</v>
      </c>
      <c r="G77" t="s">
        <v>53</v>
      </c>
      <c r="H77">
        <v>3</v>
      </c>
      <c r="I77" t="s">
        <v>42</v>
      </c>
      <c r="J77" t="s">
        <v>38</v>
      </c>
      <c r="K77">
        <v>3</v>
      </c>
      <c r="L77" t="s">
        <v>39</v>
      </c>
      <c r="M77">
        <v>2</v>
      </c>
      <c r="N77" t="s">
        <v>40</v>
      </c>
      <c r="O77" t="s">
        <v>69</v>
      </c>
      <c r="P77">
        <v>4</v>
      </c>
      <c r="Q77" t="s">
        <v>42</v>
      </c>
      <c r="R77" t="s">
        <v>43</v>
      </c>
      <c r="S77">
        <v>1</v>
      </c>
      <c r="T77" t="s">
        <v>44</v>
      </c>
      <c r="U77" t="s">
        <v>59</v>
      </c>
      <c r="V77">
        <v>23</v>
      </c>
      <c r="W77" t="s">
        <v>60</v>
      </c>
      <c r="X77">
        <v>11</v>
      </c>
      <c r="Y77">
        <v>3</v>
      </c>
      <c r="Z77" t="s">
        <v>61</v>
      </c>
      <c r="AA77">
        <v>11</v>
      </c>
      <c r="AB77" t="s">
        <v>74</v>
      </c>
      <c r="AC77">
        <v>7</v>
      </c>
      <c r="AD77" t="s">
        <v>47</v>
      </c>
      <c r="AE77">
        <v>1</v>
      </c>
      <c r="AF77" t="s">
        <v>49</v>
      </c>
    </row>
    <row r="78" spans="1:32" x14ac:dyDescent="0.25">
      <c r="A78">
        <v>35</v>
      </c>
      <c r="B78" t="s">
        <v>32</v>
      </c>
      <c r="C78" t="s">
        <v>50</v>
      </c>
      <c r="D78" t="s">
        <v>34</v>
      </c>
      <c r="E78" t="s">
        <v>35</v>
      </c>
      <c r="F78">
        <v>1</v>
      </c>
      <c r="G78" t="s">
        <v>36</v>
      </c>
      <c r="H78">
        <v>3</v>
      </c>
      <c r="I78" t="s">
        <v>42</v>
      </c>
      <c r="J78" t="s">
        <v>54</v>
      </c>
      <c r="K78">
        <v>2</v>
      </c>
      <c r="L78" t="s">
        <v>55</v>
      </c>
      <c r="M78">
        <v>2</v>
      </c>
      <c r="N78" t="s">
        <v>40</v>
      </c>
      <c r="O78" t="s">
        <v>41</v>
      </c>
      <c r="P78">
        <v>1</v>
      </c>
      <c r="Q78" t="s">
        <v>57</v>
      </c>
      <c r="R78" t="s">
        <v>43</v>
      </c>
      <c r="S78">
        <v>0</v>
      </c>
      <c r="T78" t="s">
        <v>44</v>
      </c>
      <c r="U78" t="s">
        <v>59</v>
      </c>
      <c r="V78">
        <v>14</v>
      </c>
      <c r="W78" t="s">
        <v>45</v>
      </c>
      <c r="X78">
        <v>16</v>
      </c>
      <c r="Y78">
        <v>3</v>
      </c>
      <c r="Z78" t="s">
        <v>61</v>
      </c>
      <c r="AA78">
        <v>15</v>
      </c>
      <c r="AB78" t="s">
        <v>74</v>
      </c>
      <c r="AC78">
        <v>13</v>
      </c>
      <c r="AD78" t="s">
        <v>74</v>
      </c>
      <c r="AE78">
        <v>2</v>
      </c>
      <c r="AF78" t="s">
        <v>49</v>
      </c>
    </row>
    <row r="79" spans="1:32" x14ac:dyDescent="0.25">
      <c r="A79">
        <v>45</v>
      </c>
      <c r="B79" t="s">
        <v>32</v>
      </c>
      <c r="C79" t="s">
        <v>50</v>
      </c>
      <c r="D79" t="s">
        <v>34</v>
      </c>
      <c r="E79" t="s">
        <v>52</v>
      </c>
      <c r="F79">
        <v>6</v>
      </c>
      <c r="G79" t="s">
        <v>53</v>
      </c>
      <c r="H79">
        <v>4</v>
      </c>
      <c r="I79" t="s">
        <v>42</v>
      </c>
      <c r="J79" t="s">
        <v>54</v>
      </c>
      <c r="K79">
        <v>3</v>
      </c>
      <c r="L79" t="s">
        <v>39</v>
      </c>
      <c r="M79">
        <v>3</v>
      </c>
      <c r="N79" t="s">
        <v>68</v>
      </c>
      <c r="O79" t="s">
        <v>76</v>
      </c>
      <c r="P79">
        <v>1</v>
      </c>
      <c r="Q79" t="s">
        <v>57</v>
      </c>
      <c r="R79" t="s">
        <v>58</v>
      </c>
      <c r="S79">
        <v>4</v>
      </c>
      <c r="T79" t="s">
        <v>44</v>
      </c>
      <c r="U79" t="s">
        <v>44</v>
      </c>
      <c r="V79">
        <v>14</v>
      </c>
      <c r="W79" t="s">
        <v>45</v>
      </c>
      <c r="X79">
        <v>17</v>
      </c>
      <c r="Y79">
        <v>4</v>
      </c>
      <c r="Z79" t="s">
        <v>61</v>
      </c>
      <c r="AA79">
        <v>0</v>
      </c>
      <c r="AB79" t="s">
        <v>48</v>
      </c>
      <c r="AC79">
        <v>0</v>
      </c>
      <c r="AD79" t="s">
        <v>48</v>
      </c>
      <c r="AE79">
        <v>0</v>
      </c>
      <c r="AF79" t="s">
        <v>49</v>
      </c>
    </row>
    <row r="80" spans="1:32" x14ac:dyDescent="0.25">
      <c r="A80">
        <v>37</v>
      </c>
      <c r="B80" t="s">
        <v>32</v>
      </c>
      <c r="C80" t="s">
        <v>50</v>
      </c>
      <c r="D80" t="s">
        <v>34</v>
      </c>
      <c r="E80" t="s">
        <v>52</v>
      </c>
      <c r="F80">
        <v>7</v>
      </c>
      <c r="G80" t="s">
        <v>53</v>
      </c>
      <c r="H80">
        <v>1</v>
      </c>
      <c r="I80" t="s">
        <v>37</v>
      </c>
      <c r="J80" t="s">
        <v>54</v>
      </c>
      <c r="K80">
        <v>3</v>
      </c>
      <c r="L80" t="s">
        <v>39</v>
      </c>
      <c r="M80">
        <v>3</v>
      </c>
      <c r="N80" t="s">
        <v>68</v>
      </c>
      <c r="O80" t="s">
        <v>76</v>
      </c>
      <c r="P80">
        <v>3</v>
      </c>
      <c r="Q80" t="s">
        <v>42</v>
      </c>
      <c r="R80" t="s">
        <v>43</v>
      </c>
      <c r="S80">
        <v>4</v>
      </c>
      <c r="T80" t="s">
        <v>44</v>
      </c>
      <c r="U80" t="s">
        <v>59</v>
      </c>
      <c r="V80">
        <v>13</v>
      </c>
      <c r="W80" t="s">
        <v>45</v>
      </c>
      <c r="X80">
        <v>16</v>
      </c>
      <c r="Y80">
        <v>4</v>
      </c>
      <c r="Z80" t="s">
        <v>61</v>
      </c>
      <c r="AA80">
        <v>5</v>
      </c>
      <c r="AB80" t="s">
        <v>47</v>
      </c>
      <c r="AC80">
        <v>2</v>
      </c>
      <c r="AD80" t="s">
        <v>48</v>
      </c>
      <c r="AE80">
        <v>0</v>
      </c>
      <c r="AF80" t="s">
        <v>49</v>
      </c>
    </row>
    <row r="81" spans="1:32" x14ac:dyDescent="0.25">
      <c r="A81">
        <v>46</v>
      </c>
      <c r="B81" t="s">
        <v>32</v>
      </c>
      <c r="C81" t="s">
        <v>50</v>
      </c>
      <c r="D81" t="s">
        <v>34</v>
      </c>
      <c r="E81" t="s">
        <v>77</v>
      </c>
      <c r="F81">
        <v>5</v>
      </c>
      <c r="G81" t="s">
        <v>36</v>
      </c>
      <c r="H81">
        <v>2</v>
      </c>
      <c r="I81" t="s">
        <v>37</v>
      </c>
      <c r="J81" t="s">
        <v>54</v>
      </c>
      <c r="K81">
        <v>3</v>
      </c>
      <c r="L81" t="s">
        <v>39</v>
      </c>
      <c r="M81">
        <v>2</v>
      </c>
      <c r="N81" t="s">
        <v>40</v>
      </c>
      <c r="O81" t="s">
        <v>77</v>
      </c>
      <c r="P81">
        <v>2</v>
      </c>
      <c r="Q81" t="s">
        <v>57</v>
      </c>
      <c r="R81" t="s">
        <v>67</v>
      </c>
      <c r="S81">
        <v>8</v>
      </c>
      <c r="T81" t="s">
        <v>44</v>
      </c>
      <c r="U81" t="s">
        <v>44</v>
      </c>
      <c r="V81">
        <v>22</v>
      </c>
      <c r="W81" t="s">
        <v>60</v>
      </c>
      <c r="X81">
        <v>16</v>
      </c>
      <c r="Y81">
        <v>3</v>
      </c>
      <c r="Z81" t="s">
        <v>61</v>
      </c>
      <c r="AA81">
        <v>4</v>
      </c>
      <c r="AB81" t="s">
        <v>48</v>
      </c>
      <c r="AC81">
        <v>2</v>
      </c>
      <c r="AD81" t="s">
        <v>48</v>
      </c>
      <c r="AE81">
        <v>0</v>
      </c>
      <c r="AF81" t="s">
        <v>49</v>
      </c>
    </row>
    <row r="82" spans="1:32" x14ac:dyDescent="0.25">
      <c r="A82">
        <v>30</v>
      </c>
      <c r="B82" t="s">
        <v>32</v>
      </c>
      <c r="C82" t="s">
        <v>50</v>
      </c>
      <c r="D82" t="s">
        <v>34</v>
      </c>
      <c r="E82" t="s">
        <v>52</v>
      </c>
      <c r="F82">
        <v>1</v>
      </c>
      <c r="G82" t="s">
        <v>36</v>
      </c>
      <c r="H82">
        <v>4</v>
      </c>
      <c r="I82" t="s">
        <v>42</v>
      </c>
      <c r="J82" t="s">
        <v>54</v>
      </c>
      <c r="K82">
        <v>2</v>
      </c>
      <c r="L82" t="s">
        <v>55</v>
      </c>
      <c r="M82">
        <v>2</v>
      </c>
      <c r="N82" t="s">
        <v>40</v>
      </c>
      <c r="O82" t="s">
        <v>62</v>
      </c>
      <c r="P82">
        <v>4</v>
      </c>
      <c r="Q82" t="s">
        <v>42</v>
      </c>
      <c r="R82" t="s">
        <v>58</v>
      </c>
      <c r="S82">
        <v>1</v>
      </c>
      <c r="T82" t="s">
        <v>44</v>
      </c>
      <c r="U82" t="s">
        <v>44</v>
      </c>
      <c r="V82">
        <v>12</v>
      </c>
      <c r="W82" t="s">
        <v>45</v>
      </c>
      <c r="X82">
        <v>10</v>
      </c>
      <c r="Y82">
        <v>2</v>
      </c>
      <c r="Z82" t="s">
        <v>46</v>
      </c>
      <c r="AA82">
        <v>10</v>
      </c>
      <c r="AB82" t="s">
        <v>47</v>
      </c>
      <c r="AC82">
        <v>8</v>
      </c>
      <c r="AD82" t="s">
        <v>47</v>
      </c>
      <c r="AE82">
        <v>3</v>
      </c>
      <c r="AF82" t="s">
        <v>49</v>
      </c>
    </row>
    <row r="83" spans="1:32" x14ac:dyDescent="0.25">
      <c r="A83">
        <v>35</v>
      </c>
      <c r="B83" t="s">
        <v>32</v>
      </c>
      <c r="C83" t="s">
        <v>50</v>
      </c>
      <c r="D83" t="s">
        <v>34</v>
      </c>
      <c r="E83" t="s">
        <v>52</v>
      </c>
      <c r="F83">
        <v>1</v>
      </c>
      <c r="G83" t="s">
        <v>36</v>
      </c>
      <c r="H83">
        <v>2</v>
      </c>
      <c r="I83" t="s">
        <v>37</v>
      </c>
      <c r="J83" t="s">
        <v>54</v>
      </c>
      <c r="K83">
        <v>2</v>
      </c>
      <c r="L83" t="s">
        <v>55</v>
      </c>
      <c r="M83">
        <v>1</v>
      </c>
      <c r="N83" t="s">
        <v>40</v>
      </c>
      <c r="O83" t="s">
        <v>56</v>
      </c>
      <c r="P83">
        <v>3</v>
      </c>
      <c r="Q83" t="s">
        <v>42</v>
      </c>
      <c r="R83" t="s">
        <v>43</v>
      </c>
      <c r="S83">
        <v>1</v>
      </c>
      <c r="T83" t="s">
        <v>44</v>
      </c>
      <c r="U83" t="s">
        <v>59</v>
      </c>
      <c r="V83">
        <v>18</v>
      </c>
      <c r="W83" t="s">
        <v>45</v>
      </c>
      <c r="X83">
        <v>6</v>
      </c>
      <c r="Y83">
        <v>3</v>
      </c>
      <c r="Z83" t="s">
        <v>61</v>
      </c>
      <c r="AA83">
        <v>6</v>
      </c>
      <c r="AB83" t="s">
        <v>47</v>
      </c>
      <c r="AC83">
        <v>4</v>
      </c>
      <c r="AD83" t="s">
        <v>48</v>
      </c>
      <c r="AE83">
        <v>0</v>
      </c>
      <c r="AF83" t="s">
        <v>49</v>
      </c>
    </row>
    <row r="84" spans="1:32" x14ac:dyDescent="0.25">
      <c r="A84">
        <v>55</v>
      </c>
      <c r="B84" t="s">
        <v>64</v>
      </c>
      <c r="C84" t="s">
        <v>50</v>
      </c>
      <c r="D84" t="s">
        <v>34</v>
      </c>
      <c r="E84" t="s">
        <v>35</v>
      </c>
      <c r="F84">
        <v>1</v>
      </c>
      <c r="G84" t="s">
        <v>36</v>
      </c>
      <c r="H84">
        <v>1</v>
      </c>
      <c r="I84" t="s">
        <v>37</v>
      </c>
      <c r="J84" t="s">
        <v>54</v>
      </c>
      <c r="K84">
        <v>3</v>
      </c>
      <c r="L84" t="s">
        <v>39</v>
      </c>
      <c r="M84">
        <v>3</v>
      </c>
      <c r="N84" t="s">
        <v>68</v>
      </c>
      <c r="O84" t="s">
        <v>41</v>
      </c>
      <c r="P84">
        <v>4</v>
      </c>
      <c r="Q84" t="s">
        <v>42</v>
      </c>
      <c r="R84" t="s">
        <v>58</v>
      </c>
      <c r="S84">
        <v>3</v>
      </c>
      <c r="T84" t="s">
        <v>44</v>
      </c>
      <c r="U84" t="s">
        <v>59</v>
      </c>
      <c r="V84">
        <v>14</v>
      </c>
      <c r="W84" t="s">
        <v>45</v>
      </c>
      <c r="X84">
        <v>24</v>
      </c>
      <c r="Y84">
        <v>3</v>
      </c>
      <c r="Z84" t="s">
        <v>61</v>
      </c>
      <c r="AA84">
        <v>1</v>
      </c>
      <c r="AB84" t="s">
        <v>48</v>
      </c>
      <c r="AC84">
        <v>0</v>
      </c>
      <c r="AD84" t="s">
        <v>48</v>
      </c>
      <c r="AE84">
        <v>1</v>
      </c>
      <c r="AF84" t="s">
        <v>49</v>
      </c>
    </row>
    <row r="85" spans="1:32" x14ac:dyDescent="0.25">
      <c r="A85">
        <v>38</v>
      </c>
      <c r="B85" t="s">
        <v>32</v>
      </c>
      <c r="C85" t="s">
        <v>50</v>
      </c>
      <c r="D85" t="s">
        <v>34</v>
      </c>
      <c r="E85" t="s">
        <v>52</v>
      </c>
      <c r="F85">
        <v>6</v>
      </c>
      <c r="G85" t="s">
        <v>53</v>
      </c>
      <c r="H85">
        <v>2</v>
      </c>
      <c r="I85" t="s">
        <v>37</v>
      </c>
      <c r="J85" t="s">
        <v>38</v>
      </c>
      <c r="K85">
        <v>1</v>
      </c>
      <c r="L85" t="s">
        <v>55</v>
      </c>
      <c r="M85">
        <v>2</v>
      </c>
      <c r="N85" t="s">
        <v>40</v>
      </c>
      <c r="O85" t="s">
        <v>56</v>
      </c>
      <c r="P85">
        <v>4</v>
      </c>
      <c r="Q85" t="s">
        <v>42</v>
      </c>
      <c r="R85" t="s">
        <v>67</v>
      </c>
      <c r="S85">
        <v>7</v>
      </c>
      <c r="T85" t="s">
        <v>44</v>
      </c>
      <c r="U85" t="s">
        <v>44</v>
      </c>
      <c r="V85">
        <v>12</v>
      </c>
      <c r="W85" t="s">
        <v>45</v>
      </c>
      <c r="X85">
        <v>17</v>
      </c>
      <c r="Y85">
        <v>3</v>
      </c>
      <c r="Z85" t="s">
        <v>61</v>
      </c>
      <c r="AA85">
        <v>13</v>
      </c>
      <c r="AB85" t="s">
        <v>74</v>
      </c>
      <c r="AC85">
        <v>11</v>
      </c>
      <c r="AD85" t="s">
        <v>74</v>
      </c>
      <c r="AE85">
        <v>1</v>
      </c>
      <c r="AF85" t="s">
        <v>49</v>
      </c>
    </row>
    <row r="86" spans="1:32" x14ac:dyDescent="0.25">
      <c r="A86">
        <v>34</v>
      </c>
      <c r="B86" t="s">
        <v>32</v>
      </c>
      <c r="C86" t="s">
        <v>50</v>
      </c>
      <c r="D86" t="s">
        <v>34</v>
      </c>
      <c r="E86" t="s">
        <v>52</v>
      </c>
      <c r="F86">
        <v>1</v>
      </c>
      <c r="G86" t="s">
        <v>36</v>
      </c>
      <c r="H86">
        <v>1</v>
      </c>
      <c r="I86" t="s">
        <v>37</v>
      </c>
      <c r="J86" t="s">
        <v>54</v>
      </c>
      <c r="K86">
        <v>3</v>
      </c>
      <c r="L86" t="s">
        <v>39</v>
      </c>
      <c r="M86">
        <v>2</v>
      </c>
      <c r="N86" t="s">
        <v>40</v>
      </c>
      <c r="O86" t="s">
        <v>69</v>
      </c>
      <c r="P86">
        <v>2</v>
      </c>
      <c r="Q86" t="s">
        <v>57</v>
      </c>
      <c r="R86" t="s">
        <v>58</v>
      </c>
      <c r="S86">
        <v>1</v>
      </c>
      <c r="T86" t="s">
        <v>44</v>
      </c>
      <c r="U86" t="s">
        <v>59</v>
      </c>
      <c r="V86">
        <v>15</v>
      </c>
      <c r="W86" t="s">
        <v>45</v>
      </c>
      <c r="X86">
        <v>5</v>
      </c>
      <c r="Y86">
        <v>3</v>
      </c>
      <c r="Z86" t="s">
        <v>61</v>
      </c>
      <c r="AA86">
        <v>5</v>
      </c>
      <c r="AB86" t="s">
        <v>47</v>
      </c>
      <c r="AC86">
        <v>2</v>
      </c>
      <c r="AD86" t="s">
        <v>48</v>
      </c>
      <c r="AE86">
        <v>1</v>
      </c>
      <c r="AF86" t="s">
        <v>49</v>
      </c>
    </row>
    <row r="87" spans="1:32" x14ac:dyDescent="0.25">
      <c r="A87">
        <v>56</v>
      </c>
      <c r="B87" t="s">
        <v>64</v>
      </c>
      <c r="C87" t="s">
        <v>50</v>
      </c>
      <c r="D87" t="s">
        <v>34</v>
      </c>
      <c r="E87" t="s">
        <v>52</v>
      </c>
      <c r="F87">
        <v>7</v>
      </c>
      <c r="G87" t="s">
        <v>53</v>
      </c>
      <c r="H87">
        <v>4</v>
      </c>
      <c r="I87" t="s">
        <v>42</v>
      </c>
      <c r="J87" t="s">
        <v>54</v>
      </c>
      <c r="K87">
        <v>1</v>
      </c>
      <c r="L87" t="s">
        <v>55</v>
      </c>
      <c r="M87">
        <v>3</v>
      </c>
      <c r="N87" t="s">
        <v>68</v>
      </c>
      <c r="O87" t="s">
        <v>69</v>
      </c>
      <c r="P87">
        <v>4</v>
      </c>
      <c r="Q87" t="s">
        <v>42</v>
      </c>
      <c r="R87" t="s">
        <v>43</v>
      </c>
      <c r="S87">
        <v>4</v>
      </c>
      <c r="T87" t="s">
        <v>44</v>
      </c>
      <c r="U87" t="s">
        <v>59</v>
      </c>
      <c r="V87">
        <v>11</v>
      </c>
      <c r="W87" t="s">
        <v>45</v>
      </c>
      <c r="X87">
        <v>37</v>
      </c>
      <c r="Y87">
        <v>2</v>
      </c>
      <c r="Z87" t="s">
        <v>46</v>
      </c>
      <c r="AA87">
        <v>6</v>
      </c>
      <c r="AB87" t="s">
        <v>47</v>
      </c>
      <c r="AC87">
        <v>4</v>
      </c>
      <c r="AD87" t="s">
        <v>48</v>
      </c>
      <c r="AE87">
        <v>0</v>
      </c>
      <c r="AF87" t="s">
        <v>49</v>
      </c>
    </row>
    <row r="88" spans="1:32" x14ac:dyDescent="0.25">
      <c r="A88">
        <v>23</v>
      </c>
      <c r="B88" t="s">
        <v>63</v>
      </c>
      <c r="C88" t="s">
        <v>50</v>
      </c>
      <c r="D88" t="s">
        <v>34</v>
      </c>
      <c r="E88" t="s">
        <v>35</v>
      </c>
      <c r="F88">
        <v>2</v>
      </c>
      <c r="G88" t="s">
        <v>36</v>
      </c>
      <c r="H88">
        <v>3</v>
      </c>
      <c r="I88" t="s">
        <v>42</v>
      </c>
      <c r="J88" t="s">
        <v>54</v>
      </c>
      <c r="K88">
        <v>3</v>
      </c>
      <c r="L88" t="s">
        <v>39</v>
      </c>
      <c r="M88">
        <v>1</v>
      </c>
      <c r="N88" t="s">
        <v>40</v>
      </c>
      <c r="O88" t="s">
        <v>75</v>
      </c>
      <c r="P88">
        <v>1</v>
      </c>
      <c r="Q88" t="s">
        <v>57</v>
      </c>
      <c r="R88" t="s">
        <v>67</v>
      </c>
      <c r="S88">
        <v>3</v>
      </c>
      <c r="T88" t="s">
        <v>44</v>
      </c>
      <c r="U88" t="s">
        <v>59</v>
      </c>
      <c r="V88">
        <v>13</v>
      </c>
      <c r="W88" t="s">
        <v>45</v>
      </c>
      <c r="X88">
        <v>3</v>
      </c>
      <c r="Y88">
        <v>3</v>
      </c>
      <c r="Z88" t="s">
        <v>61</v>
      </c>
      <c r="AA88">
        <v>0</v>
      </c>
      <c r="AB88" t="s">
        <v>48</v>
      </c>
      <c r="AC88">
        <v>0</v>
      </c>
      <c r="AD88" t="s">
        <v>48</v>
      </c>
      <c r="AE88">
        <v>0</v>
      </c>
      <c r="AF88" t="s">
        <v>49</v>
      </c>
    </row>
    <row r="89" spans="1:32" x14ac:dyDescent="0.25">
      <c r="A89">
        <v>51</v>
      </c>
      <c r="B89" t="s">
        <v>64</v>
      </c>
      <c r="C89" t="s">
        <v>50</v>
      </c>
      <c r="D89" t="s">
        <v>34</v>
      </c>
      <c r="E89" t="s">
        <v>52</v>
      </c>
      <c r="F89">
        <v>9</v>
      </c>
      <c r="G89" t="s">
        <v>53</v>
      </c>
      <c r="H89">
        <v>4</v>
      </c>
      <c r="I89" t="s">
        <v>42</v>
      </c>
      <c r="J89" t="s">
        <v>54</v>
      </c>
      <c r="K89">
        <v>3</v>
      </c>
      <c r="L89" t="s">
        <v>39</v>
      </c>
      <c r="M89">
        <v>1</v>
      </c>
      <c r="N89" t="s">
        <v>40</v>
      </c>
      <c r="O89" t="s">
        <v>62</v>
      </c>
      <c r="P89">
        <v>4</v>
      </c>
      <c r="Q89" t="s">
        <v>42</v>
      </c>
      <c r="R89" t="s">
        <v>58</v>
      </c>
      <c r="S89">
        <v>3</v>
      </c>
      <c r="T89" t="s">
        <v>44</v>
      </c>
      <c r="U89" t="s">
        <v>59</v>
      </c>
      <c r="V89">
        <v>23</v>
      </c>
      <c r="W89" t="s">
        <v>60</v>
      </c>
      <c r="X89">
        <v>10</v>
      </c>
      <c r="Y89">
        <v>3</v>
      </c>
      <c r="Z89" t="s">
        <v>61</v>
      </c>
      <c r="AA89">
        <v>4</v>
      </c>
      <c r="AB89" t="s">
        <v>48</v>
      </c>
      <c r="AC89">
        <v>2</v>
      </c>
      <c r="AD89" t="s">
        <v>48</v>
      </c>
      <c r="AE89">
        <v>0</v>
      </c>
      <c r="AF89" t="s">
        <v>49</v>
      </c>
    </row>
    <row r="90" spans="1:32" x14ac:dyDescent="0.25">
      <c r="A90">
        <v>30</v>
      </c>
      <c r="B90" t="s">
        <v>32</v>
      </c>
      <c r="C90" t="s">
        <v>50</v>
      </c>
      <c r="D90" t="s">
        <v>34</v>
      </c>
      <c r="E90" t="s">
        <v>52</v>
      </c>
      <c r="F90">
        <v>2</v>
      </c>
      <c r="G90" t="s">
        <v>36</v>
      </c>
      <c r="H90">
        <v>3</v>
      </c>
      <c r="I90" t="s">
        <v>42</v>
      </c>
      <c r="J90" t="s">
        <v>54</v>
      </c>
      <c r="K90">
        <v>2</v>
      </c>
      <c r="L90" t="s">
        <v>55</v>
      </c>
      <c r="M90">
        <v>2</v>
      </c>
      <c r="N90" t="s">
        <v>40</v>
      </c>
      <c r="O90" t="s">
        <v>70</v>
      </c>
      <c r="P90">
        <v>4</v>
      </c>
      <c r="Q90" t="s">
        <v>42</v>
      </c>
      <c r="R90" t="s">
        <v>58</v>
      </c>
      <c r="S90">
        <v>1</v>
      </c>
      <c r="T90" t="s">
        <v>44</v>
      </c>
      <c r="U90" t="s">
        <v>59</v>
      </c>
      <c r="V90">
        <v>19</v>
      </c>
      <c r="W90" t="s">
        <v>45</v>
      </c>
      <c r="X90">
        <v>11</v>
      </c>
      <c r="Y90">
        <v>3</v>
      </c>
      <c r="Z90" t="s">
        <v>61</v>
      </c>
      <c r="AA90">
        <v>11</v>
      </c>
      <c r="AB90" t="s">
        <v>74</v>
      </c>
      <c r="AC90">
        <v>10</v>
      </c>
      <c r="AD90" t="s">
        <v>47</v>
      </c>
      <c r="AE90">
        <v>10</v>
      </c>
      <c r="AF90" t="s">
        <v>71</v>
      </c>
    </row>
    <row r="91" spans="1:32" x14ac:dyDescent="0.25">
      <c r="A91">
        <v>46</v>
      </c>
      <c r="B91" t="s">
        <v>32</v>
      </c>
      <c r="C91" t="s">
        <v>33</v>
      </c>
      <c r="D91" t="s">
        <v>34</v>
      </c>
      <c r="E91" t="s">
        <v>35</v>
      </c>
      <c r="F91">
        <v>9</v>
      </c>
      <c r="G91" t="s">
        <v>53</v>
      </c>
      <c r="H91">
        <v>3</v>
      </c>
      <c r="I91" t="s">
        <v>42</v>
      </c>
      <c r="J91" t="s">
        <v>54</v>
      </c>
      <c r="K91">
        <v>2</v>
      </c>
      <c r="L91" t="s">
        <v>55</v>
      </c>
      <c r="M91">
        <v>3</v>
      </c>
      <c r="N91" t="s">
        <v>68</v>
      </c>
      <c r="O91" t="s">
        <v>41</v>
      </c>
      <c r="P91">
        <v>4</v>
      </c>
      <c r="Q91" t="s">
        <v>42</v>
      </c>
      <c r="R91" t="s">
        <v>43</v>
      </c>
      <c r="S91">
        <v>1</v>
      </c>
      <c r="T91" t="s">
        <v>44</v>
      </c>
      <c r="U91" t="s">
        <v>59</v>
      </c>
      <c r="V91">
        <v>16</v>
      </c>
      <c r="W91" t="s">
        <v>45</v>
      </c>
      <c r="X91">
        <v>9</v>
      </c>
      <c r="Y91">
        <v>3</v>
      </c>
      <c r="Z91" t="s">
        <v>61</v>
      </c>
      <c r="AA91">
        <v>9</v>
      </c>
      <c r="AB91" t="s">
        <v>47</v>
      </c>
      <c r="AC91">
        <v>8</v>
      </c>
      <c r="AD91" t="s">
        <v>47</v>
      </c>
      <c r="AE91">
        <v>4</v>
      </c>
      <c r="AF91" t="s">
        <v>71</v>
      </c>
    </row>
    <row r="92" spans="1:32" x14ac:dyDescent="0.25">
      <c r="A92">
        <v>40</v>
      </c>
      <c r="B92" t="s">
        <v>32</v>
      </c>
      <c r="C92" t="s">
        <v>50</v>
      </c>
      <c r="D92" t="s">
        <v>51</v>
      </c>
      <c r="E92" t="s">
        <v>52</v>
      </c>
      <c r="F92">
        <v>1</v>
      </c>
      <c r="G92" t="s">
        <v>36</v>
      </c>
      <c r="H92">
        <v>3</v>
      </c>
      <c r="I92" t="s">
        <v>42</v>
      </c>
      <c r="J92" t="s">
        <v>54</v>
      </c>
      <c r="K92">
        <v>2</v>
      </c>
      <c r="L92" t="s">
        <v>55</v>
      </c>
      <c r="M92">
        <v>4</v>
      </c>
      <c r="N92" t="s">
        <v>72</v>
      </c>
      <c r="O92" t="s">
        <v>70</v>
      </c>
      <c r="P92">
        <v>2</v>
      </c>
      <c r="Q92" t="s">
        <v>57</v>
      </c>
      <c r="R92" t="s">
        <v>58</v>
      </c>
      <c r="S92">
        <v>1</v>
      </c>
      <c r="T92" t="s">
        <v>44</v>
      </c>
      <c r="U92" t="s">
        <v>59</v>
      </c>
      <c r="V92">
        <v>22</v>
      </c>
      <c r="W92" t="s">
        <v>60</v>
      </c>
      <c r="X92">
        <v>22</v>
      </c>
      <c r="Y92">
        <v>2</v>
      </c>
      <c r="Z92" t="s">
        <v>46</v>
      </c>
      <c r="AA92">
        <v>22</v>
      </c>
      <c r="AB92" t="s">
        <v>74</v>
      </c>
      <c r="AC92">
        <v>3</v>
      </c>
      <c r="AD92" t="s">
        <v>48</v>
      </c>
      <c r="AE92">
        <v>11</v>
      </c>
      <c r="AF92" t="s">
        <v>71</v>
      </c>
    </row>
    <row r="93" spans="1:32" x14ac:dyDescent="0.25">
      <c r="A93">
        <v>51</v>
      </c>
      <c r="B93" t="s">
        <v>64</v>
      </c>
      <c r="C93" t="s">
        <v>50</v>
      </c>
      <c r="D93" t="s">
        <v>34</v>
      </c>
      <c r="E93" t="s">
        <v>35</v>
      </c>
      <c r="F93">
        <v>21</v>
      </c>
      <c r="G93" t="s">
        <v>66</v>
      </c>
      <c r="H93">
        <v>3</v>
      </c>
      <c r="I93" t="s">
        <v>42</v>
      </c>
      <c r="J93" t="s">
        <v>54</v>
      </c>
      <c r="K93">
        <v>3</v>
      </c>
      <c r="L93" t="s">
        <v>39</v>
      </c>
      <c r="M93">
        <v>2</v>
      </c>
      <c r="N93" t="s">
        <v>40</v>
      </c>
      <c r="O93" t="s">
        <v>41</v>
      </c>
      <c r="P93">
        <v>4</v>
      </c>
      <c r="Q93" t="s">
        <v>42</v>
      </c>
      <c r="R93" t="s">
        <v>43</v>
      </c>
      <c r="S93">
        <v>0</v>
      </c>
      <c r="T93" t="s">
        <v>44</v>
      </c>
      <c r="U93" t="s">
        <v>44</v>
      </c>
      <c r="V93">
        <v>22</v>
      </c>
      <c r="W93" t="s">
        <v>60</v>
      </c>
      <c r="X93">
        <v>11</v>
      </c>
      <c r="Y93">
        <v>1</v>
      </c>
      <c r="Z93" t="s">
        <v>46</v>
      </c>
      <c r="AA93">
        <v>10</v>
      </c>
      <c r="AB93" t="s">
        <v>47</v>
      </c>
      <c r="AC93">
        <v>7</v>
      </c>
      <c r="AD93" t="s">
        <v>47</v>
      </c>
      <c r="AE93">
        <v>1</v>
      </c>
      <c r="AF93" t="s">
        <v>49</v>
      </c>
    </row>
    <row r="94" spans="1:32" x14ac:dyDescent="0.25">
      <c r="A94">
        <v>30</v>
      </c>
      <c r="B94" t="s">
        <v>32</v>
      </c>
      <c r="C94" t="s">
        <v>50</v>
      </c>
      <c r="D94" t="s">
        <v>34</v>
      </c>
      <c r="E94" t="s">
        <v>35</v>
      </c>
      <c r="F94">
        <v>4</v>
      </c>
      <c r="G94" t="s">
        <v>36</v>
      </c>
      <c r="H94">
        <v>3</v>
      </c>
      <c r="I94" t="s">
        <v>42</v>
      </c>
      <c r="J94" t="s">
        <v>38</v>
      </c>
      <c r="K94">
        <v>2</v>
      </c>
      <c r="L94" t="s">
        <v>55</v>
      </c>
      <c r="M94">
        <v>2</v>
      </c>
      <c r="N94" t="s">
        <v>40</v>
      </c>
      <c r="O94" t="s">
        <v>41</v>
      </c>
      <c r="P94">
        <v>2</v>
      </c>
      <c r="Q94" t="s">
        <v>57</v>
      </c>
      <c r="R94" t="s">
        <v>67</v>
      </c>
      <c r="S94">
        <v>1</v>
      </c>
      <c r="T94" t="s">
        <v>44</v>
      </c>
      <c r="U94" t="s">
        <v>44</v>
      </c>
      <c r="V94">
        <v>12</v>
      </c>
      <c r="W94" t="s">
        <v>45</v>
      </c>
      <c r="X94">
        <v>11</v>
      </c>
      <c r="Y94">
        <v>2</v>
      </c>
      <c r="Z94" t="s">
        <v>46</v>
      </c>
      <c r="AA94">
        <v>11</v>
      </c>
      <c r="AB94" t="s">
        <v>74</v>
      </c>
      <c r="AC94">
        <v>8</v>
      </c>
      <c r="AD94" t="s">
        <v>47</v>
      </c>
      <c r="AE94">
        <v>2</v>
      </c>
      <c r="AF94" t="s">
        <v>49</v>
      </c>
    </row>
    <row r="95" spans="1:32" x14ac:dyDescent="0.25">
      <c r="A95">
        <v>46</v>
      </c>
      <c r="B95" t="s">
        <v>32</v>
      </c>
      <c r="C95" t="s">
        <v>50</v>
      </c>
      <c r="D95" t="s">
        <v>51</v>
      </c>
      <c r="E95" t="s">
        <v>52</v>
      </c>
      <c r="F95">
        <v>1</v>
      </c>
      <c r="G95" t="s">
        <v>36</v>
      </c>
      <c r="H95">
        <v>3</v>
      </c>
      <c r="I95" t="s">
        <v>42</v>
      </c>
      <c r="J95" t="s">
        <v>54</v>
      </c>
      <c r="K95">
        <v>2</v>
      </c>
      <c r="L95" t="s">
        <v>55</v>
      </c>
      <c r="M95">
        <v>3</v>
      </c>
      <c r="N95" t="s">
        <v>68</v>
      </c>
      <c r="O95" t="s">
        <v>70</v>
      </c>
      <c r="P95">
        <v>1</v>
      </c>
      <c r="Q95" t="s">
        <v>57</v>
      </c>
      <c r="R95" t="s">
        <v>58</v>
      </c>
      <c r="S95">
        <v>2</v>
      </c>
      <c r="T95" t="s">
        <v>44</v>
      </c>
      <c r="U95" t="s">
        <v>44</v>
      </c>
      <c r="V95">
        <v>13</v>
      </c>
      <c r="W95" t="s">
        <v>45</v>
      </c>
      <c r="X95">
        <v>21</v>
      </c>
      <c r="Y95">
        <v>2</v>
      </c>
      <c r="Z95" t="s">
        <v>46</v>
      </c>
      <c r="AA95">
        <v>10</v>
      </c>
      <c r="AB95" t="s">
        <v>47</v>
      </c>
      <c r="AC95">
        <v>9</v>
      </c>
      <c r="AD95" t="s">
        <v>47</v>
      </c>
      <c r="AE95">
        <v>9</v>
      </c>
      <c r="AF95" t="s">
        <v>71</v>
      </c>
    </row>
    <row r="96" spans="1:32" x14ac:dyDescent="0.25">
      <c r="A96">
        <v>32</v>
      </c>
      <c r="B96" t="s">
        <v>32</v>
      </c>
      <c r="C96" t="s">
        <v>50</v>
      </c>
      <c r="D96" t="s">
        <v>34</v>
      </c>
      <c r="E96" t="s">
        <v>35</v>
      </c>
      <c r="F96">
        <v>6</v>
      </c>
      <c r="G96" t="s">
        <v>53</v>
      </c>
      <c r="H96">
        <v>2</v>
      </c>
      <c r="I96" t="s">
        <v>37</v>
      </c>
      <c r="J96" t="s">
        <v>54</v>
      </c>
      <c r="K96">
        <v>3</v>
      </c>
      <c r="L96" t="s">
        <v>39</v>
      </c>
      <c r="M96">
        <v>2</v>
      </c>
      <c r="N96" t="s">
        <v>40</v>
      </c>
      <c r="O96" t="s">
        <v>41</v>
      </c>
      <c r="P96">
        <v>3</v>
      </c>
      <c r="Q96" t="s">
        <v>42</v>
      </c>
      <c r="R96" t="s">
        <v>43</v>
      </c>
      <c r="S96">
        <v>1</v>
      </c>
      <c r="T96" t="s">
        <v>44</v>
      </c>
      <c r="U96" t="s">
        <v>59</v>
      </c>
      <c r="V96">
        <v>16</v>
      </c>
      <c r="W96" t="s">
        <v>45</v>
      </c>
      <c r="X96">
        <v>12</v>
      </c>
      <c r="Y96">
        <v>3</v>
      </c>
      <c r="Z96" t="s">
        <v>61</v>
      </c>
      <c r="AA96">
        <v>11</v>
      </c>
      <c r="AB96" t="s">
        <v>74</v>
      </c>
      <c r="AC96">
        <v>8</v>
      </c>
      <c r="AD96" t="s">
        <v>47</v>
      </c>
      <c r="AE96">
        <v>5</v>
      </c>
      <c r="AF96" t="s">
        <v>71</v>
      </c>
    </row>
    <row r="97" spans="1:32" x14ac:dyDescent="0.25">
      <c r="A97">
        <v>54</v>
      </c>
      <c r="B97" t="s">
        <v>64</v>
      </c>
      <c r="C97" t="s">
        <v>50</v>
      </c>
      <c r="D97" t="s">
        <v>34</v>
      </c>
      <c r="E97" t="s">
        <v>52</v>
      </c>
      <c r="F97">
        <v>2</v>
      </c>
      <c r="G97" t="s">
        <v>36</v>
      </c>
      <c r="H97">
        <v>1</v>
      </c>
      <c r="I97" t="s">
        <v>37</v>
      </c>
      <c r="J97" t="s">
        <v>38</v>
      </c>
      <c r="K97">
        <v>3</v>
      </c>
      <c r="L97" t="s">
        <v>39</v>
      </c>
      <c r="M97">
        <v>3</v>
      </c>
      <c r="N97" t="s">
        <v>68</v>
      </c>
      <c r="O97" t="s">
        <v>76</v>
      </c>
      <c r="P97">
        <v>3</v>
      </c>
      <c r="Q97" t="s">
        <v>42</v>
      </c>
      <c r="R97" t="s">
        <v>58</v>
      </c>
      <c r="S97">
        <v>9</v>
      </c>
      <c r="T97" t="s">
        <v>44</v>
      </c>
      <c r="U97" t="s">
        <v>59</v>
      </c>
      <c r="V97">
        <v>12</v>
      </c>
      <c r="W97" t="s">
        <v>45</v>
      </c>
      <c r="X97">
        <v>16</v>
      </c>
      <c r="Y97">
        <v>1</v>
      </c>
      <c r="Z97" t="s">
        <v>46</v>
      </c>
      <c r="AA97">
        <v>4</v>
      </c>
      <c r="AB97" t="s">
        <v>48</v>
      </c>
      <c r="AC97">
        <v>3</v>
      </c>
      <c r="AD97" t="s">
        <v>48</v>
      </c>
      <c r="AE97">
        <v>0</v>
      </c>
      <c r="AF97" t="s">
        <v>49</v>
      </c>
    </row>
    <row r="98" spans="1:32" x14ac:dyDescent="0.25">
      <c r="A98">
        <v>24</v>
      </c>
      <c r="B98" t="s">
        <v>63</v>
      </c>
      <c r="C98" t="s">
        <v>50</v>
      </c>
      <c r="D98" t="s">
        <v>34</v>
      </c>
      <c r="E98" t="s">
        <v>35</v>
      </c>
      <c r="F98">
        <v>3</v>
      </c>
      <c r="G98" t="s">
        <v>36</v>
      </c>
      <c r="H98">
        <v>1</v>
      </c>
      <c r="I98" t="s">
        <v>37</v>
      </c>
      <c r="J98" t="s">
        <v>38</v>
      </c>
      <c r="K98">
        <v>3</v>
      </c>
      <c r="L98" t="s">
        <v>39</v>
      </c>
      <c r="M98">
        <v>2</v>
      </c>
      <c r="N98" t="s">
        <v>40</v>
      </c>
      <c r="O98" t="s">
        <v>41</v>
      </c>
      <c r="P98">
        <v>3</v>
      </c>
      <c r="Q98" t="s">
        <v>42</v>
      </c>
      <c r="R98" t="s">
        <v>58</v>
      </c>
      <c r="S98">
        <v>0</v>
      </c>
      <c r="T98" t="s">
        <v>44</v>
      </c>
      <c r="U98" t="s">
        <v>59</v>
      </c>
      <c r="V98">
        <v>21</v>
      </c>
      <c r="W98" t="s">
        <v>60</v>
      </c>
      <c r="X98">
        <v>4</v>
      </c>
      <c r="Y98">
        <v>2</v>
      </c>
      <c r="Z98" t="s">
        <v>46</v>
      </c>
      <c r="AA98">
        <v>3</v>
      </c>
      <c r="AB98" t="s">
        <v>48</v>
      </c>
      <c r="AC98">
        <v>2</v>
      </c>
      <c r="AD98" t="s">
        <v>48</v>
      </c>
      <c r="AE98">
        <v>0</v>
      </c>
      <c r="AF98" t="s">
        <v>49</v>
      </c>
    </row>
    <row r="99" spans="1:32" x14ac:dyDescent="0.25">
      <c r="A99">
        <v>28</v>
      </c>
      <c r="B99" t="s">
        <v>63</v>
      </c>
      <c r="C99" t="s">
        <v>50</v>
      </c>
      <c r="D99" t="s">
        <v>34</v>
      </c>
      <c r="E99" t="s">
        <v>35</v>
      </c>
      <c r="F99">
        <v>4</v>
      </c>
      <c r="G99" t="s">
        <v>36</v>
      </c>
      <c r="H99">
        <v>2</v>
      </c>
      <c r="I99" t="s">
        <v>37</v>
      </c>
      <c r="J99" t="s">
        <v>54</v>
      </c>
      <c r="K99">
        <v>3</v>
      </c>
      <c r="L99" t="s">
        <v>39</v>
      </c>
      <c r="M99">
        <v>2</v>
      </c>
      <c r="N99" t="s">
        <v>40</v>
      </c>
      <c r="O99" t="s">
        <v>41</v>
      </c>
      <c r="P99">
        <v>3</v>
      </c>
      <c r="Q99" t="s">
        <v>42</v>
      </c>
      <c r="R99" t="s">
        <v>58</v>
      </c>
      <c r="S99">
        <v>1</v>
      </c>
      <c r="T99" t="s">
        <v>44</v>
      </c>
      <c r="U99" t="s">
        <v>59</v>
      </c>
      <c r="V99">
        <v>15</v>
      </c>
      <c r="W99" t="s">
        <v>45</v>
      </c>
      <c r="X99">
        <v>5</v>
      </c>
      <c r="Y99">
        <v>4</v>
      </c>
      <c r="Z99" t="s">
        <v>61</v>
      </c>
      <c r="AA99">
        <v>5</v>
      </c>
      <c r="AB99" t="s">
        <v>47</v>
      </c>
      <c r="AC99">
        <v>4</v>
      </c>
      <c r="AD99" t="s">
        <v>48</v>
      </c>
      <c r="AE99">
        <v>0</v>
      </c>
      <c r="AF99" t="s">
        <v>49</v>
      </c>
    </row>
    <row r="100" spans="1:32" x14ac:dyDescent="0.25">
      <c r="A100">
        <v>58</v>
      </c>
      <c r="B100" t="s">
        <v>64</v>
      </c>
      <c r="C100" t="s">
        <v>50</v>
      </c>
      <c r="D100" t="s">
        <v>34</v>
      </c>
      <c r="E100" t="s">
        <v>35</v>
      </c>
      <c r="F100">
        <v>10</v>
      </c>
      <c r="G100" t="s">
        <v>53</v>
      </c>
      <c r="H100">
        <v>4</v>
      </c>
      <c r="I100" t="s">
        <v>42</v>
      </c>
      <c r="J100" t="s">
        <v>54</v>
      </c>
      <c r="K100">
        <v>3</v>
      </c>
      <c r="L100" t="s">
        <v>39</v>
      </c>
      <c r="M100">
        <v>4</v>
      </c>
      <c r="N100" t="s">
        <v>72</v>
      </c>
      <c r="O100" t="s">
        <v>41</v>
      </c>
      <c r="P100">
        <v>3</v>
      </c>
      <c r="Q100" t="s">
        <v>42</v>
      </c>
      <c r="R100" t="s">
        <v>43</v>
      </c>
      <c r="S100">
        <v>0</v>
      </c>
      <c r="T100" t="s">
        <v>44</v>
      </c>
      <c r="U100" t="s">
        <v>59</v>
      </c>
      <c r="V100">
        <v>13</v>
      </c>
      <c r="W100" t="s">
        <v>45</v>
      </c>
      <c r="X100">
        <v>38</v>
      </c>
      <c r="Y100">
        <v>2</v>
      </c>
      <c r="Z100" t="s">
        <v>46</v>
      </c>
      <c r="AA100">
        <v>37</v>
      </c>
      <c r="AB100" t="s">
        <v>74</v>
      </c>
      <c r="AC100">
        <v>10</v>
      </c>
      <c r="AD100" t="s">
        <v>47</v>
      </c>
      <c r="AE100">
        <v>1</v>
      </c>
      <c r="AF100" t="s">
        <v>49</v>
      </c>
    </row>
    <row r="101" spans="1:32" x14ac:dyDescent="0.25">
      <c r="A101">
        <v>44</v>
      </c>
      <c r="B101" t="s">
        <v>32</v>
      </c>
      <c r="C101" t="s">
        <v>50</v>
      </c>
      <c r="D101" t="s">
        <v>34</v>
      </c>
      <c r="E101" t="s">
        <v>52</v>
      </c>
      <c r="F101">
        <v>23</v>
      </c>
      <c r="G101" t="s">
        <v>66</v>
      </c>
      <c r="H101">
        <v>2</v>
      </c>
      <c r="I101" t="s">
        <v>37</v>
      </c>
      <c r="J101" t="s">
        <v>54</v>
      </c>
      <c r="K101">
        <v>3</v>
      </c>
      <c r="L101" t="s">
        <v>39</v>
      </c>
      <c r="M101">
        <v>2</v>
      </c>
      <c r="N101" t="s">
        <v>40</v>
      </c>
      <c r="O101" t="s">
        <v>62</v>
      </c>
      <c r="P101">
        <v>2</v>
      </c>
      <c r="Q101" t="s">
        <v>57</v>
      </c>
      <c r="R101" t="s">
        <v>58</v>
      </c>
      <c r="S101">
        <v>4</v>
      </c>
      <c r="T101" t="s">
        <v>44</v>
      </c>
      <c r="U101" t="s">
        <v>59</v>
      </c>
      <c r="V101">
        <v>12</v>
      </c>
      <c r="W101" t="s">
        <v>45</v>
      </c>
      <c r="X101">
        <v>17</v>
      </c>
      <c r="Y101">
        <v>4</v>
      </c>
      <c r="Z101" t="s">
        <v>61</v>
      </c>
      <c r="AA101">
        <v>3</v>
      </c>
      <c r="AB101" t="s">
        <v>48</v>
      </c>
      <c r="AC101">
        <v>2</v>
      </c>
      <c r="AD101" t="s">
        <v>48</v>
      </c>
      <c r="AE101">
        <v>1</v>
      </c>
      <c r="AF101" t="s">
        <v>49</v>
      </c>
    </row>
    <row r="102" spans="1:32" x14ac:dyDescent="0.25">
      <c r="A102">
        <v>37</v>
      </c>
      <c r="B102" t="s">
        <v>32</v>
      </c>
      <c r="C102" t="s">
        <v>33</v>
      </c>
      <c r="D102" t="s">
        <v>34</v>
      </c>
      <c r="E102" t="s">
        <v>77</v>
      </c>
      <c r="F102">
        <v>6</v>
      </c>
      <c r="G102" t="s">
        <v>53</v>
      </c>
      <c r="H102">
        <v>3</v>
      </c>
      <c r="I102" t="s">
        <v>42</v>
      </c>
      <c r="J102" t="s">
        <v>54</v>
      </c>
      <c r="K102">
        <v>3</v>
      </c>
      <c r="L102" t="s">
        <v>39</v>
      </c>
      <c r="M102">
        <v>1</v>
      </c>
      <c r="N102" t="s">
        <v>40</v>
      </c>
      <c r="O102" t="s">
        <v>77</v>
      </c>
      <c r="P102">
        <v>1</v>
      </c>
      <c r="Q102" t="s">
        <v>57</v>
      </c>
      <c r="R102" t="s">
        <v>67</v>
      </c>
      <c r="S102">
        <v>4</v>
      </c>
      <c r="T102" t="s">
        <v>44</v>
      </c>
      <c r="U102" t="s">
        <v>44</v>
      </c>
      <c r="V102">
        <v>22</v>
      </c>
      <c r="W102" t="s">
        <v>60</v>
      </c>
      <c r="X102">
        <v>7</v>
      </c>
      <c r="Y102">
        <v>3</v>
      </c>
      <c r="Z102" t="s">
        <v>61</v>
      </c>
      <c r="AA102">
        <v>3</v>
      </c>
      <c r="AB102" t="s">
        <v>48</v>
      </c>
      <c r="AC102">
        <v>2</v>
      </c>
      <c r="AD102" t="s">
        <v>48</v>
      </c>
      <c r="AE102">
        <v>0</v>
      </c>
      <c r="AF102" t="s">
        <v>49</v>
      </c>
    </row>
    <row r="103" spans="1:32" x14ac:dyDescent="0.25">
      <c r="A103">
        <v>32</v>
      </c>
      <c r="B103" t="s">
        <v>32</v>
      </c>
      <c r="C103" t="s">
        <v>50</v>
      </c>
      <c r="D103" t="s">
        <v>34</v>
      </c>
      <c r="E103" t="s">
        <v>52</v>
      </c>
      <c r="F103">
        <v>1</v>
      </c>
      <c r="G103" t="s">
        <v>36</v>
      </c>
      <c r="H103">
        <v>4</v>
      </c>
      <c r="I103" t="s">
        <v>42</v>
      </c>
      <c r="J103" t="s">
        <v>54</v>
      </c>
      <c r="K103">
        <v>3</v>
      </c>
      <c r="L103" t="s">
        <v>39</v>
      </c>
      <c r="M103">
        <v>1</v>
      </c>
      <c r="N103" t="s">
        <v>40</v>
      </c>
      <c r="O103" t="s">
        <v>56</v>
      </c>
      <c r="P103">
        <v>1</v>
      </c>
      <c r="Q103" t="s">
        <v>57</v>
      </c>
      <c r="R103" t="s">
        <v>43</v>
      </c>
      <c r="S103">
        <v>1</v>
      </c>
      <c r="T103" t="s">
        <v>44</v>
      </c>
      <c r="U103" t="s">
        <v>59</v>
      </c>
      <c r="V103">
        <v>13</v>
      </c>
      <c r="W103" t="s">
        <v>45</v>
      </c>
      <c r="X103">
        <v>1</v>
      </c>
      <c r="Y103">
        <v>3</v>
      </c>
      <c r="Z103" t="s">
        <v>61</v>
      </c>
      <c r="AA103">
        <v>1</v>
      </c>
      <c r="AB103" t="s">
        <v>48</v>
      </c>
      <c r="AC103">
        <v>0</v>
      </c>
      <c r="AD103" t="s">
        <v>48</v>
      </c>
      <c r="AE103">
        <v>0</v>
      </c>
      <c r="AF103" t="s">
        <v>49</v>
      </c>
    </row>
    <row r="104" spans="1:32" x14ac:dyDescent="0.25">
      <c r="A104">
        <v>20</v>
      </c>
      <c r="B104" t="s">
        <v>63</v>
      </c>
      <c r="C104" t="s">
        <v>33</v>
      </c>
      <c r="D104" t="s">
        <v>51</v>
      </c>
      <c r="E104" t="s">
        <v>52</v>
      </c>
      <c r="F104">
        <v>6</v>
      </c>
      <c r="G104" t="s">
        <v>53</v>
      </c>
      <c r="H104">
        <v>4</v>
      </c>
      <c r="I104" t="s">
        <v>42</v>
      </c>
      <c r="J104" t="s">
        <v>38</v>
      </c>
      <c r="K104">
        <v>2</v>
      </c>
      <c r="L104" t="s">
        <v>55</v>
      </c>
      <c r="M104">
        <v>1</v>
      </c>
      <c r="N104" t="s">
        <v>40</v>
      </c>
      <c r="O104" t="s">
        <v>62</v>
      </c>
      <c r="P104">
        <v>4</v>
      </c>
      <c r="Q104" t="s">
        <v>42</v>
      </c>
      <c r="R104" t="s">
        <v>43</v>
      </c>
      <c r="S104">
        <v>1</v>
      </c>
      <c r="T104" t="s">
        <v>44</v>
      </c>
      <c r="U104" t="s">
        <v>44</v>
      </c>
      <c r="V104">
        <v>18</v>
      </c>
      <c r="W104" t="s">
        <v>45</v>
      </c>
      <c r="X104">
        <v>1</v>
      </c>
      <c r="Y104">
        <v>3</v>
      </c>
      <c r="Z104" t="s">
        <v>61</v>
      </c>
      <c r="AA104">
        <v>1</v>
      </c>
      <c r="AB104" t="s">
        <v>48</v>
      </c>
      <c r="AC104">
        <v>0</v>
      </c>
      <c r="AD104" t="s">
        <v>48</v>
      </c>
      <c r="AE104">
        <v>1</v>
      </c>
      <c r="AF104" t="s">
        <v>49</v>
      </c>
    </row>
    <row r="105" spans="1:32" x14ac:dyDescent="0.25">
      <c r="A105">
        <v>34</v>
      </c>
      <c r="B105" t="s">
        <v>32</v>
      </c>
      <c r="C105" t="s">
        <v>50</v>
      </c>
      <c r="D105" t="s">
        <v>34</v>
      </c>
      <c r="E105" t="s">
        <v>52</v>
      </c>
      <c r="F105">
        <v>6</v>
      </c>
      <c r="G105" t="s">
        <v>53</v>
      </c>
      <c r="H105">
        <v>1</v>
      </c>
      <c r="I105" t="s">
        <v>37</v>
      </c>
      <c r="J105" t="s">
        <v>38</v>
      </c>
      <c r="K105">
        <v>3</v>
      </c>
      <c r="L105" t="s">
        <v>39</v>
      </c>
      <c r="M105">
        <v>2</v>
      </c>
      <c r="N105" t="s">
        <v>40</v>
      </c>
      <c r="O105" t="s">
        <v>56</v>
      </c>
      <c r="P105">
        <v>3</v>
      </c>
      <c r="Q105" t="s">
        <v>42</v>
      </c>
      <c r="R105" t="s">
        <v>43</v>
      </c>
      <c r="S105">
        <v>1</v>
      </c>
      <c r="T105" t="s">
        <v>44</v>
      </c>
      <c r="U105" t="s">
        <v>59</v>
      </c>
      <c r="V105">
        <v>14</v>
      </c>
      <c r="W105" t="s">
        <v>45</v>
      </c>
      <c r="X105">
        <v>16</v>
      </c>
      <c r="Y105">
        <v>3</v>
      </c>
      <c r="Z105" t="s">
        <v>61</v>
      </c>
      <c r="AA105">
        <v>16</v>
      </c>
      <c r="AB105" t="s">
        <v>74</v>
      </c>
      <c r="AC105">
        <v>13</v>
      </c>
      <c r="AD105" t="s">
        <v>74</v>
      </c>
      <c r="AE105">
        <v>2</v>
      </c>
      <c r="AF105" t="s">
        <v>49</v>
      </c>
    </row>
    <row r="106" spans="1:32" x14ac:dyDescent="0.25">
      <c r="A106">
        <v>37</v>
      </c>
      <c r="B106" t="s">
        <v>32</v>
      </c>
      <c r="C106" t="s">
        <v>50</v>
      </c>
      <c r="D106" t="s">
        <v>34</v>
      </c>
      <c r="E106" t="s">
        <v>52</v>
      </c>
      <c r="F106">
        <v>2</v>
      </c>
      <c r="G106" t="s">
        <v>36</v>
      </c>
      <c r="H106">
        <v>3</v>
      </c>
      <c r="I106" t="s">
        <v>42</v>
      </c>
      <c r="J106" t="s">
        <v>54</v>
      </c>
      <c r="K106">
        <v>2</v>
      </c>
      <c r="L106" t="s">
        <v>55</v>
      </c>
      <c r="M106">
        <v>2</v>
      </c>
      <c r="N106" t="s">
        <v>40</v>
      </c>
      <c r="O106" t="s">
        <v>70</v>
      </c>
      <c r="P106">
        <v>4</v>
      </c>
      <c r="Q106" t="s">
        <v>42</v>
      </c>
      <c r="R106" t="s">
        <v>67</v>
      </c>
      <c r="S106">
        <v>5</v>
      </c>
      <c r="T106" t="s">
        <v>44</v>
      </c>
      <c r="U106" t="s">
        <v>59</v>
      </c>
      <c r="V106">
        <v>14</v>
      </c>
      <c r="W106" t="s">
        <v>45</v>
      </c>
      <c r="X106">
        <v>17</v>
      </c>
      <c r="Y106">
        <v>4</v>
      </c>
      <c r="Z106" t="s">
        <v>61</v>
      </c>
      <c r="AA106">
        <v>1</v>
      </c>
      <c r="AB106" t="s">
        <v>48</v>
      </c>
      <c r="AC106">
        <v>0</v>
      </c>
      <c r="AD106" t="s">
        <v>48</v>
      </c>
      <c r="AE106">
        <v>0</v>
      </c>
      <c r="AF106" t="s">
        <v>49</v>
      </c>
    </row>
    <row r="107" spans="1:32" x14ac:dyDescent="0.25">
      <c r="A107">
        <v>59</v>
      </c>
      <c r="B107" t="s">
        <v>64</v>
      </c>
      <c r="C107" t="s">
        <v>50</v>
      </c>
      <c r="D107" t="s">
        <v>34</v>
      </c>
      <c r="E107" t="s">
        <v>77</v>
      </c>
      <c r="F107">
        <v>2</v>
      </c>
      <c r="G107" t="s">
        <v>36</v>
      </c>
      <c r="H107">
        <v>3</v>
      </c>
      <c r="I107" t="s">
        <v>42</v>
      </c>
      <c r="J107" t="s">
        <v>38</v>
      </c>
      <c r="K107">
        <v>2</v>
      </c>
      <c r="L107" t="s">
        <v>55</v>
      </c>
      <c r="M107">
        <v>5</v>
      </c>
      <c r="N107" t="s">
        <v>72</v>
      </c>
      <c r="O107" t="s">
        <v>73</v>
      </c>
      <c r="P107">
        <v>4</v>
      </c>
      <c r="Q107" t="s">
        <v>42</v>
      </c>
      <c r="R107" t="s">
        <v>58</v>
      </c>
      <c r="S107">
        <v>9</v>
      </c>
      <c r="T107" t="s">
        <v>44</v>
      </c>
      <c r="U107" t="s">
        <v>59</v>
      </c>
      <c r="V107">
        <v>21</v>
      </c>
      <c r="W107" t="s">
        <v>60</v>
      </c>
      <c r="X107">
        <v>30</v>
      </c>
      <c r="Y107">
        <v>3</v>
      </c>
      <c r="Z107" t="s">
        <v>61</v>
      </c>
      <c r="AA107">
        <v>3</v>
      </c>
      <c r="AB107" t="s">
        <v>48</v>
      </c>
      <c r="AC107">
        <v>2</v>
      </c>
      <c r="AD107" t="s">
        <v>48</v>
      </c>
      <c r="AE107">
        <v>2</v>
      </c>
      <c r="AF107" t="s">
        <v>49</v>
      </c>
    </row>
    <row r="108" spans="1:32" x14ac:dyDescent="0.25">
      <c r="A108">
        <v>50</v>
      </c>
      <c r="B108" t="s">
        <v>32</v>
      </c>
      <c r="C108" t="s">
        <v>50</v>
      </c>
      <c r="D108" t="s">
        <v>51</v>
      </c>
      <c r="E108" t="s">
        <v>52</v>
      </c>
      <c r="F108">
        <v>1</v>
      </c>
      <c r="G108" t="s">
        <v>36</v>
      </c>
      <c r="H108">
        <v>1</v>
      </c>
      <c r="I108" t="s">
        <v>37</v>
      </c>
      <c r="J108" t="s">
        <v>38</v>
      </c>
      <c r="K108">
        <v>3</v>
      </c>
      <c r="L108" t="s">
        <v>39</v>
      </c>
      <c r="M108">
        <v>5</v>
      </c>
      <c r="N108" t="s">
        <v>72</v>
      </c>
      <c r="O108" t="s">
        <v>76</v>
      </c>
      <c r="P108">
        <v>2</v>
      </c>
      <c r="Q108" t="s">
        <v>57</v>
      </c>
      <c r="R108" t="s">
        <v>58</v>
      </c>
      <c r="S108">
        <v>3</v>
      </c>
      <c r="T108" t="s">
        <v>44</v>
      </c>
      <c r="U108" t="s">
        <v>44</v>
      </c>
      <c r="V108">
        <v>19</v>
      </c>
      <c r="W108" t="s">
        <v>45</v>
      </c>
      <c r="X108">
        <v>28</v>
      </c>
      <c r="Y108">
        <v>2</v>
      </c>
      <c r="Z108" t="s">
        <v>46</v>
      </c>
      <c r="AA108">
        <v>8</v>
      </c>
      <c r="AB108" t="s">
        <v>47</v>
      </c>
      <c r="AC108">
        <v>3</v>
      </c>
      <c r="AD108" t="s">
        <v>48</v>
      </c>
      <c r="AE108">
        <v>0</v>
      </c>
      <c r="AF108" t="s">
        <v>49</v>
      </c>
    </row>
    <row r="109" spans="1:32" x14ac:dyDescent="0.25">
      <c r="A109">
        <v>25</v>
      </c>
      <c r="B109" t="s">
        <v>63</v>
      </c>
      <c r="C109" t="s">
        <v>33</v>
      </c>
      <c r="D109" t="s">
        <v>34</v>
      </c>
      <c r="E109" t="s">
        <v>35</v>
      </c>
      <c r="F109">
        <v>5</v>
      </c>
      <c r="G109" t="s">
        <v>36</v>
      </c>
      <c r="H109">
        <v>3</v>
      </c>
      <c r="I109" t="s">
        <v>42</v>
      </c>
      <c r="J109" t="s">
        <v>54</v>
      </c>
      <c r="K109">
        <v>2</v>
      </c>
      <c r="L109" t="s">
        <v>55</v>
      </c>
      <c r="M109">
        <v>2</v>
      </c>
      <c r="N109" t="s">
        <v>40</v>
      </c>
      <c r="O109" t="s">
        <v>41</v>
      </c>
      <c r="P109">
        <v>3</v>
      </c>
      <c r="Q109" t="s">
        <v>42</v>
      </c>
      <c r="R109" t="s">
        <v>43</v>
      </c>
      <c r="S109">
        <v>1</v>
      </c>
      <c r="T109" t="s">
        <v>44</v>
      </c>
      <c r="U109" t="s">
        <v>44</v>
      </c>
      <c r="V109">
        <v>11</v>
      </c>
      <c r="W109" t="s">
        <v>45</v>
      </c>
      <c r="X109">
        <v>6</v>
      </c>
      <c r="Y109">
        <v>3</v>
      </c>
      <c r="Z109" t="s">
        <v>61</v>
      </c>
      <c r="AA109">
        <v>6</v>
      </c>
      <c r="AB109" t="s">
        <v>47</v>
      </c>
      <c r="AC109">
        <v>4</v>
      </c>
      <c r="AD109" t="s">
        <v>48</v>
      </c>
      <c r="AE109">
        <v>0</v>
      </c>
      <c r="AF109" t="s">
        <v>49</v>
      </c>
    </row>
    <row r="110" spans="1:32" x14ac:dyDescent="0.25">
      <c r="A110">
        <v>25</v>
      </c>
      <c r="B110" t="s">
        <v>63</v>
      </c>
      <c r="C110" t="s">
        <v>50</v>
      </c>
      <c r="D110" t="s">
        <v>34</v>
      </c>
      <c r="E110" t="s">
        <v>52</v>
      </c>
      <c r="F110">
        <v>7</v>
      </c>
      <c r="G110" t="s">
        <v>53</v>
      </c>
      <c r="H110">
        <v>4</v>
      </c>
      <c r="I110" t="s">
        <v>42</v>
      </c>
      <c r="J110" t="s">
        <v>54</v>
      </c>
      <c r="K110">
        <v>2</v>
      </c>
      <c r="L110" t="s">
        <v>55</v>
      </c>
      <c r="M110">
        <v>1</v>
      </c>
      <c r="N110" t="s">
        <v>40</v>
      </c>
      <c r="O110" t="s">
        <v>56</v>
      </c>
      <c r="P110">
        <v>4</v>
      </c>
      <c r="Q110" t="s">
        <v>42</v>
      </c>
      <c r="R110" t="s">
        <v>58</v>
      </c>
      <c r="S110">
        <v>1</v>
      </c>
      <c r="T110" t="s">
        <v>44</v>
      </c>
      <c r="U110" t="s">
        <v>59</v>
      </c>
      <c r="V110">
        <v>11</v>
      </c>
      <c r="W110" t="s">
        <v>45</v>
      </c>
      <c r="X110">
        <v>2</v>
      </c>
      <c r="Y110">
        <v>3</v>
      </c>
      <c r="Z110" t="s">
        <v>61</v>
      </c>
      <c r="AA110">
        <v>2</v>
      </c>
      <c r="AB110" t="s">
        <v>48</v>
      </c>
      <c r="AC110">
        <v>2</v>
      </c>
      <c r="AD110" t="s">
        <v>48</v>
      </c>
      <c r="AE110">
        <v>2</v>
      </c>
      <c r="AF110" t="s">
        <v>49</v>
      </c>
    </row>
    <row r="111" spans="1:32" x14ac:dyDescent="0.25">
      <c r="A111">
        <v>22</v>
      </c>
      <c r="B111" t="s">
        <v>63</v>
      </c>
      <c r="C111" t="s">
        <v>50</v>
      </c>
      <c r="D111" t="s">
        <v>34</v>
      </c>
      <c r="E111" t="s">
        <v>52</v>
      </c>
      <c r="F111">
        <v>15</v>
      </c>
      <c r="G111" t="s">
        <v>66</v>
      </c>
      <c r="H111">
        <v>2</v>
      </c>
      <c r="I111" t="s">
        <v>37</v>
      </c>
      <c r="J111" t="s">
        <v>38</v>
      </c>
      <c r="K111">
        <v>3</v>
      </c>
      <c r="L111" t="s">
        <v>39</v>
      </c>
      <c r="M111">
        <v>1</v>
      </c>
      <c r="N111" t="s">
        <v>40</v>
      </c>
      <c r="O111" t="s">
        <v>62</v>
      </c>
      <c r="P111">
        <v>4</v>
      </c>
      <c r="Q111" t="s">
        <v>42</v>
      </c>
      <c r="R111" t="s">
        <v>43</v>
      </c>
      <c r="S111">
        <v>1</v>
      </c>
      <c r="T111" t="s">
        <v>44</v>
      </c>
      <c r="U111" t="s">
        <v>59</v>
      </c>
      <c r="V111">
        <v>15</v>
      </c>
      <c r="W111" t="s">
        <v>45</v>
      </c>
      <c r="X111">
        <v>1</v>
      </c>
      <c r="Y111">
        <v>3</v>
      </c>
      <c r="Z111" t="s">
        <v>61</v>
      </c>
      <c r="AA111">
        <v>0</v>
      </c>
      <c r="AB111" t="s">
        <v>48</v>
      </c>
      <c r="AC111">
        <v>0</v>
      </c>
      <c r="AD111" t="s">
        <v>48</v>
      </c>
      <c r="AE111">
        <v>0</v>
      </c>
      <c r="AF111" t="s">
        <v>49</v>
      </c>
    </row>
    <row r="112" spans="1:32" x14ac:dyDescent="0.25">
      <c r="A112">
        <v>51</v>
      </c>
      <c r="B112" t="s">
        <v>64</v>
      </c>
      <c r="C112" t="s">
        <v>50</v>
      </c>
      <c r="D112" t="s">
        <v>51</v>
      </c>
      <c r="E112" t="s">
        <v>52</v>
      </c>
      <c r="F112">
        <v>1</v>
      </c>
      <c r="G112" t="s">
        <v>36</v>
      </c>
      <c r="H112">
        <v>1</v>
      </c>
      <c r="I112" t="s">
        <v>37</v>
      </c>
      <c r="J112" t="s">
        <v>38</v>
      </c>
      <c r="K112">
        <v>2</v>
      </c>
      <c r="L112" t="s">
        <v>55</v>
      </c>
      <c r="M112">
        <v>3</v>
      </c>
      <c r="N112" t="s">
        <v>68</v>
      </c>
      <c r="O112" t="s">
        <v>70</v>
      </c>
      <c r="P112">
        <v>1</v>
      </c>
      <c r="Q112" t="s">
        <v>57</v>
      </c>
      <c r="R112" t="s">
        <v>43</v>
      </c>
      <c r="S112">
        <v>3</v>
      </c>
      <c r="T112" t="s">
        <v>44</v>
      </c>
      <c r="U112" t="s">
        <v>59</v>
      </c>
      <c r="V112">
        <v>20</v>
      </c>
      <c r="W112" t="s">
        <v>60</v>
      </c>
      <c r="X112">
        <v>23</v>
      </c>
      <c r="Y112">
        <v>2</v>
      </c>
      <c r="Z112" t="s">
        <v>46</v>
      </c>
      <c r="AA112">
        <v>13</v>
      </c>
      <c r="AB112" t="s">
        <v>74</v>
      </c>
      <c r="AC112">
        <v>12</v>
      </c>
      <c r="AD112" t="s">
        <v>74</v>
      </c>
      <c r="AE112">
        <v>12</v>
      </c>
      <c r="AF112" t="s">
        <v>71</v>
      </c>
    </row>
    <row r="113" spans="1:32" x14ac:dyDescent="0.25">
      <c r="A113">
        <v>34</v>
      </c>
      <c r="B113" t="s">
        <v>32</v>
      </c>
      <c r="C113" t="s">
        <v>33</v>
      </c>
      <c r="D113" t="s">
        <v>51</v>
      </c>
      <c r="E113" t="s">
        <v>52</v>
      </c>
      <c r="F113">
        <v>7</v>
      </c>
      <c r="G113" t="s">
        <v>53</v>
      </c>
      <c r="H113">
        <v>1</v>
      </c>
      <c r="I113" t="s">
        <v>37</v>
      </c>
      <c r="J113" t="s">
        <v>54</v>
      </c>
      <c r="K113">
        <v>1</v>
      </c>
      <c r="L113" t="s">
        <v>55</v>
      </c>
      <c r="M113">
        <v>2</v>
      </c>
      <c r="N113" t="s">
        <v>40</v>
      </c>
      <c r="O113" t="s">
        <v>62</v>
      </c>
      <c r="P113">
        <v>3</v>
      </c>
      <c r="Q113" t="s">
        <v>42</v>
      </c>
      <c r="R113" t="s">
        <v>43</v>
      </c>
      <c r="S113">
        <v>1</v>
      </c>
      <c r="T113" t="s">
        <v>44</v>
      </c>
      <c r="U113" t="s">
        <v>44</v>
      </c>
      <c r="V113">
        <v>24</v>
      </c>
      <c r="W113" t="s">
        <v>60</v>
      </c>
      <c r="X113">
        <v>9</v>
      </c>
      <c r="Y113">
        <v>3</v>
      </c>
      <c r="Z113" t="s">
        <v>61</v>
      </c>
      <c r="AA113">
        <v>9</v>
      </c>
      <c r="AB113" t="s">
        <v>47</v>
      </c>
      <c r="AC113">
        <v>7</v>
      </c>
      <c r="AD113" t="s">
        <v>47</v>
      </c>
      <c r="AE113">
        <v>0</v>
      </c>
      <c r="AF113" t="s">
        <v>49</v>
      </c>
    </row>
    <row r="114" spans="1:32" x14ac:dyDescent="0.25">
      <c r="A114">
        <v>54</v>
      </c>
      <c r="B114" t="s">
        <v>64</v>
      </c>
      <c r="C114" t="s">
        <v>50</v>
      </c>
      <c r="D114" t="s">
        <v>34</v>
      </c>
      <c r="E114" t="s">
        <v>77</v>
      </c>
      <c r="F114">
        <v>26</v>
      </c>
      <c r="G114" t="s">
        <v>66</v>
      </c>
      <c r="H114">
        <v>4</v>
      </c>
      <c r="I114" t="s">
        <v>42</v>
      </c>
      <c r="J114" t="s">
        <v>38</v>
      </c>
      <c r="K114">
        <v>4</v>
      </c>
      <c r="L114" t="s">
        <v>65</v>
      </c>
      <c r="M114">
        <v>4</v>
      </c>
      <c r="N114" t="s">
        <v>72</v>
      </c>
      <c r="O114" t="s">
        <v>73</v>
      </c>
      <c r="P114">
        <v>4</v>
      </c>
      <c r="Q114" t="s">
        <v>42</v>
      </c>
      <c r="R114" t="s">
        <v>43</v>
      </c>
      <c r="S114">
        <v>2</v>
      </c>
      <c r="T114" t="s">
        <v>44</v>
      </c>
      <c r="U114" t="s">
        <v>44</v>
      </c>
      <c r="V114">
        <v>12</v>
      </c>
      <c r="W114" t="s">
        <v>45</v>
      </c>
      <c r="X114">
        <v>23</v>
      </c>
      <c r="Y114">
        <v>3</v>
      </c>
      <c r="Z114" t="s">
        <v>61</v>
      </c>
      <c r="AA114">
        <v>5</v>
      </c>
      <c r="AB114" t="s">
        <v>47</v>
      </c>
      <c r="AC114">
        <v>3</v>
      </c>
      <c r="AD114" t="s">
        <v>48</v>
      </c>
      <c r="AE114">
        <v>4</v>
      </c>
      <c r="AF114" t="s">
        <v>71</v>
      </c>
    </row>
    <row r="115" spans="1:32" x14ac:dyDescent="0.25">
      <c r="A115">
        <v>24</v>
      </c>
      <c r="B115" t="s">
        <v>63</v>
      </c>
      <c r="C115" t="s">
        <v>50</v>
      </c>
      <c r="D115" t="s">
        <v>34</v>
      </c>
      <c r="E115" t="s">
        <v>52</v>
      </c>
      <c r="F115">
        <v>18</v>
      </c>
      <c r="G115" t="s">
        <v>66</v>
      </c>
      <c r="H115">
        <v>2</v>
      </c>
      <c r="I115" t="s">
        <v>37</v>
      </c>
      <c r="J115" t="s">
        <v>54</v>
      </c>
      <c r="K115">
        <v>3</v>
      </c>
      <c r="L115" t="s">
        <v>39</v>
      </c>
      <c r="M115">
        <v>1</v>
      </c>
      <c r="N115" t="s">
        <v>40</v>
      </c>
      <c r="O115" t="s">
        <v>62</v>
      </c>
      <c r="P115">
        <v>3</v>
      </c>
      <c r="Q115" t="s">
        <v>42</v>
      </c>
      <c r="R115" t="s">
        <v>58</v>
      </c>
      <c r="S115">
        <v>0</v>
      </c>
      <c r="T115" t="s">
        <v>44</v>
      </c>
      <c r="U115" t="s">
        <v>59</v>
      </c>
      <c r="V115">
        <v>12</v>
      </c>
      <c r="W115" t="s">
        <v>45</v>
      </c>
      <c r="X115">
        <v>6</v>
      </c>
      <c r="Y115">
        <v>3</v>
      </c>
      <c r="Z115" t="s">
        <v>61</v>
      </c>
      <c r="AA115">
        <v>5</v>
      </c>
      <c r="AB115" t="s">
        <v>47</v>
      </c>
      <c r="AC115">
        <v>3</v>
      </c>
      <c r="AD115" t="s">
        <v>48</v>
      </c>
      <c r="AE115">
        <v>1</v>
      </c>
      <c r="AF115" t="s">
        <v>49</v>
      </c>
    </row>
    <row r="116" spans="1:32" x14ac:dyDescent="0.25">
      <c r="A116">
        <v>34</v>
      </c>
      <c r="B116" t="s">
        <v>32</v>
      </c>
      <c r="C116" t="s">
        <v>50</v>
      </c>
      <c r="D116" t="s">
        <v>34</v>
      </c>
      <c r="E116" t="s">
        <v>52</v>
      </c>
      <c r="F116">
        <v>6</v>
      </c>
      <c r="G116" t="s">
        <v>53</v>
      </c>
      <c r="H116">
        <v>3</v>
      </c>
      <c r="I116" t="s">
        <v>42</v>
      </c>
      <c r="J116" t="s">
        <v>38</v>
      </c>
      <c r="K116">
        <v>2</v>
      </c>
      <c r="L116" t="s">
        <v>55</v>
      </c>
      <c r="M116">
        <v>2</v>
      </c>
      <c r="N116" t="s">
        <v>40</v>
      </c>
      <c r="O116" t="s">
        <v>56</v>
      </c>
      <c r="P116">
        <v>2</v>
      </c>
      <c r="Q116" t="s">
        <v>57</v>
      </c>
      <c r="R116" t="s">
        <v>67</v>
      </c>
      <c r="S116">
        <v>6</v>
      </c>
      <c r="T116" t="s">
        <v>44</v>
      </c>
      <c r="U116" t="s">
        <v>59</v>
      </c>
      <c r="V116">
        <v>15</v>
      </c>
      <c r="W116" t="s">
        <v>45</v>
      </c>
      <c r="X116">
        <v>12</v>
      </c>
      <c r="Y116">
        <v>3</v>
      </c>
      <c r="Z116" t="s">
        <v>61</v>
      </c>
      <c r="AA116">
        <v>1</v>
      </c>
      <c r="AB116" t="s">
        <v>48</v>
      </c>
      <c r="AC116">
        <v>0</v>
      </c>
      <c r="AD116" t="s">
        <v>48</v>
      </c>
      <c r="AE116">
        <v>0</v>
      </c>
      <c r="AF116" t="s">
        <v>49</v>
      </c>
    </row>
    <row r="117" spans="1:32" x14ac:dyDescent="0.25">
      <c r="A117">
        <v>37</v>
      </c>
      <c r="B117" t="s">
        <v>32</v>
      </c>
      <c r="C117" t="s">
        <v>50</v>
      </c>
      <c r="D117" t="s">
        <v>34</v>
      </c>
      <c r="E117" t="s">
        <v>35</v>
      </c>
      <c r="F117">
        <v>3</v>
      </c>
      <c r="G117" t="s">
        <v>36</v>
      </c>
      <c r="H117">
        <v>3</v>
      </c>
      <c r="I117" t="s">
        <v>42</v>
      </c>
      <c r="J117" t="s">
        <v>54</v>
      </c>
      <c r="K117">
        <v>3</v>
      </c>
      <c r="L117" t="s">
        <v>39</v>
      </c>
      <c r="M117">
        <v>3</v>
      </c>
      <c r="N117" t="s">
        <v>68</v>
      </c>
      <c r="O117" t="s">
        <v>41</v>
      </c>
      <c r="P117">
        <v>4</v>
      </c>
      <c r="Q117" t="s">
        <v>42</v>
      </c>
      <c r="R117" t="s">
        <v>43</v>
      </c>
      <c r="S117">
        <v>2</v>
      </c>
      <c r="T117" t="s">
        <v>44</v>
      </c>
      <c r="U117" t="s">
        <v>59</v>
      </c>
      <c r="V117">
        <v>12</v>
      </c>
      <c r="W117" t="s">
        <v>45</v>
      </c>
      <c r="X117">
        <v>12</v>
      </c>
      <c r="Y117">
        <v>3</v>
      </c>
      <c r="Z117" t="s">
        <v>61</v>
      </c>
      <c r="AA117">
        <v>5</v>
      </c>
      <c r="AB117" t="s">
        <v>47</v>
      </c>
      <c r="AC117">
        <v>3</v>
      </c>
      <c r="AD117" t="s">
        <v>48</v>
      </c>
      <c r="AE117">
        <v>1</v>
      </c>
      <c r="AF117" t="s">
        <v>49</v>
      </c>
    </row>
    <row r="118" spans="1:32" x14ac:dyDescent="0.25">
      <c r="A118">
        <v>34</v>
      </c>
      <c r="B118" t="s">
        <v>32</v>
      </c>
      <c r="C118" t="s">
        <v>50</v>
      </c>
      <c r="D118" t="s">
        <v>34</v>
      </c>
      <c r="E118" t="s">
        <v>52</v>
      </c>
      <c r="F118">
        <v>5</v>
      </c>
      <c r="G118" t="s">
        <v>36</v>
      </c>
      <c r="H118">
        <v>3</v>
      </c>
      <c r="I118" t="s">
        <v>42</v>
      </c>
      <c r="J118" t="s">
        <v>38</v>
      </c>
      <c r="K118">
        <v>2</v>
      </c>
      <c r="L118" t="s">
        <v>55</v>
      </c>
      <c r="M118">
        <v>3</v>
      </c>
      <c r="N118" t="s">
        <v>68</v>
      </c>
      <c r="O118" t="s">
        <v>73</v>
      </c>
      <c r="P118">
        <v>1</v>
      </c>
      <c r="Q118" t="s">
        <v>57</v>
      </c>
      <c r="R118" t="s">
        <v>43</v>
      </c>
      <c r="S118">
        <v>2</v>
      </c>
      <c r="T118" t="s">
        <v>44</v>
      </c>
      <c r="U118" t="s">
        <v>59</v>
      </c>
      <c r="V118">
        <v>12</v>
      </c>
      <c r="W118" t="s">
        <v>45</v>
      </c>
      <c r="X118">
        <v>14</v>
      </c>
      <c r="Y118">
        <v>3</v>
      </c>
      <c r="Z118" t="s">
        <v>61</v>
      </c>
      <c r="AA118">
        <v>11</v>
      </c>
      <c r="AB118" t="s">
        <v>74</v>
      </c>
      <c r="AC118">
        <v>10</v>
      </c>
      <c r="AD118" t="s">
        <v>47</v>
      </c>
      <c r="AE118">
        <v>5</v>
      </c>
      <c r="AF118" t="s">
        <v>71</v>
      </c>
    </row>
    <row r="119" spans="1:32" x14ac:dyDescent="0.25">
      <c r="A119">
        <v>36</v>
      </c>
      <c r="B119" t="s">
        <v>32</v>
      </c>
      <c r="C119" t="s">
        <v>50</v>
      </c>
      <c r="D119" t="s">
        <v>51</v>
      </c>
      <c r="E119" t="s">
        <v>35</v>
      </c>
      <c r="F119">
        <v>11</v>
      </c>
      <c r="G119" t="s">
        <v>53</v>
      </c>
      <c r="H119">
        <v>2</v>
      </c>
      <c r="I119" t="s">
        <v>37</v>
      </c>
      <c r="J119" t="s">
        <v>38</v>
      </c>
      <c r="K119">
        <v>3</v>
      </c>
      <c r="L119" t="s">
        <v>39</v>
      </c>
      <c r="M119">
        <v>3</v>
      </c>
      <c r="N119" t="s">
        <v>68</v>
      </c>
      <c r="O119" t="s">
        <v>41</v>
      </c>
      <c r="P119">
        <v>4</v>
      </c>
      <c r="Q119" t="s">
        <v>42</v>
      </c>
      <c r="R119" t="s">
        <v>58</v>
      </c>
      <c r="S119">
        <v>0</v>
      </c>
      <c r="T119" t="s">
        <v>44</v>
      </c>
      <c r="U119" t="s">
        <v>59</v>
      </c>
      <c r="V119">
        <v>14</v>
      </c>
      <c r="W119" t="s">
        <v>45</v>
      </c>
      <c r="X119">
        <v>10</v>
      </c>
      <c r="Y119">
        <v>3</v>
      </c>
      <c r="Z119" t="s">
        <v>61</v>
      </c>
      <c r="AA119">
        <v>9</v>
      </c>
      <c r="AB119" t="s">
        <v>47</v>
      </c>
      <c r="AC119">
        <v>7</v>
      </c>
      <c r="AD119" t="s">
        <v>47</v>
      </c>
      <c r="AE119">
        <v>2</v>
      </c>
      <c r="AF119" t="s">
        <v>49</v>
      </c>
    </row>
    <row r="120" spans="1:32" x14ac:dyDescent="0.25">
      <c r="A120">
        <v>36</v>
      </c>
      <c r="B120" t="s">
        <v>32</v>
      </c>
      <c r="C120" t="s">
        <v>50</v>
      </c>
      <c r="D120" t="s">
        <v>34</v>
      </c>
      <c r="E120" t="s">
        <v>52</v>
      </c>
      <c r="F120">
        <v>3</v>
      </c>
      <c r="G120" t="s">
        <v>36</v>
      </c>
      <c r="H120">
        <v>1</v>
      </c>
      <c r="I120" t="s">
        <v>37</v>
      </c>
      <c r="J120" t="s">
        <v>38</v>
      </c>
      <c r="K120">
        <v>3</v>
      </c>
      <c r="L120" t="s">
        <v>39</v>
      </c>
      <c r="M120">
        <v>1</v>
      </c>
      <c r="N120" t="s">
        <v>40</v>
      </c>
      <c r="O120" t="s">
        <v>62</v>
      </c>
      <c r="P120">
        <v>4</v>
      </c>
      <c r="Q120" t="s">
        <v>42</v>
      </c>
      <c r="R120" t="s">
        <v>67</v>
      </c>
      <c r="S120">
        <v>5</v>
      </c>
      <c r="T120" t="s">
        <v>44</v>
      </c>
      <c r="U120" t="s">
        <v>59</v>
      </c>
      <c r="V120">
        <v>22</v>
      </c>
      <c r="W120" t="s">
        <v>60</v>
      </c>
      <c r="X120">
        <v>7</v>
      </c>
      <c r="Y120">
        <v>3</v>
      </c>
      <c r="Z120" t="s">
        <v>61</v>
      </c>
      <c r="AA120">
        <v>1</v>
      </c>
      <c r="AB120" t="s">
        <v>48</v>
      </c>
      <c r="AC120">
        <v>0</v>
      </c>
      <c r="AD120" t="s">
        <v>48</v>
      </c>
      <c r="AE120">
        <v>0</v>
      </c>
      <c r="AF120" t="s">
        <v>49</v>
      </c>
    </row>
    <row r="121" spans="1:32" x14ac:dyDescent="0.25">
      <c r="A121">
        <v>43</v>
      </c>
      <c r="B121" t="s">
        <v>32</v>
      </c>
      <c r="C121" t="s">
        <v>50</v>
      </c>
      <c r="D121" t="s">
        <v>51</v>
      </c>
      <c r="E121" t="s">
        <v>35</v>
      </c>
      <c r="F121">
        <v>26</v>
      </c>
      <c r="G121" t="s">
        <v>66</v>
      </c>
      <c r="H121">
        <v>3</v>
      </c>
      <c r="I121" t="s">
        <v>42</v>
      </c>
      <c r="J121" t="s">
        <v>54</v>
      </c>
      <c r="K121">
        <v>3</v>
      </c>
      <c r="L121" t="s">
        <v>39</v>
      </c>
      <c r="M121">
        <v>4</v>
      </c>
      <c r="N121" t="s">
        <v>72</v>
      </c>
      <c r="O121" t="s">
        <v>73</v>
      </c>
      <c r="P121">
        <v>4</v>
      </c>
      <c r="Q121" t="s">
        <v>42</v>
      </c>
      <c r="R121" t="s">
        <v>58</v>
      </c>
      <c r="S121">
        <v>1</v>
      </c>
      <c r="T121" t="s">
        <v>44</v>
      </c>
      <c r="U121" t="s">
        <v>44</v>
      </c>
      <c r="V121">
        <v>12</v>
      </c>
      <c r="W121" t="s">
        <v>45</v>
      </c>
      <c r="X121">
        <v>25</v>
      </c>
      <c r="Y121">
        <v>4</v>
      </c>
      <c r="Z121" t="s">
        <v>61</v>
      </c>
      <c r="AA121">
        <v>25</v>
      </c>
      <c r="AB121" t="s">
        <v>74</v>
      </c>
      <c r="AC121">
        <v>12</v>
      </c>
      <c r="AD121" t="s">
        <v>74</v>
      </c>
      <c r="AE121">
        <v>4</v>
      </c>
      <c r="AF121" t="s">
        <v>71</v>
      </c>
    </row>
    <row r="122" spans="1:32" x14ac:dyDescent="0.25">
      <c r="A122">
        <v>30</v>
      </c>
      <c r="B122" t="s">
        <v>32</v>
      </c>
      <c r="C122" t="s">
        <v>50</v>
      </c>
      <c r="D122" t="s">
        <v>51</v>
      </c>
      <c r="E122" t="s">
        <v>52</v>
      </c>
      <c r="F122">
        <v>23</v>
      </c>
      <c r="G122" t="s">
        <v>66</v>
      </c>
      <c r="H122">
        <v>1</v>
      </c>
      <c r="I122" t="s">
        <v>37</v>
      </c>
      <c r="J122" t="s">
        <v>54</v>
      </c>
      <c r="K122">
        <v>1</v>
      </c>
      <c r="L122" t="s">
        <v>55</v>
      </c>
      <c r="M122">
        <v>1</v>
      </c>
      <c r="N122" t="s">
        <v>40</v>
      </c>
      <c r="O122" t="s">
        <v>56</v>
      </c>
      <c r="P122">
        <v>3</v>
      </c>
      <c r="Q122" t="s">
        <v>42</v>
      </c>
      <c r="R122" t="s">
        <v>67</v>
      </c>
      <c r="S122">
        <v>1</v>
      </c>
      <c r="T122" t="s">
        <v>44</v>
      </c>
      <c r="U122" t="s">
        <v>59</v>
      </c>
      <c r="V122">
        <v>25</v>
      </c>
      <c r="W122" t="s">
        <v>60</v>
      </c>
      <c r="X122">
        <v>10</v>
      </c>
      <c r="Y122">
        <v>2</v>
      </c>
      <c r="Z122" t="s">
        <v>46</v>
      </c>
      <c r="AA122">
        <v>10</v>
      </c>
      <c r="AB122" t="s">
        <v>47</v>
      </c>
      <c r="AC122">
        <v>7</v>
      </c>
      <c r="AD122" t="s">
        <v>47</v>
      </c>
      <c r="AE122">
        <v>0</v>
      </c>
      <c r="AF122" t="s">
        <v>49</v>
      </c>
    </row>
    <row r="123" spans="1:32" x14ac:dyDescent="0.25">
      <c r="A123">
        <v>33</v>
      </c>
      <c r="B123" t="s">
        <v>32</v>
      </c>
      <c r="C123" t="s">
        <v>50</v>
      </c>
      <c r="D123" t="s">
        <v>34</v>
      </c>
      <c r="E123" t="s">
        <v>35</v>
      </c>
      <c r="F123">
        <v>22</v>
      </c>
      <c r="G123" t="s">
        <v>66</v>
      </c>
      <c r="H123">
        <v>3</v>
      </c>
      <c r="I123" t="s">
        <v>42</v>
      </c>
      <c r="J123" t="s">
        <v>54</v>
      </c>
      <c r="K123">
        <v>3</v>
      </c>
      <c r="L123" t="s">
        <v>39</v>
      </c>
      <c r="M123">
        <v>2</v>
      </c>
      <c r="N123" t="s">
        <v>40</v>
      </c>
      <c r="O123" t="s">
        <v>41</v>
      </c>
      <c r="P123">
        <v>2</v>
      </c>
      <c r="Q123" t="s">
        <v>57</v>
      </c>
      <c r="R123" t="s">
        <v>58</v>
      </c>
      <c r="S123">
        <v>0</v>
      </c>
      <c r="T123" t="s">
        <v>44</v>
      </c>
      <c r="U123" t="s">
        <v>59</v>
      </c>
      <c r="V123">
        <v>13</v>
      </c>
      <c r="W123" t="s">
        <v>45</v>
      </c>
      <c r="X123">
        <v>8</v>
      </c>
      <c r="Y123">
        <v>4</v>
      </c>
      <c r="Z123" t="s">
        <v>61</v>
      </c>
      <c r="AA123">
        <v>7</v>
      </c>
      <c r="AB123" t="s">
        <v>47</v>
      </c>
      <c r="AC123">
        <v>7</v>
      </c>
      <c r="AD123" t="s">
        <v>47</v>
      </c>
      <c r="AE123">
        <v>0</v>
      </c>
      <c r="AF123" t="s">
        <v>49</v>
      </c>
    </row>
    <row r="124" spans="1:32" x14ac:dyDescent="0.25">
      <c r="A124">
        <v>56</v>
      </c>
      <c r="B124" t="s">
        <v>64</v>
      </c>
      <c r="C124" t="s">
        <v>33</v>
      </c>
      <c r="D124" t="s">
        <v>34</v>
      </c>
      <c r="E124" t="s">
        <v>52</v>
      </c>
      <c r="F124">
        <v>14</v>
      </c>
      <c r="G124" t="s">
        <v>53</v>
      </c>
      <c r="H124">
        <v>2</v>
      </c>
      <c r="I124" t="s">
        <v>37</v>
      </c>
      <c r="J124" t="s">
        <v>38</v>
      </c>
      <c r="K124">
        <v>3</v>
      </c>
      <c r="L124" t="s">
        <v>39</v>
      </c>
      <c r="M124">
        <v>1</v>
      </c>
      <c r="N124" t="s">
        <v>40</v>
      </c>
      <c r="O124" t="s">
        <v>56</v>
      </c>
      <c r="P124">
        <v>2</v>
      </c>
      <c r="Q124" t="s">
        <v>57</v>
      </c>
      <c r="R124" t="s">
        <v>58</v>
      </c>
      <c r="S124">
        <v>9</v>
      </c>
      <c r="T124" t="s">
        <v>44</v>
      </c>
      <c r="U124" t="s">
        <v>44</v>
      </c>
      <c r="V124">
        <v>18</v>
      </c>
      <c r="W124" t="s">
        <v>45</v>
      </c>
      <c r="X124">
        <v>7</v>
      </c>
      <c r="Y124">
        <v>3</v>
      </c>
      <c r="Z124" t="s">
        <v>61</v>
      </c>
      <c r="AA124">
        <v>5</v>
      </c>
      <c r="AB124" t="s">
        <v>47</v>
      </c>
      <c r="AC124">
        <v>4</v>
      </c>
      <c r="AD124" t="s">
        <v>48</v>
      </c>
      <c r="AE124">
        <v>4</v>
      </c>
      <c r="AF124" t="s">
        <v>71</v>
      </c>
    </row>
    <row r="125" spans="1:32" x14ac:dyDescent="0.25">
      <c r="A125">
        <v>51</v>
      </c>
      <c r="B125" t="s">
        <v>64</v>
      </c>
      <c r="C125" t="s">
        <v>50</v>
      </c>
      <c r="D125" t="s">
        <v>34</v>
      </c>
      <c r="E125" t="s">
        <v>52</v>
      </c>
      <c r="F125">
        <v>6</v>
      </c>
      <c r="G125" t="s">
        <v>53</v>
      </c>
      <c r="H125">
        <v>1</v>
      </c>
      <c r="I125" t="s">
        <v>37</v>
      </c>
      <c r="J125" t="s">
        <v>54</v>
      </c>
      <c r="K125">
        <v>3</v>
      </c>
      <c r="L125" t="s">
        <v>39</v>
      </c>
      <c r="M125">
        <v>5</v>
      </c>
      <c r="N125" t="s">
        <v>72</v>
      </c>
      <c r="O125" t="s">
        <v>76</v>
      </c>
      <c r="P125">
        <v>3</v>
      </c>
      <c r="Q125" t="s">
        <v>42</v>
      </c>
      <c r="R125" t="s">
        <v>43</v>
      </c>
      <c r="S125">
        <v>7</v>
      </c>
      <c r="T125" t="s">
        <v>44</v>
      </c>
      <c r="U125" t="s">
        <v>59</v>
      </c>
      <c r="V125">
        <v>13</v>
      </c>
      <c r="W125" t="s">
        <v>45</v>
      </c>
      <c r="X125">
        <v>23</v>
      </c>
      <c r="Y125">
        <v>3</v>
      </c>
      <c r="Z125" t="s">
        <v>61</v>
      </c>
      <c r="AA125">
        <v>20</v>
      </c>
      <c r="AB125" t="s">
        <v>74</v>
      </c>
      <c r="AC125">
        <v>18</v>
      </c>
      <c r="AD125" t="s">
        <v>74</v>
      </c>
      <c r="AE125">
        <v>15</v>
      </c>
      <c r="AF125" t="s">
        <v>71</v>
      </c>
    </row>
    <row r="126" spans="1:32" x14ac:dyDescent="0.25">
      <c r="A126">
        <v>31</v>
      </c>
      <c r="B126" t="s">
        <v>32</v>
      </c>
      <c r="C126" t="s">
        <v>33</v>
      </c>
      <c r="D126" t="s">
        <v>34</v>
      </c>
      <c r="E126" t="s">
        <v>35</v>
      </c>
      <c r="F126">
        <v>6</v>
      </c>
      <c r="G126" t="s">
        <v>53</v>
      </c>
      <c r="H126">
        <v>2</v>
      </c>
      <c r="I126" t="s">
        <v>37</v>
      </c>
      <c r="J126" t="s">
        <v>54</v>
      </c>
      <c r="K126">
        <v>1</v>
      </c>
      <c r="L126" t="s">
        <v>55</v>
      </c>
      <c r="M126">
        <v>2</v>
      </c>
      <c r="N126" t="s">
        <v>40</v>
      </c>
      <c r="O126" t="s">
        <v>41</v>
      </c>
      <c r="P126">
        <v>3</v>
      </c>
      <c r="Q126" t="s">
        <v>42</v>
      </c>
      <c r="R126" t="s">
        <v>58</v>
      </c>
      <c r="S126">
        <v>4</v>
      </c>
      <c r="T126" t="s">
        <v>44</v>
      </c>
      <c r="U126" t="s">
        <v>44</v>
      </c>
      <c r="V126">
        <v>18</v>
      </c>
      <c r="W126" t="s">
        <v>45</v>
      </c>
      <c r="X126">
        <v>12</v>
      </c>
      <c r="Y126">
        <v>2</v>
      </c>
      <c r="Z126" t="s">
        <v>46</v>
      </c>
      <c r="AA126">
        <v>7</v>
      </c>
      <c r="AB126" t="s">
        <v>47</v>
      </c>
      <c r="AC126">
        <v>7</v>
      </c>
      <c r="AD126" t="s">
        <v>47</v>
      </c>
      <c r="AE126">
        <v>7</v>
      </c>
      <c r="AF126" t="s">
        <v>71</v>
      </c>
    </row>
    <row r="127" spans="1:32" x14ac:dyDescent="0.25">
      <c r="A127">
        <v>26</v>
      </c>
      <c r="B127" t="s">
        <v>63</v>
      </c>
      <c r="C127" t="s">
        <v>50</v>
      </c>
      <c r="D127" t="s">
        <v>34</v>
      </c>
      <c r="E127" t="s">
        <v>52</v>
      </c>
      <c r="F127">
        <v>6</v>
      </c>
      <c r="G127" t="s">
        <v>53</v>
      </c>
      <c r="H127">
        <v>3</v>
      </c>
      <c r="I127" t="s">
        <v>42</v>
      </c>
      <c r="J127" t="s">
        <v>38</v>
      </c>
      <c r="K127">
        <v>2</v>
      </c>
      <c r="L127" t="s">
        <v>55</v>
      </c>
      <c r="M127">
        <v>1</v>
      </c>
      <c r="N127" t="s">
        <v>40</v>
      </c>
      <c r="O127" t="s">
        <v>56</v>
      </c>
      <c r="P127">
        <v>2</v>
      </c>
      <c r="Q127" t="s">
        <v>57</v>
      </c>
      <c r="R127" t="s">
        <v>58</v>
      </c>
      <c r="S127">
        <v>1</v>
      </c>
      <c r="T127" t="s">
        <v>44</v>
      </c>
      <c r="U127" t="s">
        <v>59</v>
      </c>
      <c r="V127">
        <v>19</v>
      </c>
      <c r="W127" t="s">
        <v>45</v>
      </c>
      <c r="X127">
        <v>5</v>
      </c>
      <c r="Y127">
        <v>2</v>
      </c>
      <c r="Z127" t="s">
        <v>46</v>
      </c>
      <c r="AA127">
        <v>5</v>
      </c>
      <c r="AB127" t="s">
        <v>47</v>
      </c>
      <c r="AC127">
        <v>4</v>
      </c>
      <c r="AD127" t="s">
        <v>48</v>
      </c>
      <c r="AE127">
        <v>4</v>
      </c>
      <c r="AF127" t="s">
        <v>71</v>
      </c>
    </row>
    <row r="128" spans="1:32" x14ac:dyDescent="0.25">
      <c r="A128">
        <v>58</v>
      </c>
      <c r="B128" t="s">
        <v>64</v>
      </c>
      <c r="C128" t="s">
        <v>33</v>
      </c>
      <c r="D128" t="s">
        <v>34</v>
      </c>
      <c r="E128" t="s">
        <v>52</v>
      </c>
      <c r="F128">
        <v>23</v>
      </c>
      <c r="G128" t="s">
        <v>66</v>
      </c>
      <c r="H128">
        <v>4</v>
      </c>
      <c r="I128" t="s">
        <v>42</v>
      </c>
      <c r="J128" t="s">
        <v>38</v>
      </c>
      <c r="K128">
        <v>3</v>
      </c>
      <c r="L128" t="s">
        <v>39</v>
      </c>
      <c r="M128">
        <v>3</v>
      </c>
      <c r="N128" t="s">
        <v>68</v>
      </c>
      <c r="O128" t="s">
        <v>70</v>
      </c>
      <c r="P128">
        <v>4</v>
      </c>
      <c r="Q128" t="s">
        <v>42</v>
      </c>
      <c r="R128" t="s">
        <v>58</v>
      </c>
      <c r="S128">
        <v>1</v>
      </c>
      <c r="T128" t="s">
        <v>44</v>
      </c>
      <c r="U128" t="s">
        <v>59</v>
      </c>
      <c r="V128">
        <v>12</v>
      </c>
      <c r="W128" t="s">
        <v>45</v>
      </c>
      <c r="X128">
        <v>40</v>
      </c>
      <c r="Y128">
        <v>2</v>
      </c>
      <c r="Z128" t="s">
        <v>46</v>
      </c>
      <c r="AA128">
        <v>40</v>
      </c>
      <c r="AB128" t="s">
        <v>74</v>
      </c>
      <c r="AC128">
        <v>10</v>
      </c>
      <c r="AD128" t="s">
        <v>47</v>
      </c>
      <c r="AE128">
        <v>15</v>
      </c>
      <c r="AF128" t="s">
        <v>71</v>
      </c>
    </row>
    <row r="129" spans="1:32" x14ac:dyDescent="0.25">
      <c r="A129">
        <v>19</v>
      </c>
      <c r="B129" t="s">
        <v>63</v>
      </c>
      <c r="C129" t="s">
        <v>33</v>
      </c>
      <c r="D129" t="s">
        <v>34</v>
      </c>
      <c r="E129" t="s">
        <v>35</v>
      </c>
      <c r="F129">
        <v>22</v>
      </c>
      <c r="G129" t="s">
        <v>66</v>
      </c>
      <c r="H129">
        <v>4</v>
      </c>
      <c r="I129" t="s">
        <v>42</v>
      </c>
      <c r="J129" t="s">
        <v>54</v>
      </c>
      <c r="K129">
        <v>3</v>
      </c>
      <c r="L129" t="s">
        <v>39</v>
      </c>
      <c r="M129">
        <v>1</v>
      </c>
      <c r="N129" t="s">
        <v>40</v>
      </c>
      <c r="O129" t="s">
        <v>75</v>
      </c>
      <c r="P129">
        <v>3</v>
      </c>
      <c r="Q129" t="s">
        <v>42</v>
      </c>
      <c r="R129" t="s">
        <v>43</v>
      </c>
      <c r="S129">
        <v>1</v>
      </c>
      <c r="T129" t="s">
        <v>44</v>
      </c>
      <c r="U129" t="s">
        <v>44</v>
      </c>
      <c r="V129">
        <v>19</v>
      </c>
      <c r="W129" t="s">
        <v>45</v>
      </c>
      <c r="X129">
        <v>0</v>
      </c>
      <c r="Y129">
        <v>2</v>
      </c>
      <c r="Z129" t="s">
        <v>46</v>
      </c>
      <c r="AA129">
        <v>0</v>
      </c>
      <c r="AB129" t="s">
        <v>48</v>
      </c>
      <c r="AC129">
        <v>0</v>
      </c>
      <c r="AD129" t="s">
        <v>48</v>
      </c>
      <c r="AE129">
        <v>0</v>
      </c>
      <c r="AF129" t="s">
        <v>49</v>
      </c>
    </row>
    <row r="130" spans="1:32" x14ac:dyDescent="0.25">
      <c r="A130">
        <v>22</v>
      </c>
      <c r="B130" t="s">
        <v>63</v>
      </c>
      <c r="C130" t="s">
        <v>50</v>
      </c>
      <c r="D130" t="s">
        <v>34</v>
      </c>
      <c r="E130" t="s">
        <v>52</v>
      </c>
      <c r="F130">
        <v>2</v>
      </c>
      <c r="G130" t="s">
        <v>36</v>
      </c>
      <c r="H130">
        <v>3</v>
      </c>
      <c r="I130" t="s">
        <v>42</v>
      </c>
      <c r="J130" t="s">
        <v>54</v>
      </c>
      <c r="K130">
        <v>3</v>
      </c>
      <c r="L130" t="s">
        <v>39</v>
      </c>
      <c r="M130">
        <v>1</v>
      </c>
      <c r="N130" t="s">
        <v>40</v>
      </c>
      <c r="O130" t="s">
        <v>62</v>
      </c>
      <c r="P130">
        <v>4</v>
      </c>
      <c r="Q130" t="s">
        <v>42</v>
      </c>
      <c r="R130" t="s">
        <v>58</v>
      </c>
      <c r="S130">
        <v>0</v>
      </c>
      <c r="T130" t="s">
        <v>44</v>
      </c>
      <c r="U130" t="s">
        <v>59</v>
      </c>
      <c r="V130">
        <v>14</v>
      </c>
      <c r="W130" t="s">
        <v>45</v>
      </c>
      <c r="X130">
        <v>3</v>
      </c>
      <c r="Y130">
        <v>3</v>
      </c>
      <c r="Z130" t="s">
        <v>61</v>
      </c>
      <c r="AA130">
        <v>2</v>
      </c>
      <c r="AB130" t="s">
        <v>48</v>
      </c>
      <c r="AC130">
        <v>1</v>
      </c>
      <c r="AD130" t="s">
        <v>48</v>
      </c>
      <c r="AE130">
        <v>2</v>
      </c>
      <c r="AF130" t="s">
        <v>49</v>
      </c>
    </row>
    <row r="131" spans="1:32" x14ac:dyDescent="0.25">
      <c r="A131">
        <v>49</v>
      </c>
      <c r="B131" t="s">
        <v>32</v>
      </c>
      <c r="C131" t="s">
        <v>50</v>
      </c>
      <c r="D131" t="s">
        <v>34</v>
      </c>
      <c r="E131" t="s">
        <v>52</v>
      </c>
      <c r="F131">
        <v>20</v>
      </c>
      <c r="G131" t="s">
        <v>66</v>
      </c>
      <c r="H131">
        <v>3</v>
      </c>
      <c r="I131" t="s">
        <v>42</v>
      </c>
      <c r="J131" t="s">
        <v>38</v>
      </c>
      <c r="K131">
        <v>3</v>
      </c>
      <c r="L131" t="s">
        <v>39</v>
      </c>
      <c r="M131">
        <v>2</v>
      </c>
      <c r="N131" t="s">
        <v>40</v>
      </c>
      <c r="O131" t="s">
        <v>69</v>
      </c>
      <c r="P131">
        <v>1</v>
      </c>
      <c r="Q131" t="s">
        <v>57</v>
      </c>
      <c r="R131" t="s">
        <v>58</v>
      </c>
      <c r="S131">
        <v>1</v>
      </c>
      <c r="T131" t="s">
        <v>44</v>
      </c>
      <c r="U131" t="s">
        <v>59</v>
      </c>
      <c r="V131">
        <v>14</v>
      </c>
      <c r="W131" t="s">
        <v>45</v>
      </c>
      <c r="X131">
        <v>16</v>
      </c>
      <c r="Y131">
        <v>2</v>
      </c>
      <c r="Z131" t="s">
        <v>46</v>
      </c>
      <c r="AA131">
        <v>15</v>
      </c>
      <c r="AB131" t="s">
        <v>74</v>
      </c>
      <c r="AC131">
        <v>11</v>
      </c>
      <c r="AD131" t="s">
        <v>74</v>
      </c>
      <c r="AE131">
        <v>5</v>
      </c>
      <c r="AF131" t="s">
        <v>71</v>
      </c>
    </row>
    <row r="132" spans="1:32" x14ac:dyDescent="0.25">
      <c r="A132">
        <v>43</v>
      </c>
      <c r="B132" t="s">
        <v>32</v>
      </c>
      <c r="C132" t="s">
        <v>50</v>
      </c>
      <c r="D132" t="s">
        <v>51</v>
      </c>
      <c r="E132" t="s">
        <v>52</v>
      </c>
      <c r="F132">
        <v>28</v>
      </c>
      <c r="G132" t="s">
        <v>66</v>
      </c>
      <c r="H132">
        <v>2</v>
      </c>
      <c r="I132" t="s">
        <v>37</v>
      </c>
      <c r="J132" t="s">
        <v>38</v>
      </c>
      <c r="K132">
        <v>4</v>
      </c>
      <c r="L132" t="s">
        <v>65</v>
      </c>
      <c r="M132">
        <v>1</v>
      </c>
      <c r="N132" t="s">
        <v>40</v>
      </c>
      <c r="O132" t="s">
        <v>56</v>
      </c>
      <c r="P132">
        <v>3</v>
      </c>
      <c r="Q132" t="s">
        <v>42</v>
      </c>
      <c r="R132" t="s">
        <v>43</v>
      </c>
      <c r="S132">
        <v>4</v>
      </c>
      <c r="T132" t="s">
        <v>44</v>
      </c>
      <c r="U132" t="s">
        <v>59</v>
      </c>
      <c r="V132">
        <v>12</v>
      </c>
      <c r="W132" t="s">
        <v>45</v>
      </c>
      <c r="X132">
        <v>18</v>
      </c>
      <c r="Y132">
        <v>3</v>
      </c>
      <c r="Z132" t="s">
        <v>61</v>
      </c>
      <c r="AA132">
        <v>3</v>
      </c>
      <c r="AB132" t="s">
        <v>48</v>
      </c>
      <c r="AC132">
        <v>2</v>
      </c>
      <c r="AD132" t="s">
        <v>48</v>
      </c>
      <c r="AE132">
        <v>1</v>
      </c>
      <c r="AF132" t="s">
        <v>49</v>
      </c>
    </row>
    <row r="133" spans="1:32" x14ac:dyDescent="0.25">
      <c r="A133">
        <v>50</v>
      </c>
      <c r="B133" t="s">
        <v>32</v>
      </c>
      <c r="C133" t="s">
        <v>50</v>
      </c>
      <c r="D133" t="s">
        <v>51</v>
      </c>
      <c r="E133" t="s">
        <v>35</v>
      </c>
      <c r="F133">
        <v>12</v>
      </c>
      <c r="G133" t="s">
        <v>53</v>
      </c>
      <c r="H133">
        <v>3</v>
      </c>
      <c r="I133" t="s">
        <v>42</v>
      </c>
      <c r="J133" t="s">
        <v>38</v>
      </c>
      <c r="K133">
        <v>3</v>
      </c>
      <c r="L133" t="s">
        <v>39</v>
      </c>
      <c r="M133">
        <v>3</v>
      </c>
      <c r="N133" t="s">
        <v>68</v>
      </c>
      <c r="O133" t="s">
        <v>41</v>
      </c>
      <c r="P133">
        <v>4</v>
      </c>
      <c r="Q133" t="s">
        <v>42</v>
      </c>
      <c r="R133" t="s">
        <v>43</v>
      </c>
      <c r="S133">
        <v>4</v>
      </c>
      <c r="T133" t="s">
        <v>44</v>
      </c>
      <c r="U133" t="s">
        <v>59</v>
      </c>
      <c r="V133">
        <v>11</v>
      </c>
      <c r="W133" t="s">
        <v>45</v>
      </c>
      <c r="X133">
        <v>16</v>
      </c>
      <c r="Y133">
        <v>3</v>
      </c>
      <c r="Z133" t="s">
        <v>61</v>
      </c>
      <c r="AA133">
        <v>2</v>
      </c>
      <c r="AB133" t="s">
        <v>48</v>
      </c>
      <c r="AC133">
        <v>2</v>
      </c>
      <c r="AD133" t="s">
        <v>48</v>
      </c>
      <c r="AE133">
        <v>2</v>
      </c>
      <c r="AF133" t="s">
        <v>49</v>
      </c>
    </row>
    <row r="134" spans="1:32" x14ac:dyDescent="0.25">
      <c r="A134">
        <v>31</v>
      </c>
      <c r="B134" t="s">
        <v>32</v>
      </c>
      <c r="C134" t="s">
        <v>33</v>
      </c>
      <c r="D134" t="s">
        <v>34</v>
      </c>
      <c r="E134" t="s">
        <v>35</v>
      </c>
      <c r="F134">
        <v>20</v>
      </c>
      <c r="G134" t="s">
        <v>66</v>
      </c>
      <c r="H134">
        <v>2</v>
      </c>
      <c r="I134" t="s">
        <v>37</v>
      </c>
      <c r="J134" t="s">
        <v>38</v>
      </c>
      <c r="K134">
        <v>1</v>
      </c>
      <c r="L134" t="s">
        <v>55</v>
      </c>
      <c r="M134">
        <v>2</v>
      </c>
      <c r="N134" t="s">
        <v>40</v>
      </c>
      <c r="O134" t="s">
        <v>41</v>
      </c>
      <c r="P134">
        <v>3</v>
      </c>
      <c r="Q134" t="s">
        <v>42</v>
      </c>
      <c r="R134" t="s">
        <v>58</v>
      </c>
      <c r="S134">
        <v>3</v>
      </c>
      <c r="T134" t="s">
        <v>44</v>
      </c>
      <c r="U134" t="s">
        <v>44</v>
      </c>
      <c r="V134">
        <v>11</v>
      </c>
      <c r="W134" t="s">
        <v>45</v>
      </c>
      <c r="X134">
        <v>4</v>
      </c>
      <c r="Y134">
        <v>3</v>
      </c>
      <c r="Z134" t="s">
        <v>61</v>
      </c>
      <c r="AA134">
        <v>2</v>
      </c>
      <c r="AB134" t="s">
        <v>48</v>
      </c>
      <c r="AC134">
        <v>2</v>
      </c>
      <c r="AD134" t="s">
        <v>48</v>
      </c>
      <c r="AE134">
        <v>2</v>
      </c>
      <c r="AF134" t="s">
        <v>49</v>
      </c>
    </row>
    <row r="135" spans="1:32" x14ac:dyDescent="0.25">
      <c r="A135">
        <v>41</v>
      </c>
      <c r="B135" t="s">
        <v>32</v>
      </c>
      <c r="C135" t="s">
        <v>50</v>
      </c>
      <c r="D135" t="s">
        <v>34</v>
      </c>
      <c r="E135" t="s">
        <v>35</v>
      </c>
      <c r="F135">
        <v>9</v>
      </c>
      <c r="G135" t="s">
        <v>53</v>
      </c>
      <c r="H135">
        <v>3</v>
      </c>
      <c r="I135" t="s">
        <v>42</v>
      </c>
      <c r="J135" t="s">
        <v>54</v>
      </c>
      <c r="K135">
        <v>3</v>
      </c>
      <c r="L135" t="s">
        <v>39</v>
      </c>
      <c r="M135">
        <v>3</v>
      </c>
      <c r="N135" t="s">
        <v>68</v>
      </c>
      <c r="O135" t="s">
        <v>41</v>
      </c>
      <c r="P135">
        <v>3</v>
      </c>
      <c r="Q135" t="s">
        <v>42</v>
      </c>
      <c r="R135" t="s">
        <v>67</v>
      </c>
      <c r="S135">
        <v>3</v>
      </c>
      <c r="T135" t="s">
        <v>44</v>
      </c>
      <c r="U135" t="s">
        <v>44</v>
      </c>
      <c r="V135">
        <v>13</v>
      </c>
      <c r="W135" t="s">
        <v>45</v>
      </c>
      <c r="X135">
        <v>12</v>
      </c>
      <c r="Y135">
        <v>3</v>
      </c>
      <c r="Z135" t="s">
        <v>61</v>
      </c>
      <c r="AA135">
        <v>9</v>
      </c>
      <c r="AB135" t="s">
        <v>47</v>
      </c>
      <c r="AC135">
        <v>7</v>
      </c>
      <c r="AD135" t="s">
        <v>47</v>
      </c>
      <c r="AE135">
        <v>0</v>
      </c>
      <c r="AF135" t="s">
        <v>49</v>
      </c>
    </row>
    <row r="136" spans="1:32" x14ac:dyDescent="0.25">
      <c r="A136">
        <v>26</v>
      </c>
      <c r="B136" t="s">
        <v>63</v>
      </c>
      <c r="C136" t="s">
        <v>50</v>
      </c>
      <c r="D136" t="s">
        <v>34</v>
      </c>
      <c r="E136" t="s">
        <v>77</v>
      </c>
      <c r="F136">
        <v>25</v>
      </c>
      <c r="G136" t="s">
        <v>66</v>
      </c>
      <c r="H136">
        <v>3</v>
      </c>
      <c r="I136" t="s">
        <v>42</v>
      </c>
      <c r="J136" t="s">
        <v>38</v>
      </c>
      <c r="K136">
        <v>3</v>
      </c>
      <c r="L136" t="s">
        <v>39</v>
      </c>
      <c r="M136">
        <v>1</v>
      </c>
      <c r="N136" t="s">
        <v>40</v>
      </c>
      <c r="O136" t="s">
        <v>77</v>
      </c>
      <c r="P136">
        <v>3</v>
      </c>
      <c r="Q136" t="s">
        <v>42</v>
      </c>
      <c r="R136" t="s">
        <v>58</v>
      </c>
      <c r="S136">
        <v>1</v>
      </c>
      <c r="T136" t="s">
        <v>44</v>
      </c>
      <c r="U136" t="s">
        <v>59</v>
      </c>
      <c r="V136">
        <v>23</v>
      </c>
      <c r="W136" t="s">
        <v>60</v>
      </c>
      <c r="X136">
        <v>8</v>
      </c>
      <c r="Y136">
        <v>3</v>
      </c>
      <c r="Z136" t="s">
        <v>61</v>
      </c>
      <c r="AA136">
        <v>8</v>
      </c>
      <c r="AB136" t="s">
        <v>47</v>
      </c>
      <c r="AC136">
        <v>7</v>
      </c>
      <c r="AD136" t="s">
        <v>47</v>
      </c>
      <c r="AE136">
        <v>5</v>
      </c>
      <c r="AF136" t="s">
        <v>71</v>
      </c>
    </row>
    <row r="137" spans="1:32" x14ac:dyDescent="0.25">
      <c r="A137">
        <v>36</v>
      </c>
      <c r="B137" t="s">
        <v>32</v>
      </c>
      <c r="C137" t="s">
        <v>50</v>
      </c>
      <c r="D137" t="s">
        <v>34</v>
      </c>
      <c r="E137" t="s">
        <v>52</v>
      </c>
      <c r="F137">
        <v>6</v>
      </c>
      <c r="G137" t="s">
        <v>53</v>
      </c>
      <c r="H137">
        <v>2</v>
      </c>
      <c r="I137" t="s">
        <v>37</v>
      </c>
      <c r="J137" t="s">
        <v>54</v>
      </c>
      <c r="K137">
        <v>3</v>
      </c>
      <c r="L137" t="s">
        <v>39</v>
      </c>
      <c r="M137">
        <v>2</v>
      </c>
      <c r="N137" t="s">
        <v>40</v>
      </c>
      <c r="O137" t="s">
        <v>69</v>
      </c>
      <c r="P137">
        <v>2</v>
      </c>
      <c r="Q137" t="s">
        <v>57</v>
      </c>
      <c r="R137" t="s">
        <v>67</v>
      </c>
      <c r="S137">
        <v>6</v>
      </c>
      <c r="T137" t="s">
        <v>44</v>
      </c>
      <c r="U137" t="s">
        <v>59</v>
      </c>
      <c r="V137">
        <v>20</v>
      </c>
      <c r="W137" t="s">
        <v>60</v>
      </c>
      <c r="X137">
        <v>7</v>
      </c>
      <c r="Y137">
        <v>3</v>
      </c>
      <c r="Z137" t="s">
        <v>61</v>
      </c>
      <c r="AA137">
        <v>3</v>
      </c>
      <c r="AB137" t="s">
        <v>48</v>
      </c>
      <c r="AC137">
        <v>2</v>
      </c>
      <c r="AD137" t="s">
        <v>48</v>
      </c>
      <c r="AE137">
        <v>0</v>
      </c>
      <c r="AF137" t="s">
        <v>49</v>
      </c>
    </row>
    <row r="138" spans="1:32" x14ac:dyDescent="0.25">
      <c r="A138">
        <v>51</v>
      </c>
      <c r="B138" t="s">
        <v>64</v>
      </c>
      <c r="C138" t="s">
        <v>33</v>
      </c>
      <c r="D138" t="s">
        <v>51</v>
      </c>
      <c r="E138" t="s">
        <v>52</v>
      </c>
      <c r="F138">
        <v>8</v>
      </c>
      <c r="G138" t="s">
        <v>53</v>
      </c>
      <c r="H138">
        <v>1</v>
      </c>
      <c r="I138" t="s">
        <v>37</v>
      </c>
      <c r="J138" t="s">
        <v>54</v>
      </c>
      <c r="K138">
        <v>1</v>
      </c>
      <c r="L138" t="s">
        <v>55</v>
      </c>
      <c r="M138">
        <v>3</v>
      </c>
      <c r="N138" t="s">
        <v>68</v>
      </c>
      <c r="O138" t="s">
        <v>69</v>
      </c>
      <c r="P138">
        <v>4</v>
      </c>
      <c r="Q138" t="s">
        <v>42</v>
      </c>
      <c r="R138" t="s">
        <v>43</v>
      </c>
      <c r="S138">
        <v>2</v>
      </c>
      <c r="T138" t="s">
        <v>44</v>
      </c>
      <c r="U138" t="s">
        <v>59</v>
      </c>
      <c r="V138">
        <v>15</v>
      </c>
      <c r="W138" t="s">
        <v>45</v>
      </c>
      <c r="X138">
        <v>18</v>
      </c>
      <c r="Y138">
        <v>3</v>
      </c>
      <c r="Z138" t="s">
        <v>61</v>
      </c>
      <c r="AA138">
        <v>4</v>
      </c>
      <c r="AB138" t="s">
        <v>48</v>
      </c>
      <c r="AC138">
        <v>2</v>
      </c>
      <c r="AD138" t="s">
        <v>48</v>
      </c>
      <c r="AE138">
        <v>0</v>
      </c>
      <c r="AF138" t="s">
        <v>49</v>
      </c>
    </row>
    <row r="139" spans="1:32" x14ac:dyDescent="0.25">
      <c r="A139">
        <v>39</v>
      </c>
      <c r="B139" t="s">
        <v>32</v>
      </c>
      <c r="C139" t="s">
        <v>50</v>
      </c>
      <c r="D139" t="s">
        <v>34</v>
      </c>
      <c r="E139" t="s">
        <v>35</v>
      </c>
      <c r="F139">
        <v>4</v>
      </c>
      <c r="G139" t="s">
        <v>36</v>
      </c>
      <c r="H139">
        <v>4</v>
      </c>
      <c r="I139" t="s">
        <v>42</v>
      </c>
      <c r="J139" t="s">
        <v>38</v>
      </c>
      <c r="K139">
        <v>2</v>
      </c>
      <c r="L139" t="s">
        <v>55</v>
      </c>
      <c r="M139">
        <v>2</v>
      </c>
      <c r="N139" t="s">
        <v>40</v>
      </c>
      <c r="O139" t="s">
        <v>41</v>
      </c>
      <c r="P139">
        <v>3</v>
      </c>
      <c r="Q139" t="s">
        <v>42</v>
      </c>
      <c r="R139" t="s">
        <v>58</v>
      </c>
      <c r="S139">
        <v>4</v>
      </c>
      <c r="T139" t="s">
        <v>44</v>
      </c>
      <c r="U139" t="s">
        <v>59</v>
      </c>
      <c r="V139">
        <v>14</v>
      </c>
      <c r="W139" t="s">
        <v>45</v>
      </c>
      <c r="X139">
        <v>17</v>
      </c>
      <c r="Y139">
        <v>4</v>
      </c>
      <c r="Z139" t="s">
        <v>61</v>
      </c>
      <c r="AA139">
        <v>15</v>
      </c>
      <c r="AB139" t="s">
        <v>74</v>
      </c>
      <c r="AC139">
        <v>11</v>
      </c>
      <c r="AD139" t="s">
        <v>74</v>
      </c>
      <c r="AE139">
        <v>5</v>
      </c>
      <c r="AF139" t="s">
        <v>71</v>
      </c>
    </row>
    <row r="140" spans="1:32" x14ac:dyDescent="0.25">
      <c r="A140">
        <v>25</v>
      </c>
      <c r="B140" t="s">
        <v>63</v>
      </c>
      <c r="C140" t="s">
        <v>50</v>
      </c>
      <c r="D140" t="s">
        <v>34</v>
      </c>
      <c r="E140" t="s">
        <v>35</v>
      </c>
      <c r="F140">
        <v>28</v>
      </c>
      <c r="G140" t="s">
        <v>66</v>
      </c>
      <c r="H140">
        <v>1</v>
      </c>
      <c r="I140" t="s">
        <v>37</v>
      </c>
      <c r="J140" t="s">
        <v>54</v>
      </c>
      <c r="K140">
        <v>2</v>
      </c>
      <c r="L140" t="s">
        <v>55</v>
      </c>
      <c r="M140">
        <v>2</v>
      </c>
      <c r="N140" t="s">
        <v>40</v>
      </c>
      <c r="O140" t="s">
        <v>41</v>
      </c>
      <c r="P140">
        <v>3</v>
      </c>
      <c r="Q140" t="s">
        <v>42</v>
      </c>
      <c r="R140" t="s">
        <v>58</v>
      </c>
      <c r="S140">
        <v>2</v>
      </c>
      <c r="T140" t="s">
        <v>44</v>
      </c>
      <c r="U140" t="s">
        <v>59</v>
      </c>
      <c r="V140">
        <v>18</v>
      </c>
      <c r="W140" t="s">
        <v>45</v>
      </c>
      <c r="X140">
        <v>6</v>
      </c>
      <c r="Y140">
        <v>3</v>
      </c>
      <c r="Z140" t="s">
        <v>61</v>
      </c>
      <c r="AA140">
        <v>2</v>
      </c>
      <c r="AB140" t="s">
        <v>48</v>
      </c>
      <c r="AC140">
        <v>2</v>
      </c>
      <c r="AD140" t="s">
        <v>48</v>
      </c>
      <c r="AE140">
        <v>2</v>
      </c>
      <c r="AF140" t="s">
        <v>49</v>
      </c>
    </row>
    <row r="141" spans="1:32" x14ac:dyDescent="0.25">
      <c r="A141">
        <v>30</v>
      </c>
      <c r="B141" t="s">
        <v>32</v>
      </c>
      <c r="C141" t="s">
        <v>50</v>
      </c>
      <c r="D141" t="s">
        <v>34</v>
      </c>
      <c r="E141" t="s">
        <v>77</v>
      </c>
      <c r="F141">
        <v>9</v>
      </c>
      <c r="G141" t="s">
        <v>53</v>
      </c>
      <c r="H141">
        <v>3</v>
      </c>
      <c r="I141" t="s">
        <v>42</v>
      </c>
      <c r="J141" t="s">
        <v>54</v>
      </c>
      <c r="K141">
        <v>3</v>
      </c>
      <c r="L141" t="s">
        <v>39</v>
      </c>
      <c r="M141">
        <v>2</v>
      </c>
      <c r="N141" t="s">
        <v>40</v>
      </c>
      <c r="O141" t="s">
        <v>77</v>
      </c>
      <c r="P141">
        <v>4</v>
      </c>
      <c r="Q141" t="s">
        <v>42</v>
      </c>
      <c r="R141" t="s">
        <v>58</v>
      </c>
      <c r="S141">
        <v>0</v>
      </c>
      <c r="T141" t="s">
        <v>44</v>
      </c>
      <c r="U141" t="s">
        <v>44</v>
      </c>
      <c r="V141">
        <v>19</v>
      </c>
      <c r="W141" t="s">
        <v>45</v>
      </c>
      <c r="X141">
        <v>12</v>
      </c>
      <c r="Y141">
        <v>1</v>
      </c>
      <c r="Z141" t="s">
        <v>46</v>
      </c>
      <c r="AA141">
        <v>11</v>
      </c>
      <c r="AB141" t="s">
        <v>74</v>
      </c>
      <c r="AC141">
        <v>9</v>
      </c>
      <c r="AD141" t="s">
        <v>47</v>
      </c>
      <c r="AE141">
        <v>4</v>
      </c>
      <c r="AF141" t="s">
        <v>71</v>
      </c>
    </row>
    <row r="142" spans="1:32" x14ac:dyDescent="0.25">
      <c r="A142">
        <v>32</v>
      </c>
      <c r="B142" t="s">
        <v>32</v>
      </c>
      <c r="C142" t="s">
        <v>33</v>
      </c>
      <c r="D142" t="s">
        <v>34</v>
      </c>
      <c r="E142" t="s">
        <v>52</v>
      </c>
      <c r="F142">
        <v>9</v>
      </c>
      <c r="G142" t="s">
        <v>53</v>
      </c>
      <c r="H142">
        <v>1</v>
      </c>
      <c r="I142" t="s">
        <v>37</v>
      </c>
      <c r="J142" t="s">
        <v>38</v>
      </c>
      <c r="K142">
        <v>3</v>
      </c>
      <c r="L142" t="s">
        <v>39</v>
      </c>
      <c r="M142">
        <v>1</v>
      </c>
      <c r="N142" t="s">
        <v>40</v>
      </c>
      <c r="O142" t="s">
        <v>62</v>
      </c>
      <c r="P142">
        <v>1</v>
      </c>
      <c r="Q142" t="s">
        <v>57</v>
      </c>
      <c r="R142" t="s">
        <v>43</v>
      </c>
      <c r="S142">
        <v>7</v>
      </c>
      <c r="T142" t="s">
        <v>44</v>
      </c>
      <c r="U142" t="s">
        <v>59</v>
      </c>
      <c r="V142">
        <v>22</v>
      </c>
      <c r="W142" t="s">
        <v>60</v>
      </c>
      <c r="X142">
        <v>10</v>
      </c>
      <c r="Y142">
        <v>4</v>
      </c>
      <c r="Z142" t="s">
        <v>61</v>
      </c>
      <c r="AA142">
        <v>5</v>
      </c>
      <c r="AB142" t="s">
        <v>47</v>
      </c>
      <c r="AC142">
        <v>4</v>
      </c>
      <c r="AD142" t="s">
        <v>48</v>
      </c>
      <c r="AE142">
        <v>0</v>
      </c>
      <c r="AF142" t="s">
        <v>49</v>
      </c>
    </row>
    <row r="143" spans="1:32" x14ac:dyDescent="0.25">
      <c r="A143">
        <v>45</v>
      </c>
      <c r="B143" t="s">
        <v>32</v>
      </c>
      <c r="C143" t="s">
        <v>50</v>
      </c>
      <c r="D143" t="s">
        <v>34</v>
      </c>
      <c r="E143" t="s">
        <v>52</v>
      </c>
      <c r="F143">
        <v>29</v>
      </c>
      <c r="G143" t="s">
        <v>66</v>
      </c>
      <c r="H143">
        <v>3</v>
      </c>
      <c r="I143" t="s">
        <v>42</v>
      </c>
      <c r="J143" t="s">
        <v>54</v>
      </c>
      <c r="K143">
        <v>3</v>
      </c>
      <c r="L143" t="s">
        <v>39</v>
      </c>
      <c r="M143">
        <v>1</v>
      </c>
      <c r="N143" t="s">
        <v>40</v>
      </c>
      <c r="O143" t="s">
        <v>56</v>
      </c>
      <c r="P143">
        <v>4</v>
      </c>
      <c r="Q143" t="s">
        <v>42</v>
      </c>
      <c r="R143" t="s">
        <v>43</v>
      </c>
      <c r="S143">
        <v>5</v>
      </c>
      <c r="T143" t="s">
        <v>44</v>
      </c>
      <c r="U143" t="s">
        <v>59</v>
      </c>
      <c r="V143">
        <v>13</v>
      </c>
      <c r="W143" t="s">
        <v>45</v>
      </c>
      <c r="X143">
        <v>9</v>
      </c>
      <c r="Y143">
        <v>2</v>
      </c>
      <c r="Z143" t="s">
        <v>46</v>
      </c>
      <c r="AA143">
        <v>6</v>
      </c>
      <c r="AB143" t="s">
        <v>47</v>
      </c>
      <c r="AC143">
        <v>5</v>
      </c>
      <c r="AD143" t="s">
        <v>47</v>
      </c>
      <c r="AE143">
        <v>0</v>
      </c>
      <c r="AF143" t="s">
        <v>49</v>
      </c>
    </row>
    <row r="144" spans="1:32" x14ac:dyDescent="0.25">
      <c r="A144">
        <v>38</v>
      </c>
      <c r="B144" t="s">
        <v>32</v>
      </c>
      <c r="C144" t="s">
        <v>50</v>
      </c>
      <c r="D144" t="s">
        <v>34</v>
      </c>
      <c r="E144" t="s">
        <v>52</v>
      </c>
      <c r="F144">
        <v>3</v>
      </c>
      <c r="G144" t="s">
        <v>36</v>
      </c>
      <c r="H144">
        <v>4</v>
      </c>
      <c r="I144" t="s">
        <v>42</v>
      </c>
      <c r="J144" t="s">
        <v>38</v>
      </c>
      <c r="K144">
        <v>3</v>
      </c>
      <c r="L144" t="s">
        <v>39</v>
      </c>
      <c r="M144">
        <v>2</v>
      </c>
      <c r="N144" t="s">
        <v>40</v>
      </c>
      <c r="O144" t="s">
        <v>56</v>
      </c>
      <c r="P144">
        <v>3</v>
      </c>
      <c r="Q144" t="s">
        <v>42</v>
      </c>
      <c r="R144" t="s">
        <v>43</v>
      </c>
      <c r="S144">
        <v>3</v>
      </c>
      <c r="T144" t="s">
        <v>44</v>
      </c>
      <c r="U144" t="s">
        <v>44</v>
      </c>
      <c r="V144">
        <v>20</v>
      </c>
      <c r="W144" t="s">
        <v>60</v>
      </c>
      <c r="X144">
        <v>19</v>
      </c>
      <c r="Y144">
        <v>3</v>
      </c>
      <c r="Z144" t="s">
        <v>61</v>
      </c>
      <c r="AA144">
        <v>3</v>
      </c>
      <c r="AB144" t="s">
        <v>48</v>
      </c>
      <c r="AC144">
        <v>2</v>
      </c>
      <c r="AD144" t="s">
        <v>48</v>
      </c>
      <c r="AE144">
        <v>2</v>
      </c>
      <c r="AF144" t="s">
        <v>49</v>
      </c>
    </row>
    <row r="145" spans="1:32" x14ac:dyDescent="0.25">
      <c r="A145">
        <v>30</v>
      </c>
      <c r="B145" t="s">
        <v>32</v>
      </c>
      <c r="C145" t="s">
        <v>50</v>
      </c>
      <c r="D145" t="s">
        <v>34</v>
      </c>
      <c r="E145" t="s">
        <v>52</v>
      </c>
      <c r="F145">
        <v>18</v>
      </c>
      <c r="G145" t="s">
        <v>66</v>
      </c>
      <c r="H145">
        <v>1</v>
      </c>
      <c r="I145" t="s">
        <v>37</v>
      </c>
      <c r="J145" t="s">
        <v>38</v>
      </c>
      <c r="K145">
        <v>3</v>
      </c>
      <c r="L145" t="s">
        <v>39</v>
      </c>
      <c r="M145">
        <v>1</v>
      </c>
      <c r="N145" t="s">
        <v>40</v>
      </c>
      <c r="O145" t="s">
        <v>56</v>
      </c>
      <c r="P145">
        <v>3</v>
      </c>
      <c r="Q145" t="s">
        <v>42</v>
      </c>
      <c r="R145" t="s">
        <v>43</v>
      </c>
      <c r="S145">
        <v>1</v>
      </c>
      <c r="T145" t="s">
        <v>44</v>
      </c>
      <c r="U145" t="s">
        <v>59</v>
      </c>
      <c r="V145">
        <v>14</v>
      </c>
      <c r="W145" t="s">
        <v>45</v>
      </c>
      <c r="X145">
        <v>5</v>
      </c>
      <c r="Y145">
        <v>2</v>
      </c>
      <c r="Z145" t="s">
        <v>46</v>
      </c>
      <c r="AA145">
        <v>5</v>
      </c>
      <c r="AB145" t="s">
        <v>47</v>
      </c>
      <c r="AC145">
        <v>4</v>
      </c>
      <c r="AD145" t="s">
        <v>48</v>
      </c>
      <c r="AE145">
        <v>0</v>
      </c>
      <c r="AF145" t="s">
        <v>49</v>
      </c>
    </row>
    <row r="146" spans="1:32" x14ac:dyDescent="0.25">
      <c r="A146">
        <v>32</v>
      </c>
      <c r="B146" t="s">
        <v>32</v>
      </c>
      <c r="C146" t="s">
        <v>50</v>
      </c>
      <c r="D146" t="s">
        <v>51</v>
      </c>
      <c r="E146" t="s">
        <v>35</v>
      </c>
      <c r="F146">
        <v>9</v>
      </c>
      <c r="G146" t="s">
        <v>53</v>
      </c>
      <c r="H146">
        <v>4</v>
      </c>
      <c r="I146" t="s">
        <v>42</v>
      </c>
      <c r="J146" t="s">
        <v>54</v>
      </c>
      <c r="K146">
        <v>1</v>
      </c>
      <c r="L146" t="s">
        <v>55</v>
      </c>
      <c r="M146">
        <v>2</v>
      </c>
      <c r="N146" t="s">
        <v>40</v>
      </c>
      <c r="O146" t="s">
        <v>41</v>
      </c>
      <c r="P146">
        <v>4</v>
      </c>
      <c r="Q146" t="s">
        <v>42</v>
      </c>
      <c r="R146" t="s">
        <v>67</v>
      </c>
      <c r="S146">
        <v>0</v>
      </c>
      <c r="T146" t="s">
        <v>44</v>
      </c>
      <c r="U146" t="s">
        <v>59</v>
      </c>
      <c r="V146">
        <v>17</v>
      </c>
      <c r="W146" t="s">
        <v>45</v>
      </c>
      <c r="X146">
        <v>9</v>
      </c>
      <c r="Y146">
        <v>4</v>
      </c>
      <c r="Z146" t="s">
        <v>61</v>
      </c>
      <c r="AA146">
        <v>8</v>
      </c>
      <c r="AB146" t="s">
        <v>47</v>
      </c>
      <c r="AC146">
        <v>7</v>
      </c>
      <c r="AD146" t="s">
        <v>47</v>
      </c>
      <c r="AE146">
        <v>0</v>
      </c>
      <c r="AF146" t="s">
        <v>49</v>
      </c>
    </row>
    <row r="147" spans="1:32" x14ac:dyDescent="0.25">
      <c r="A147">
        <v>30</v>
      </c>
      <c r="B147" t="s">
        <v>32</v>
      </c>
      <c r="C147" t="s">
        <v>50</v>
      </c>
      <c r="D147" t="s">
        <v>34</v>
      </c>
      <c r="E147" t="s">
        <v>52</v>
      </c>
      <c r="F147">
        <v>5</v>
      </c>
      <c r="G147" t="s">
        <v>36</v>
      </c>
      <c r="H147">
        <v>4</v>
      </c>
      <c r="I147" t="s">
        <v>42</v>
      </c>
      <c r="J147" t="s">
        <v>38</v>
      </c>
      <c r="K147">
        <v>3</v>
      </c>
      <c r="L147" t="s">
        <v>39</v>
      </c>
      <c r="M147">
        <v>1</v>
      </c>
      <c r="N147" t="s">
        <v>40</v>
      </c>
      <c r="O147" t="s">
        <v>56</v>
      </c>
      <c r="P147">
        <v>1</v>
      </c>
      <c r="Q147" t="s">
        <v>57</v>
      </c>
      <c r="R147" t="s">
        <v>67</v>
      </c>
      <c r="S147">
        <v>5</v>
      </c>
      <c r="T147" t="s">
        <v>44</v>
      </c>
      <c r="U147" t="s">
        <v>59</v>
      </c>
      <c r="V147">
        <v>14</v>
      </c>
      <c r="W147" t="s">
        <v>45</v>
      </c>
      <c r="X147">
        <v>8</v>
      </c>
      <c r="Y147">
        <v>3</v>
      </c>
      <c r="Z147" t="s">
        <v>61</v>
      </c>
      <c r="AA147">
        <v>3</v>
      </c>
      <c r="AB147" t="s">
        <v>48</v>
      </c>
      <c r="AC147">
        <v>2</v>
      </c>
      <c r="AD147" t="s">
        <v>48</v>
      </c>
      <c r="AE147">
        <v>2</v>
      </c>
      <c r="AF147" t="s">
        <v>49</v>
      </c>
    </row>
    <row r="148" spans="1:32" x14ac:dyDescent="0.25">
      <c r="A148">
        <v>30</v>
      </c>
      <c r="B148" t="s">
        <v>32</v>
      </c>
      <c r="C148" t="s">
        <v>50</v>
      </c>
      <c r="D148" t="s">
        <v>34</v>
      </c>
      <c r="E148" t="s">
        <v>52</v>
      </c>
      <c r="F148">
        <v>2</v>
      </c>
      <c r="G148" t="s">
        <v>36</v>
      </c>
      <c r="H148">
        <v>2</v>
      </c>
      <c r="I148" t="s">
        <v>37</v>
      </c>
      <c r="J148" t="s">
        <v>54</v>
      </c>
      <c r="K148">
        <v>2</v>
      </c>
      <c r="L148" t="s">
        <v>55</v>
      </c>
      <c r="M148">
        <v>1</v>
      </c>
      <c r="N148" t="s">
        <v>40</v>
      </c>
      <c r="O148" t="s">
        <v>62</v>
      </c>
      <c r="P148">
        <v>4</v>
      </c>
      <c r="Q148" t="s">
        <v>42</v>
      </c>
      <c r="R148" t="s">
        <v>43</v>
      </c>
      <c r="S148">
        <v>0</v>
      </c>
      <c r="T148" t="s">
        <v>44</v>
      </c>
      <c r="U148" t="s">
        <v>59</v>
      </c>
      <c r="V148">
        <v>13</v>
      </c>
      <c r="W148" t="s">
        <v>45</v>
      </c>
      <c r="X148">
        <v>6</v>
      </c>
      <c r="Y148">
        <v>3</v>
      </c>
      <c r="Z148" t="s">
        <v>61</v>
      </c>
      <c r="AA148">
        <v>5</v>
      </c>
      <c r="AB148" t="s">
        <v>47</v>
      </c>
      <c r="AC148">
        <v>3</v>
      </c>
      <c r="AD148" t="s">
        <v>48</v>
      </c>
      <c r="AE148">
        <v>1</v>
      </c>
      <c r="AF148" t="s">
        <v>49</v>
      </c>
    </row>
    <row r="149" spans="1:32" x14ac:dyDescent="0.25">
      <c r="A149">
        <v>41</v>
      </c>
      <c r="B149" t="s">
        <v>32</v>
      </c>
      <c r="C149" t="s">
        <v>50</v>
      </c>
      <c r="D149" t="s">
        <v>51</v>
      </c>
      <c r="E149" t="s">
        <v>52</v>
      </c>
      <c r="F149">
        <v>10</v>
      </c>
      <c r="G149" t="s">
        <v>53</v>
      </c>
      <c r="H149">
        <v>4</v>
      </c>
      <c r="I149" t="s">
        <v>42</v>
      </c>
      <c r="J149" t="s">
        <v>54</v>
      </c>
      <c r="K149">
        <v>2</v>
      </c>
      <c r="L149" t="s">
        <v>55</v>
      </c>
      <c r="M149">
        <v>4</v>
      </c>
      <c r="N149" t="s">
        <v>72</v>
      </c>
      <c r="O149" t="s">
        <v>73</v>
      </c>
      <c r="P149">
        <v>1</v>
      </c>
      <c r="Q149" t="s">
        <v>57</v>
      </c>
      <c r="R149" t="s">
        <v>67</v>
      </c>
      <c r="S149">
        <v>4</v>
      </c>
      <c r="T149" t="s">
        <v>44</v>
      </c>
      <c r="U149" t="s">
        <v>59</v>
      </c>
      <c r="V149">
        <v>13</v>
      </c>
      <c r="W149" t="s">
        <v>45</v>
      </c>
      <c r="X149">
        <v>21</v>
      </c>
      <c r="Y149">
        <v>2</v>
      </c>
      <c r="Z149" t="s">
        <v>46</v>
      </c>
      <c r="AA149">
        <v>7</v>
      </c>
      <c r="AB149" t="s">
        <v>47</v>
      </c>
      <c r="AC149">
        <v>6</v>
      </c>
      <c r="AD149" t="s">
        <v>47</v>
      </c>
      <c r="AE149">
        <v>7</v>
      </c>
      <c r="AF149" t="s">
        <v>71</v>
      </c>
    </row>
    <row r="150" spans="1:32" x14ac:dyDescent="0.25">
      <c r="A150">
        <v>41</v>
      </c>
      <c r="B150" t="s">
        <v>32</v>
      </c>
      <c r="C150" t="s">
        <v>50</v>
      </c>
      <c r="D150" t="s">
        <v>34</v>
      </c>
      <c r="E150" t="s">
        <v>52</v>
      </c>
      <c r="F150">
        <v>9</v>
      </c>
      <c r="G150" t="s">
        <v>53</v>
      </c>
      <c r="H150">
        <v>3</v>
      </c>
      <c r="I150" t="s">
        <v>42</v>
      </c>
      <c r="J150" t="s">
        <v>54</v>
      </c>
      <c r="K150">
        <v>3</v>
      </c>
      <c r="L150" t="s">
        <v>39</v>
      </c>
      <c r="M150">
        <v>1</v>
      </c>
      <c r="N150" t="s">
        <v>40</v>
      </c>
      <c r="O150" t="s">
        <v>62</v>
      </c>
      <c r="P150">
        <v>1</v>
      </c>
      <c r="Q150" t="s">
        <v>57</v>
      </c>
      <c r="R150" t="s">
        <v>58</v>
      </c>
      <c r="S150">
        <v>2</v>
      </c>
      <c r="T150" t="s">
        <v>44</v>
      </c>
      <c r="U150" t="s">
        <v>59</v>
      </c>
      <c r="V150">
        <v>21</v>
      </c>
      <c r="W150" t="s">
        <v>60</v>
      </c>
      <c r="X150">
        <v>7</v>
      </c>
      <c r="Y150">
        <v>3</v>
      </c>
      <c r="Z150" t="s">
        <v>61</v>
      </c>
      <c r="AA150">
        <v>5</v>
      </c>
      <c r="AB150" t="s">
        <v>47</v>
      </c>
      <c r="AC150">
        <v>0</v>
      </c>
      <c r="AD150" t="s">
        <v>48</v>
      </c>
      <c r="AE150">
        <v>1</v>
      </c>
      <c r="AF150" t="s">
        <v>49</v>
      </c>
    </row>
    <row r="151" spans="1:32" x14ac:dyDescent="0.25">
      <c r="A151">
        <v>19</v>
      </c>
      <c r="B151" t="s">
        <v>63</v>
      </c>
      <c r="C151" t="s">
        <v>50</v>
      </c>
      <c r="D151" t="s">
        <v>34</v>
      </c>
      <c r="E151" t="s">
        <v>52</v>
      </c>
      <c r="F151">
        <v>3</v>
      </c>
      <c r="G151" t="s">
        <v>36</v>
      </c>
      <c r="H151">
        <v>2</v>
      </c>
      <c r="I151" t="s">
        <v>37</v>
      </c>
      <c r="J151" t="s">
        <v>38</v>
      </c>
      <c r="K151">
        <v>3</v>
      </c>
      <c r="L151" t="s">
        <v>39</v>
      </c>
      <c r="M151">
        <v>1</v>
      </c>
      <c r="N151" t="s">
        <v>40</v>
      </c>
      <c r="O151" t="s">
        <v>62</v>
      </c>
      <c r="P151">
        <v>2</v>
      </c>
      <c r="Q151" t="s">
        <v>57</v>
      </c>
      <c r="R151" t="s">
        <v>43</v>
      </c>
      <c r="S151">
        <v>1</v>
      </c>
      <c r="T151" t="s">
        <v>44</v>
      </c>
      <c r="U151" t="s">
        <v>59</v>
      </c>
      <c r="V151">
        <v>14</v>
      </c>
      <c r="W151" t="s">
        <v>45</v>
      </c>
      <c r="X151">
        <v>1</v>
      </c>
      <c r="Y151">
        <v>3</v>
      </c>
      <c r="Z151" t="s">
        <v>61</v>
      </c>
      <c r="AA151">
        <v>1</v>
      </c>
      <c r="AB151" t="s">
        <v>48</v>
      </c>
      <c r="AC151">
        <v>0</v>
      </c>
      <c r="AD151" t="s">
        <v>48</v>
      </c>
      <c r="AE151">
        <v>0</v>
      </c>
      <c r="AF151" t="s">
        <v>49</v>
      </c>
    </row>
    <row r="152" spans="1:32" x14ac:dyDescent="0.25">
      <c r="A152">
        <v>40</v>
      </c>
      <c r="B152" t="s">
        <v>32</v>
      </c>
      <c r="C152" t="s">
        <v>50</v>
      </c>
      <c r="D152" t="s">
        <v>51</v>
      </c>
      <c r="E152" t="s">
        <v>52</v>
      </c>
      <c r="F152">
        <v>26</v>
      </c>
      <c r="G152" t="s">
        <v>66</v>
      </c>
      <c r="H152">
        <v>2</v>
      </c>
      <c r="I152" t="s">
        <v>37</v>
      </c>
      <c r="J152" t="s">
        <v>38</v>
      </c>
      <c r="K152">
        <v>3</v>
      </c>
      <c r="L152" t="s">
        <v>39</v>
      </c>
      <c r="M152">
        <v>2</v>
      </c>
      <c r="N152" t="s">
        <v>40</v>
      </c>
      <c r="O152" t="s">
        <v>56</v>
      </c>
      <c r="P152">
        <v>2</v>
      </c>
      <c r="Q152" t="s">
        <v>57</v>
      </c>
      <c r="R152" t="s">
        <v>67</v>
      </c>
      <c r="S152">
        <v>1</v>
      </c>
      <c r="T152" t="s">
        <v>44</v>
      </c>
      <c r="U152" t="s">
        <v>59</v>
      </c>
      <c r="V152">
        <v>11</v>
      </c>
      <c r="W152" t="s">
        <v>45</v>
      </c>
      <c r="X152">
        <v>20</v>
      </c>
      <c r="Y152">
        <v>3</v>
      </c>
      <c r="Z152" t="s">
        <v>61</v>
      </c>
      <c r="AA152">
        <v>20</v>
      </c>
      <c r="AB152" t="s">
        <v>74</v>
      </c>
      <c r="AC152">
        <v>7</v>
      </c>
      <c r="AD152" t="s">
        <v>47</v>
      </c>
      <c r="AE152">
        <v>2</v>
      </c>
      <c r="AF152" t="s">
        <v>49</v>
      </c>
    </row>
    <row r="153" spans="1:32" x14ac:dyDescent="0.25">
      <c r="A153">
        <v>35</v>
      </c>
      <c r="B153" t="s">
        <v>32</v>
      </c>
      <c r="C153" t="s">
        <v>50</v>
      </c>
      <c r="D153" t="s">
        <v>34</v>
      </c>
      <c r="E153" t="s">
        <v>35</v>
      </c>
      <c r="F153">
        <v>1</v>
      </c>
      <c r="G153" t="s">
        <v>36</v>
      </c>
      <c r="H153">
        <v>3</v>
      </c>
      <c r="I153" t="s">
        <v>42</v>
      </c>
      <c r="J153" t="s">
        <v>54</v>
      </c>
      <c r="K153">
        <v>3</v>
      </c>
      <c r="L153" t="s">
        <v>39</v>
      </c>
      <c r="M153">
        <v>3</v>
      </c>
      <c r="N153" t="s">
        <v>68</v>
      </c>
      <c r="O153" t="s">
        <v>41</v>
      </c>
      <c r="P153">
        <v>2</v>
      </c>
      <c r="Q153" t="s">
        <v>57</v>
      </c>
      <c r="R153" t="s">
        <v>58</v>
      </c>
      <c r="S153">
        <v>1</v>
      </c>
      <c r="T153" t="s">
        <v>44</v>
      </c>
      <c r="U153" t="s">
        <v>59</v>
      </c>
      <c r="V153">
        <v>13</v>
      </c>
      <c r="W153" t="s">
        <v>45</v>
      </c>
      <c r="X153">
        <v>10</v>
      </c>
      <c r="Y153">
        <v>3</v>
      </c>
      <c r="Z153" t="s">
        <v>61</v>
      </c>
      <c r="AA153">
        <v>10</v>
      </c>
      <c r="AB153" t="s">
        <v>47</v>
      </c>
      <c r="AC153">
        <v>8</v>
      </c>
      <c r="AD153" t="s">
        <v>47</v>
      </c>
      <c r="AE153">
        <v>0</v>
      </c>
      <c r="AF153" t="s">
        <v>49</v>
      </c>
    </row>
    <row r="154" spans="1:32" x14ac:dyDescent="0.25">
      <c r="A154">
        <v>53</v>
      </c>
      <c r="B154" t="s">
        <v>64</v>
      </c>
      <c r="C154" t="s">
        <v>50</v>
      </c>
      <c r="D154" t="s">
        <v>34</v>
      </c>
      <c r="E154" t="s">
        <v>35</v>
      </c>
      <c r="F154">
        <v>6</v>
      </c>
      <c r="G154" t="s">
        <v>53</v>
      </c>
      <c r="H154">
        <v>2</v>
      </c>
      <c r="I154" t="s">
        <v>37</v>
      </c>
      <c r="J154" t="s">
        <v>54</v>
      </c>
      <c r="K154">
        <v>3</v>
      </c>
      <c r="L154" t="s">
        <v>39</v>
      </c>
      <c r="M154">
        <v>2</v>
      </c>
      <c r="N154" t="s">
        <v>40</v>
      </c>
      <c r="O154" t="s">
        <v>75</v>
      </c>
      <c r="P154">
        <v>3</v>
      </c>
      <c r="Q154" t="s">
        <v>42</v>
      </c>
      <c r="R154" t="s">
        <v>58</v>
      </c>
      <c r="S154">
        <v>2</v>
      </c>
      <c r="T154" t="s">
        <v>44</v>
      </c>
      <c r="U154" t="s">
        <v>44</v>
      </c>
      <c r="V154">
        <v>20</v>
      </c>
      <c r="W154" t="s">
        <v>60</v>
      </c>
      <c r="X154">
        <v>13</v>
      </c>
      <c r="Y154">
        <v>1</v>
      </c>
      <c r="Z154" t="s">
        <v>46</v>
      </c>
      <c r="AA154">
        <v>7</v>
      </c>
      <c r="AB154" t="s">
        <v>47</v>
      </c>
      <c r="AC154">
        <v>7</v>
      </c>
      <c r="AD154" t="s">
        <v>47</v>
      </c>
      <c r="AE154">
        <v>4</v>
      </c>
      <c r="AF154" t="s">
        <v>71</v>
      </c>
    </row>
    <row r="155" spans="1:32" x14ac:dyDescent="0.25">
      <c r="A155">
        <v>45</v>
      </c>
      <c r="B155" t="s">
        <v>32</v>
      </c>
      <c r="C155" t="s">
        <v>50</v>
      </c>
      <c r="D155" t="s">
        <v>34</v>
      </c>
      <c r="E155" t="s">
        <v>52</v>
      </c>
      <c r="F155">
        <v>9</v>
      </c>
      <c r="G155" t="s">
        <v>53</v>
      </c>
      <c r="H155">
        <v>2</v>
      </c>
      <c r="I155" t="s">
        <v>37</v>
      </c>
      <c r="J155" t="s">
        <v>54</v>
      </c>
      <c r="K155">
        <v>3</v>
      </c>
      <c r="L155" t="s">
        <v>39</v>
      </c>
      <c r="M155">
        <v>2</v>
      </c>
      <c r="N155" t="s">
        <v>40</v>
      </c>
      <c r="O155" t="s">
        <v>62</v>
      </c>
      <c r="P155">
        <v>2</v>
      </c>
      <c r="Q155" t="s">
        <v>57</v>
      </c>
      <c r="R155" t="s">
        <v>67</v>
      </c>
      <c r="S155">
        <v>8</v>
      </c>
      <c r="T155" t="s">
        <v>44</v>
      </c>
      <c r="U155" t="s">
        <v>59</v>
      </c>
      <c r="V155">
        <v>18</v>
      </c>
      <c r="W155" t="s">
        <v>45</v>
      </c>
      <c r="X155">
        <v>20</v>
      </c>
      <c r="Y155">
        <v>1</v>
      </c>
      <c r="Z155" t="s">
        <v>46</v>
      </c>
      <c r="AA155">
        <v>17</v>
      </c>
      <c r="AB155" t="s">
        <v>74</v>
      </c>
      <c r="AC155">
        <v>9</v>
      </c>
      <c r="AD155" t="s">
        <v>47</v>
      </c>
      <c r="AE155">
        <v>0</v>
      </c>
      <c r="AF155" t="s">
        <v>49</v>
      </c>
    </row>
    <row r="156" spans="1:32" x14ac:dyDescent="0.25">
      <c r="A156">
        <v>32</v>
      </c>
      <c r="B156" t="s">
        <v>32</v>
      </c>
      <c r="C156" t="s">
        <v>50</v>
      </c>
      <c r="D156" t="s">
        <v>51</v>
      </c>
      <c r="E156" t="s">
        <v>35</v>
      </c>
      <c r="F156">
        <v>8</v>
      </c>
      <c r="G156" t="s">
        <v>53</v>
      </c>
      <c r="H156">
        <v>2</v>
      </c>
      <c r="I156" t="s">
        <v>37</v>
      </c>
      <c r="J156" t="s">
        <v>38</v>
      </c>
      <c r="K156">
        <v>3</v>
      </c>
      <c r="L156" t="s">
        <v>39</v>
      </c>
      <c r="M156">
        <v>3</v>
      </c>
      <c r="N156" t="s">
        <v>68</v>
      </c>
      <c r="O156" t="s">
        <v>41</v>
      </c>
      <c r="P156">
        <v>4</v>
      </c>
      <c r="Q156" t="s">
        <v>42</v>
      </c>
      <c r="R156" t="s">
        <v>43</v>
      </c>
      <c r="S156">
        <v>1</v>
      </c>
      <c r="T156" t="s">
        <v>44</v>
      </c>
      <c r="U156" t="s">
        <v>59</v>
      </c>
      <c r="V156">
        <v>14</v>
      </c>
      <c r="W156" t="s">
        <v>45</v>
      </c>
      <c r="X156">
        <v>9</v>
      </c>
      <c r="Y156">
        <v>3</v>
      </c>
      <c r="Z156" t="s">
        <v>61</v>
      </c>
      <c r="AA156">
        <v>9</v>
      </c>
      <c r="AB156" t="s">
        <v>47</v>
      </c>
      <c r="AC156">
        <v>8</v>
      </c>
      <c r="AD156" t="s">
        <v>47</v>
      </c>
      <c r="AE156">
        <v>3</v>
      </c>
      <c r="AF156" t="s">
        <v>49</v>
      </c>
    </row>
    <row r="157" spans="1:32" x14ac:dyDescent="0.25">
      <c r="A157">
        <v>29</v>
      </c>
      <c r="B157" t="s">
        <v>63</v>
      </c>
      <c r="C157" t="s">
        <v>50</v>
      </c>
      <c r="D157" t="s">
        <v>34</v>
      </c>
      <c r="E157" t="s">
        <v>52</v>
      </c>
      <c r="F157">
        <v>1</v>
      </c>
      <c r="G157" t="s">
        <v>36</v>
      </c>
      <c r="H157">
        <v>4</v>
      </c>
      <c r="I157" t="s">
        <v>42</v>
      </c>
      <c r="J157" t="s">
        <v>54</v>
      </c>
      <c r="K157">
        <v>3</v>
      </c>
      <c r="L157" t="s">
        <v>39</v>
      </c>
      <c r="M157">
        <v>2</v>
      </c>
      <c r="N157" t="s">
        <v>40</v>
      </c>
      <c r="O157" t="s">
        <v>69</v>
      </c>
      <c r="P157">
        <v>3</v>
      </c>
      <c r="Q157" t="s">
        <v>42</v>
      </c>
      <c r="R157" t="s">
        <v>58</v>
      </c>
      <c r="S157">
        <v>1</v>
      </c>
      <c r="T157" t="s">
        <v>44</v>
      </c>
      <c r="U157" t="s">
        <v>59</v>
      </c>
      <c r="V157">
        <v>13</v>
      </c>
      <c r="W157" t="s">
        <v>45</v>
      </c>
      <c r="X157">
        <v>10</v>
      </c>
      <c r="Y157">
        <v>3</v>
      </c>
      <c r="Z157" t="s">
        <v>61</v>
      </c>
      <c r="AA157">
        <v>10</v>
      </c>
      <c r="AB157" t="s">
        <v>47</v>
      </c>
      <c r="AC157">
        <v>7</v>
      </c>
      <c r="AD157" t="s">
        <v>47</v>
      </c>
      <c r="AE157">
        <v>0</v>
      </c>
      <c r="AF157" t="s">
        <v>49</v>
      </c>
    </row>
    <row r="158" spans="1:32" x14ac:dyDescent="0.25">
      <c r="A158">
        <v>51</v>
      </c>
      <c r="B158" t="s">
        <v>64</v>
      </c>
      <c r="C158" t="s">
        <v>50</v>
      </c>
      <c r="D158" t="s">
        <v>34</v>
      </c>
      <c r="E158" t="s">
        <v>52</v>
      </c>
      <c r="F158">
        <v>7</v>
      </c>
      <c r="G158" t="s">
        <v>53</v>
      </c>
      <c r="H158">
        <v>2</v>
      </c>
      <c r="I158" t="s">
        <v>37</v>
      </c>
      <c r="J158" t="s">
        <v>54</v>
      </c>
      <c r="K158">
        <v>2</v>
      </c>
      <c r="L158" t="s">
        <v>55</v>
      </c>
      <c r="M158">
        <v>2</v>
      </c>
      <c r="N158" t="s">
        <v>40</v>
      </c>
      <c r="O158" t="s">
        <v>69</v>
      </c>
      <c r="P158">
        <v>3</v>
      </c>
      <c r="Q158" t="s">
        <v>42</v>
      </c>
      <c r="R158" t="s">
        <v>58</v>
      </c>
      <c r="S158">
        <v>2</v>
      </c>
      <c r="T158" t="s">
        <v>44</v>
      </c>
      <c r="U158" t="s">
        <v>59</v>
      </c>
      <c r="V158">
        <v>17</v>
      </c>
      <c r="W158" t="s">
        <v>45</v>
      </c>
      <c r="X158">
        <v>10</v>
      </c>
      <c r="Y158">
        <v>3</v>
      </c>
      <c r="Z158" t="s">
        <v>61</v>
      </c>
      <c r="AA158">
        <v>1</v>
      </c>
      <c r="AB158" t="s">
        <v>48</v>
      </c>
      <c r="AC158">
        <v>0</v>
      </c>
      <c r="AD158" t="s">
        <v>48</v>
      </c>
      <c r="AE158">
        <v>0</v>
      </c>
      <c r="AF158" t="s">
        <v>49</v>
      </c>
    </row>
    <row r="159" spans="1:32" x14ac:dyDescent="0.25">
      <c r="A159">
        <v>58</v>
      </c>
      <c r="B159" t="s">
        <v>64</v>
      </c>
      <c r="C159" t="s">
        <v>50</v>
      </c>
      <c r="D159" t="s">
        <v>34</v>
      </c>
      <c r="E159" t="s">
        <v>52</v>
      </c>
      <c r="F159">
        <v>9</v>
      </c>
      <c r="G159" t="s">
        <v>53</v>
      </c>
      <c r="H159">
        <v>2</v>
      </c>
      <c r="I159" t="s">
        <v>37</v>
      </c>
      <c r="J159" t="s">
        <v>38</v>
      </c>
      <c r="K159">
        <v>2</v>
      </c>
      <c r="L159" t="s">
        <v>55</v>
      </c>
      <c r="M159">
        <v>1</v>
      </c>
      <c r="N159" t="s">
        <v>40</v>
      </c>
      <c r="O159" t="s">
        <v>56</v>
      </c>
      <c r="P159">
        <v>2</v>
      </c>
      <c r="Q159" t="s">
        <v>57</v>
      </c>
      <c r="R159" t="s">
        <v>58</v>
      </c>
      <c r="S159">
        <v>4</v>
      </c>
      <c r="T159" t="s">
        <v>44</v>
      </c>
      <c r="U159" t="s">
        <v>44</v>
      </c>
      <c r="V159">
        <v>20</v>
      </c>
      <c r="W159" t="s">
        <v>60</v>
      </c>
      <c r="X159">
        <v>9</v>
      </c>
      <c r="Y159">
        <v>2</v>
      </c>
      <c r="Z159" t="s">
        <v>46</v>
      </c>
      <c r="AA159">
        <v>1</v>
      </c>
      <c r="AB159" t="s">
        <v>48</v>
      </c>
      <c r="AC159">
        <v>0</v>
      </c>
      <c r="AD159" t="s">
        <v>48</v>
      </c>
      <c r="AE159">
        <v>0</v>
      </c>
      <c r="AF159" t="s">
        <v>49</v>
      </c>
    </row>
    <row r="160" spans="1:32" x14ac:dyDescent="0.25">
      <c r="A160">
        <v>40</v>
      </c>
      <c r="B160" t="s">
        <v>32</v>
      </c>
      <c r="C160" t="s">
        <v>50</v>
      </c>
      <c r="D160" t="s">
        <v>34</v>
      </c>
      <c r="E160" t="s">
        <v>35</v>
      </c>
      <c r="F160">
        <v>4</v>
      </c>
      <c r="G160" t="s">
        <v>36</v>
      </c>
      <c r="H160">
        <v>3</v>
      </c>
      <c r="I160" t="s">
        <v>42</v>
      </c>
      <c r="J160" t="s">
        <v>54</v>
      </c>
      <c r="K160">
        <v>2</v>
      </c>
      <c r="L160" t="s">
        <v>55</v>
      </c>
      <c r="M160">
        <v>3</v>
      </c>
      <c r="N160" t="s">
        <v>68</v>
      </c>
      <c r="O160" t="s">
        <v>41</v>
      </c>
      <c r="P160">
        <v>4</v>
      </c>
      <c r="Q160" t="s">
        <v>42</v>
      </c>
      <c r="R160" t="s">
        <v>58</v>
      </c>
      <c r="S160">
        <v>7</v>
      </c>
      <c r="T160" t="s">
        <v>44</v>
      </c>
      <c r="U160" t="s">
        <v>59</v>
      </c>
      <c r="V160">
        <v>11</v>
      </c>
      <c r="W160" t="s">
        <v>45</v>
      </c>
      <c r="X160">
        <v>15</v>
      </c>
      <c r="Y160">
        <v>2</v>
      </c>
      <c r="Z160" t="s">
        <v>46</v>
      </c>
      <c r="AA160">
        <v>12</v>
      </c>
      <c r="AB160" t="s">
        <v>74</v>
      </c>
      <c r="AC160">
        <v>11</v>
      </c>
      <c r="AD160" t="s">
        <v>74</v>
      </c>
      <c r="AE160">
        <v>2</v>
      </c>
      <c r="AF160" t="s">
        <v>49</v>
      </c>
    </row>
    <row r="161" spans="1:32" x14ac:dyDescent="0.25">
      <c r="A161">
        <v>34</v>
      </c>
      <c r="B161" t="s">
        <v>32</v>
      </c>
      <c r="C161" t="s">
        <v>50</v>
      </c>
      <c r="D161" t="s">
        <v>51</v>
      </c>
      <c r="E161" t="s">
        <v>35</v>
      </c>
      <c r="F161">
        <v>2</v>
      </c>
      <c r="G161" t="s">
        <v>36</v>
      </c>
      <c r="H161">
        <v>3</v>
      </c>
      <c r="I161" t="s">
        <v>42</v>
      </c>
      <c r="J161" t="s">
        <v>38</v>
      </c>
      <c r="K161">
        <v>3</v>
      </c>
      <c r="L161" t="s">
        <v>39</v>
      </c>
      <c r="M161">
        <v>1</v>
      </c>
      <c r="N161" t="s">
        <v>40</v>
      </c>
      <c r="O161" t="s">
        <v>75</v>
      </c>
      <c r="P161">
        <v>3</v>
      </c>
      <c r="Q161" t="s">
        <v>42</v>
      </c>
      <c r="R161" t="s">
        <v>58</v>
      </c>
      <c r="S161">
        <v>6</v>
      </c>
      <c r="T161" t="s">
        <v>44</v>
      </c>
      <c r="U161" t="s">
        <v>59</v>
      </c>
      <c r="V161">
        <v>18</v>
      </c>
      <c r="W161" t="s">
        <v>45</v>
      </c>
      <c r="X161">
        <v>6</v>
      </c>
      <c r="Y161">
        <v>3</v>
      </c>
      <c r="Z161" t="s">
        <v>61</v>
      </c>
      <c r="AA161">
        <v>4</v>
      </c>
      <c r="AB161" t="s">
        <v>48</v>
      </c>
      <c r="AC161">
        <v>3</v>
      </c>
      <c r="AD161" t="s">
        <v>48</v>
      </c>
      <c r="AE161">
        <v>1</v>
      </c>
      <c r="AF161" t="s">
        <v>49</v>
      </c>
    </row>
    <row r="162" spans="1:32" x14ac:dyDescent="0.25">
      <c r="A162">
        <v>22</v>
      </c>
      <c r="B162" t="s">
        <v>63</v>
      </c>
      <c r="C162" t="s">
        <v>50</v>
      </c>
      <c r="D162" t="s">
        <v>34</v>
      </c>
      <c r="E162" t="s">
        <v>52</v>
      </c>
      <c r="F162">
        <v>19</v>
      </c>
      <c r="G162" t="s">
        <v>66</v>
      </c>
      <c r="H162">
        <v>3</v>
      </c>
      <c r="I162" t="s">
        <v>42</v>
      </c>
      <c r="J162" t="s">
        <v>54</v>
      </c>
      <c r="K162">
        <v>3</v>
      </c>
      <c r="L162" t="s">
        <v>39</v>
      </c>
      <c r="M162">
        <v>1</v>
      </c>
      <c r="N162" t="s">
        <v>40</v>
      </c>
      <c r="O162" t="s">
        <v>56</v>
      </c>
      <c r="P162">
        <v>4</v>
      </c>
      <c r="Q162" t="s">
        <v>42</v>
      </c>
      <c r="R162" t="s">
        <v>58</v>
      </c>
      <c r="S162">
        <v>1</v>
      </c>
      <c r="T162" t="s">
        <v>44</v>
      </c>
      <c r="U162" t="s">
        <v>59</v>
      </c>
      <c r="V162">
        <v>24</v>
      </c>
      <c r="W162" t="s">
        <v>60</v>
      </c>
      <c r="X162">
        <v>2</v>
      </c>
      <c r="Y162">
        <v>3</v>
      </c>
      <c r="Z162" t="s">
        <v>61</v>
      </c>
      <c r="AA162">
        <v>2</v>
      </c>
      <c r="AB162" t="s">
        <v>48</v>
      </c>
      <c r="AC162">
        <v>2</v>
      </c>
      <c r="AD162" t="s">
        <v>48</v>
      </c>
      <c r="AE162">
        <v>2</v>
      </c>
      <c r="AF162" t="s">
        <v>49</v>
      </c>
    </row>
    <row r="163" spans="1:32" x14ac:dyDescent="0.25">
      <c r="A163">
        <v>27</v>
      </c>
      <c r="B163" t="s">
        <v>63</v>
      </c>
      <c r="C163" t="s">
        <v>50</v>
      </c>
      <c r="D163" t="s">
        <v>34</v>
      </c>
      <c r="E163" t="s">
        <v>52</v>
      </c>
      <c r="F163">
        <v>9</v>
      </c>
      <c r="G163" t="s">
        <v>53</v>
      </c>
      <c r="H163">
        <v>4</v>
      </c>
      <c r="I163" t="s">
        <v>42</v>
      </c>
      <c r="J163" t="s">
        <v>54</v>
      </c>
      <c r="K163">
        <v>3</v>
      </c>
      <c r="L163" t="s">
        <v>39</v>
      </c>
      <c r="M163">
        <v>1</v>
      </c>
      <c r="N163" t="s">
        <v>40</v>
      </c>
      <c r="O163" t="s">
        <v>56</v>
      </c>
      <c r="P163">
        <v>2</v>
      </c>
      <c r="Q163" t="s">
        <v>57</v>
      </c>
      <c r="R163" t="s">
        <v>67</v>
      </c>
      <c r="S163">
        <v>6</v>
      </c>
      <c r="T163" t="s">
        <v>44</v>
      </c>
      <c r="U163" t="s">
        <v>59</v>
      </c>
      <c r="V163">
        <v>18</v>
      </c>
      <c r="W163" t="s">
        <v>45</v>
      </c>
      <c r="X163">
        <v>6</v>
      </c>
      <c r="Y163">
        <v>1</v>
      </c>
      <c r="Z163" t="s">
        <v>46</v>
      </c>
      <c r="AA163">
        <v>2</v>
      </c>
      <c r="AB163" t="s">
        <v>48</v>
      </c>
      <c r="AC163">
        <v>2</v>
      </c>
      <c r="AD163" t="s">
        <v>48</v>
      </c>
      <c r="AE163">
        <v>2</v>
      </c>
      <c r="AF163" t="s">
        <v>49</v>
      </c>
    </row>
    <row r="164" spans="1:32" x14ac:dyDescent="0.25">
      <c r="A164">
        <v>28</v>
      </c>
      <c r="B164" t="s">
        <v>63</v>
      </c>
      <c r="C164" t="s">
        <v>50</v>
      </c>
      <c r="D164" t="s">
        <v>34</v>
      </c>
      <c r="E164" t="s">
        <v>52</v>
      </c>
      <c r="F164">
        <v>21</v>
      </c>
      <c r="G164" t="s">
        <v>66</v>
      </c>
      <c r="H164">
        <v>3</v>
      </c>
      <c r="I164" t="s">
        <v>42</v>
      </c>
      <c r="J164" t="s">
        <v>54</v>
      </c>
      <c r="K164">
        <v>3</v>
      </c>
      <c r="L164" t="s">
        <v>39</v>
      </c>
      <c r="M164">
        <v>1</v>
      </c>
      <c r="N164" t="s">
        <v>40</v>
      </c>
      <c r="O164" t="s">
        <v>56</v>
      </c>
      <c r="P164">
        <v>4</v>
      </c>
      <c r="Q164" t="s">
        <v>42</v>
      </c>
      <c r="R164" t="s">
        <v>58</v>
      </c>
      <c r="S164">
        <v>1</v>
      </c>
      <c r="T164" t="s">
        <v>44</v>
      </c>
      <c r="U164" t="s">
        <v>59</v>
      </c>
      <c r="V164">
        <v>11</v>
      </c>
      <c r="W164" t="s">
        <v>45</v>
      </c>
      <c r="X164">
        <v>5</v>
      </c>
      <c r="Y164">
        <v>1</v>
      </c>
      <c r="Z164" t="s">
        <v>46</v>
      </c>
      <c r="AA164">
        <v>5</v>
      </c>
      <c r="AB164" t="s">
        <v>47</v>
      </c>
      <c r="AC164">
        <v>2</v>
      </c>
      <c r="AD164" t="s">
        <v>48</v>
      </c>
      <c r="AE164">
        <v>0</v>
      </c>
      <c r="AF164" t="s">
        <v>49</v>
      </c>
    </row>
    <row r="165" spans="1:32" x14ac:dyDescent="0.25">
      <c r="A165">
        <v>57</v>
      </c>
      <c r="B165" t="s">
        <v>64</v>
      </c>
      <c r="C165" t="s">
        <v>50</v>
      </c>
      <c r="D165" t="s">
        <v>34</v>
      </c>
      <c r="E165" t="s">
        <v>52</v>
      </c>
      <c r="F165">
        <v>24</v>
      </c>
      <c r="G165" t="s">
        <v>66</v>
      </c>
      <c r="H165">
        <v>3</v>
      </c>
      <c r="I165" t="s">
        <v>42</v>
      </c>
      <c r="J165" t="s">
        <v>54</v>
      </c>
      <c r="K165">
        <v>4</v>
      </c>
      <c r="L165" t="s">
        <v>65</v>
      </c>
      <c r="M165">
        <v>3</v>
      </c>
      <c r="N165" t="s">
        <v>68</v>
      </c>
      <c r="O165" t="s">
        <v>70</v>
      </c>
      <c r="P165">
        <v>4</v>
      </c>
      <c r="Q165" t="s">
        <v>42</v>
      </c>
      <c r="R165" t="s">
        <v>67</v>
      </c>
      <c r="S165">
        <v>3</v>
      </c>
      <c r="T165" t="s">
        <v>44</v>
      </c>
      <c r="U165" t="s">
        <v>44</v>
      </c>
      <c r="V165">
        <v>16</v>
      </c>
      <c r="W165" t="s">
        <v>45</v>
      </c>
      <c r="X165">
        <v>12</v>
      </c>
      <c r="Y165">
        <v>1</v>
      </c>
      <c r="Z165" t="s">
        <v>46</v>
      </c>
      <c r="AA165">
        <v>5</v>
      </c>
      <c r="AB165" t="s">
        <v>47</v>
      </c>
      <c r="AC165">
        <v>3</v>
      </c>
      <c r="AD165" t="s">
        <v>48</v>
      </c>
      <c r="AE165">
        <v>1</v>
      </c>
      <c r="AF165" t="s">
        <v>49</v>
      </c>
    </row>
    <row r="166" spans="1:32" x14ac:dyDescent="0.25">
      <c r="A166">
        <v>27</v>
      </c>
      <c r="B166" t="s">
        <v>63</v>
      </c>
      <c r="C166" t="s">
        <v>50</v>
      </c>
      <c r="D166" t="s">
        <v>34</v>
      </c>
      <c r="E166" t="s">
        <v>52</v>
      </c>
      <c r="F166">
        <v>3</v>
      </c>
      <c r="G166" t="s">
        <v>36</v>
      </c>
      <c r="H166">
        <v>3</v>
      </c>
      <c r="I166" t="s">
        <v>42</v>
      </c>
      <c r="J166" t="s">
        <v>54</v>
      </c>
      <c r="K166">
        <v>2</v>
      </c>
      <c r="L166" t="s">
        <v>55</v>
      </c>
      <c r="M166">
        <v>1</v>
      </c>
      <c r="N166" t="s">
        <v>40</v>
      </c>
      <c r="O166" t="s">
        <v>56</v>
      </c>
      <c r="P166">
        <v>3</v>
      </c>
      <c r="Q166" t="s">
        <v>42</v>
      </c>
      <c r="R166" t="s">
        <v>67</v>
      </c>
      <c r="S166">
        <v>1</v>
      </c>
      <c r="T166" t="s">
        <v>44</v>
      </c>
      <c r="U166" t="s">
        <v>44</v>
      </c>
      <c r="V166">
        <v>15</v>
      </c>
      <c r="W166" t="s">
        <v>45</v>
      </c>
      <c r="X166">
        <v>1</v>
      </c>
      <c r="Y166">
        <v>2</v>
      </c>
      <c r="Z166" t="s">
        <v>46</v>
      </c>
      <c r="AA166">
        <v>1</v>
      </c>
      <c r="AB166" t="s">
        <v>48</v>
      </c>
      <c r="AC166">
        <v>1</v>
      </c>
      <c r="AD166" t="s">
        <v>48</v>
      </c>
      <c r="AE166">
        <v>0</v>
      </c>
      <c r="AF166" t="s">
        <v>49</v>
      </c>
    </row>
    <row r="167" spans="1:32" x14ac:dyDescent="0.25">
      <c r="A167">
        <v>50</v>
      </c>
      <c r="B167" t="s">
        <v>32</v>
      </c>
      <c r="C167" t="s">
        <v>50</v>
      </c>
      <c r="D167" t="s">
        <v>34</v>
      </c>
      <c r="E167" t="s">
        <v>52</v>
      </c>
      <c r="F167">
        <v>11</v>
      </c>
      <c r="G167" t="s">
        <v>53</v>
      </c>
      <c r="H167">
        <v>3</v>
      </c>
      <c r="I167" t="s">
        <v>42</v>
      </c>
      <c r="J167" t="s">
        <v>38</v>
      </c>
      <c r="K167">
        <v>3</v>
      </c>
      <c r="L167" t="s">
        <v>39</v>
      </c>
      <c r="M167">
        <v>5</v>
      </c>
      <c r="N167" t="s">
        <v>72</v>
      </c>
      <c r="O167" t="s">
        <v>73</v>
      </c>
      <c r="P167">
        <v>2</v>
      </c>
      <c r="Q167" t="s">
        <v>57</v>
      </c>
      <c r="R167" t="s">
        <v>43</v>
      </c>
      <c r="S167">
        <v>3</v>
      </c>
      <c r="T167" t="s">
        <v>44</v>
      </c>
      <c r="U167" t="s">
        <v>59</v>
      </c>
      <c r="V167">
        <v>15</v>
      </c>
      <c r="W167" t="s">
        <v>45</v>
      </c>
      <c r="X167">
        <v>21</v>
      </c>
      <c r="Y167">
        <v>3</v>
      </c>
      <c r="Z167" t="s">
        <v>61</v>
      </c>
      <c r="AA167">
        <v>5</v>
      </c>
      <c r="AB167" t="s">
        <v>47</v>
      </c>
      <c r="AC167">
        <v>4</v>
      </c>
      <c r="AD167" t="s">
        <v>48</v>
      </c>
      <c r="AE167">
        <v>4</v>
      </c>
      <c r="AF167" t="s">
        <v>71</v>
      </c>
    </row>
    <row r="168" spans="1:32" x14ac:dyDescent="0.25">
      <c r="A168">
        <v>41</v>
      </c>
      <c r="B168" t="s">
        <v>32</v>
      </c>
      <c r="C168" t="s">
        <v>50</v>
      </c>
      <c r="D168" t="s">
        <v>34</v>
      </c>
      <c r="E168" t="s">
        <v>52</v>
      </c>
      <c r="F168">
        <v>14</v>
      </c>
      <c r="G168" t="s">
        <v>53</v>
      </c>
      <c r="H168">
        <v>1</v>
      </c>
      <c r="I168" t="s">
        <v>37</v>
      </c>
      <c r="J168" t="s">
        <v>54</v>
      </c>
      <c r="K168">
        <v>3</v>
      </c>
      <c r="L168" t="s">
        <v>39</v>
      </c>
      <c r="M168">
        <v>1</v>
      </c>
      <c r="N168" t="s">
        <v>40</v>
      </c>
      <c r="O168" t="s">
        <v>56</v>
      </c>
      <c r="P168">
        <v>3</v>
      </c>
      <c r="Q168" t="s">
        <v>42</v>
      </c>
      <c r="R168" t="s">
        <v>67</v>
      </c>
      <c r="S168">
        <v>4</v>
      </c>
      <c r="T168" t="s">
        <v>44</v>
      </c>
      <c r="U168" t="s">
        <v>59</v>
      </c>
      <c r="V168">
        <v>12</v>
      </c>
      <c r="W168" t="s">
        <v>45</v>
      </c>
      <c r="X168">
        <v>13</v>
      </c>
      <c r="Y168">
        <v>3</v>
      </c>
      <c r="Z168" t="s">
        <v>61</v>
      </c>
      <c r="AA168">
        <v>9</v>
      </c>
      <c r="AB168" t="s">
        <v>47</v>
      </c>
      <c r="AC168">
        <v>8</v>
      </c>
      <c r="AD168" t="s">
        <v>47</v>
      </c>
      <c r="AE168">
        <v>1</v>
      </c>
      <c r="AF168" t="s">
        <v>49</v>
      </c>
    </row>
    <row r="169" spans="1:32" x14ac:dyDescent="0.25">
      <c r="A169">
        <v>30</v>
      </c>
      <c r="B169" t="s">
        <v>32</v>
      </c>
      <c r="C169" t="s">
        <v>50</v>
      </c>
      <c r="D169" t="s">
        <v>34</v>
      </c>
      <c r="E169" t="s">
        <v>35</v>
      </c>
      <c r="F169">
        <v>5</v>
      </c>
      <c r="G169" t="s">
        <v>36</v>
      </c>
      <c r="H169">
        <v>2</v>
      </c>
      <c r="I169" t="s">
        <v>37</v>
      </c>
      <c r="J169" t="s">
        <v>38</v>
      </c>
      <c r="K169">
        <v>3</v>
      </c>
      <c r="L169" t="s">
        <v>39</v>
      </c>
      <c r="M169">
        <v>3</v>
      </c>
      <c r="N169" t="s">
        <v>68</v>
      </c>
      <c r="O169" t="s">
        <v>41</v>
      </c>
      <c r="P169">
        <v>4</v>
      </c>
      <c r="Q169" t="s">
        <v>42</v>
      </c>
      <c r="R169" t="s">
        <v>58</v>
      </c>
      <c r="S169">
        <v>2</v>
      </c>
      <c r="T169" t="s">
        <v>44</v>
      </c>
      <c r="U169" t="s">
        <v>59</v>
      </c>
      <c r="V169">
        <v>12</v>
      </c>
      <c r="W169" t="s">
        <v>45</v>
      </c>
      <c r="X169">
        <v>12</v>
      </c>
      <c r="Y169">
        <v>3</v>
      </c>
      <c r="Z169" t="s">
        <v>61</v>
      </c>
      <c r="AA169">
        <v>10</v>
      </c>
      <c r="AB169" t="s">
        <v>47</v>
      </c>
      <c r="AC169">
        <v>9</v>
      </c>
      <c r="AD169" t="s">
        <v>47</v>
      </c>
      <c r="AE169">
        <v>7</v>
      </c>
      <c r="AF169" t="s">
        <v>71</v>
      </c>
    </row>
    <row r="170" spans="1:32" x14ac:dyDescent="0.25">
      <c r="A170">
        <v>38</v>
      </c>
      <c r="B170" t="s">
        <v>32</v>
      </c>
      <c r="C170" t="s">
        <v>50</v>
      </c>
      <c r="D170" t="s">
        <v>34</v>
      </c>
      <c r="E170" t="s">
        <v>35</v>
      </c>
      <c r="F170">
        <v>1</v>
      </c>
      <c r="G170" t="s">
        <v>36</v>
      </c>
      <c r="H170">
        <v>1</v>
      </c>
      <c r="I170" t="s">
        <v>37</v>
      </c>
      <c r="J170" t="s">
        <v>38</v>
      </c>
      <c r="K170">
        <v>2</v>
      </c>
      <c r="L170" t="s">
        <v>55</v>
      </c>
      <c r="M170">
        <v>2</v>
      </c>
      <c r="N170" t="s">
        <v>40</v>
      </c>
      <c r="O170" t="s">
        <v>41</v>
      </c>
      <c r="P170">
        <v>4</v>
      </c>
      <c r="Q170" t="s">
        <v>42</v>
      </c>
      <c r="R170" t="s">
        <v>43</v>
      </c>
      <c r="S170">
        <v>4</v>
      </c>
      <c r="T170" t="s">
        <v>44</v>
      </c>
      <c r="U170" t="s">
        <v>59</v>
      </c>
      <c r="V170">
        <v>22</v>
      </c>
      <c r="W170" t="s">
        <v>60</v>
      </c>
      <c r="X170">
        <v>12</v>
      </c>
      <c r="Y170">
        <v>4</v>
      </c>
      <c r="Z170" t="s">
        <v>61</v>
      </c>
      <c r="AA170">
        <v>8</v>
      </c>
      <c r="AB170" t="s">
        <v>47</v>
      </c>
      <c r="AC170">
        <v>3</v>
      </c>
      <c r="AD170" t="s">
        <v>48</v>
      </c>
      <c r="AE170">
        <v>0</v>
      </c>
      <c r="AF170" t="s">
        <v>49</v>
      </c>
    </row>
    <row r="171" spans="1:32" x14ac:dyDescent="0.25">
      <c r="A171">
        <v>32</v>
      </c>
      <c r="B171" t="s">
        <v>32</v>
      </c>
      <c r="C171" t="s">
        <v>50</v>
      </c>
      <c r="D171" t="s">
        <v>34</v>
      </c>
      <c r="E171" t="s">
        <v>52</v>
      </c>
      <c r="F171">
        <v>6</v>
      </c>
      <c r="G171" t="s">
        <v>53</v>
      </c>
      <c r="H171">
        <v>3</v>
      </c>
      <c r="I171" t="s">
        <v>42</v>
      </c>
      <c r="J171" t="s">
        <v>54</v>
      </c>
      <c r="K171">
        <v>3</v>
      </c>
      <c r="L171" t="s">
        <v>39</v>
      </c>
      <c r="M171">
        <v>1</v>
      </c>
      <c r="N171" t="s">
        <v>40</v>
      </c>
      <c r="O171" t="s">
        <v>56</v>
      </c>
      <c r="P171">
        <v>3</v>
      </c>
      <c r="Q171" t="s">
        <v>42</v>
      </c>
      <c r="R171" t="s">
        <v>43</v>
      </c>
      <c r="S171">
        <v>3</v>
      </c>
      <c r="T171" t="s">
        <v>44</v>
      </c>
      <c r="U171" t="s">
        <v>59</v>
      </c>
      <c r="V171">
        <v>20</v>
      </c>
      <c r="W171" t="s">
        <v>60</v>
      </c>
      <c r="X171">
        <v>8</v>
      </c>
      <c r="Y171">
        <v>3</v>
      </c>
      <c r="Z171" t="s">
        <v>61</v>
      </c>
      <c r="AA171">
        <v>5</v>
      </c>
      <c r="AB171" t="s">
        <v>47</v>
      </c>
      <c r="AC171">
        <v>4</v>
      </c>
      <c r="AD171" t="s">
        <v>48</v>
      </c>
      <c r="AE171">
        <v>1</v>
      </c>
      <c r="AF171" t="s">
        <v>49</v>
      </c>
    </row>
    <row r="172" spans="1:32" x14ac:dyDescent="0.25">
      <c r="A172">
        <v>27</v>
      </c>
      <c r="B172" t="s">
        <v>63</v>
      </c>
      <c r="C172" t="s">
        <v>50</v>
      </c>
      <c r="D172" t="s">
        <v>34</v>
      </c>
      <c r="E172" t="s">
        <v>52</v>
      </c>
      <c r="F172">
        <v>17</v>
      </c>
      <c r="G172" t="s">
        <v>66</v>
      </c>
      <c r="H172">
        <v>3</v>
      </c>
      <c r="I172" t="s">
        <v>42</v>
      </c>
      <c r="J172" t="s">
        <v>54</v>
      </c>
      <c r="K172">
        <v>3</v>
      </c>
      <c r="L172" t="s">
        <v>39</v>
      </c>
      <c r="M172">
        <v>1</v>
      </c>
      <c r="N172" t="s">
        <v>40</v>
      </c>
      <c r="O172" t="s">
        <v>56</v>
      </c>
      <c r="P172">
        <v>2</v>
      </c>
      <c r="Q172" t="s">
        <v>57</v>
      </c>
      <c r="R172" t="s">
        <v>58</v>
      </c>
      <c r="S172">
        <v>0</v>
      </c>
      <c r="T172" t="s">
        <v>44</v>
      </c>
      <c r="U172" t="s">
        <v>44</v>
      </c>
      <c r="V172">
        <v>16</v>
      </c>
      <c r="W172" t="s">
        <v>45</v>
      </c>
      <c r="X172">
        <v>6</v>
      </c>
      <c r="Y172">
        <v>2</v>
      </c>
      <c r="Z172" t="s">
        <v>46</v>
      </c>
      <c r="AA172">
        <v>5</v>
      </c>
      <c r="AB172" t="s">
        <v>47</v>
      </c>
      <c r="AC172">
        <v>2</v>
      </c>
      <c r="AD172" t="s">
        <v>48</v>
      </c>
      <c r="AE172">
        <v>1</v>
      </c>
      <c r="AF172" t="s">
        <v>49</v>
      </c>
    </row>
    <row r="173" spans="1:32" x14ac:dyDescent="0.25">
      <c r="A173">
        <v>19</v>
      </c>
      <c r="B173" t="s">
        <v>63</v>
      </c>
      <c r="C173" t="s">
        <v>33</v>
      </c>
      <c r="D173" t="s">
        <v>51</v>
      </c>
      <c r="E173" t="s">
        <v>35</v>
      </c>
      <c r="F173">
        <v>1</v>
      </c>
      <c r="G173" t="s">
        <v>36</v>
      </c>
      <c r="H173">
        <v>3</v>
      </c>
      <c r="I173" t="s">
        <v>42</v>
      </c>
      <c r="J173" t="s">
        <v>38</v>
      </c>
      <c r="K173">
        <v>1</v>
      </c>
      <c r="L173" t="s">
        <v>55</v>
      </c>
      <c r="M173">
        <v>1</v>
      </c>
      <c r="N173" t="s">
        <v>40</v>
      </c>
      <c r="O173" t="s">
        <v>75</v>
      </c>
      <c r="P173">
        <v>1</v>
      </c>
      <c r="Q173" t="s">
        <v>57</v>
      </c>
      <c r="R173" t="s">
        <v>43</v>
      </c>
      <c r="S173">
        <v>0</v>
      </c>
      <c r="T173" t="s">
        <v>44</v>
      </c>
      <c r="U173" t="s">
        <v>59</v>
      </c>
      <c r="V173">
        <v>21</v>
      </c>
      <c r="W173" t="s">
        <v>60</v>
      </c>
      <c r="X173">
        <v>1</v>
      </c>
      <c r="Y173">
        <v>4</v>
      </c>
      <c r="Z173" t="s">
        <v>61</v>
      </c>
      <c r="AA173">
        <v>0</v>
      </c>
      <c r="AB173" t="s">
        <v>48</v>
      </c>
      <c r="AC173">
        <v>0</v>
      </c>
      <c r="AD173" t="s">
        <v>48</v>
      </c>
      <c r="AE173">
        <v>0</v>
      </c>
      <c r="AF173" t="s">
        <v>49</v>
      </c>
    </row>
    <row r="174" spans="1:32" x14ac:dyDescent="0.25">
      <c r="A174">
        <v>36</v>
      </c>
      <c r="B174" t="s">
        <v>32</v>
      </c>
      <c r="C174" t="s">
        <v>50</v>
      </c>
      <c r="D174" t="s">
        <v>51</v>
      </c>
      <c r="E174" t="s">
        <v>52</v>
      </c>
      <c r="F174">
        <v>3</v>
      </c>
      <c r="G174" t="s">
        <v>36</v>
      </c>
      <c r="H174">
        <v>4</v>
      </c>
      <c r="I174" t="s">
        <v>42</v>
      </c>
      <c r="J174" t="s">
        <v>54</v>
      </c>
      <c r="K174">
        <v>3</v>
      </c>
      <c r="L174" t="s">
        <v>39</v>
      </c>
      <c r="M174">
        <v>1</v>
      </c>
      <c r="N174" t="s">
        <v>40</v>
      </c>
      <c r="O174" t="s">
        <v>62</v>
      </c>
      <c r="P174">
        <v>2</v>
      </c>
      <c r="Q174" t="s">
        <v>57</v>
      </c>
      <c r="R174" t="s">
        <v>43</v>
      </c>
      <c r="S174">
        <v>4</v>
      </c>
      <c r="T174" t="s">
        <v>44</v>
      </c>
      <c r="U174" t="s">
        <v>59</v>
      </c>
      <c r="V174">
        <v>12</v>
      </c>
      <c r="W174" t="s">
        <v>45</v>
      </c>
      <c r="X174">
        <v>13</v>
      </c>
      <c r="Y174">
        <v>2</v>
      </c>
      <c r="Z174" t="s">
        <v>46</v>
      </c>
      <c r="AA174">
        <v>8</v>
      </c>
      <c r="AB174" t="s">
        <v>47</v>
      </c>
      <c r="AC174">
        <v>7</v>
      </c>
      <c r="AD174" t="s">
        <v>47</v>
      </c>
      <c r="AE174">
        <v>7</v>
      </c>
      <c r="AF174" t="s">
        <v>71</v>
      </c>
    </row>
    <row r="175" spans="1:32" x14ac:dyDescent="0.25">
      <c r="A175">
        <v>30</v>
      </c>
      <c r="B175" t="s">
        <v>32</v>
      </c>
      <c r="C175" t="s">
        <v>50</v>
      </c>
      <c r="D175" t="s">
        <v>34</v>
      </c>
      <c r="E175" t="s">
        <v>52</v>
      </c>
      <c r="F175">
        <v>9</v>
      </c>
      <c r="G175" t="s">
        <v>53</v>
      </c>
      <c r="H175">
        <v>3</v>
      </c>
      <c r="I175" t="s">
        <v>42</v>
      </c>
      <c r="J175" t="s">
        <v>54</v>
      </c>
      <c r="K175">
        <v>3</v>
      </c>
      <c r="L175" t="s">
        <v>39</v>
      </c>
      <c r="M175">
        <v>2</v>
      </c>
      <c r="N175" t="s">
        <v>40</v>
      </c>
      <c r="O175" t="s">
        <v>62</v>
      </c>
      <c r="P175">
        <v>1</v>
      </c>
      <c r="Q175" t="s">
        <v>57</v>
      </c>
      <c r="R175" t="s">
        <v>67</v>
      </c>
      <c r="S175">
        <v>1</v>
      </c>
      <c r="T175" t="s">
        <v>44</v>
      </c>
      <c r="U175" t="s">
        <v>59</v>
      </c>
      <c r="V175">
        <v>11</v>
      </c>
      <c r="W175" t="s">
        <v>45</v>
      </c>
      <c r="X175">
        <v>12</v>
      </c>
      <c r="Y175">
        <v>3</v>
      </c>
      <c r="Z175" t="s">
        <v>61</v>
      </c>
      <c r="AA175">
        <v>12</v>
      </c>
      <c r="AB175" t="s">
        <v>74</v>
      </c>
      <c r="AC175">
        <v>9</v>
      </c>
      <c r="AD175" t="s">
        <v>47</v>
      </c>
      <c r="AE175">
        <v>6</v>
      </c>
      <c r="AF175" t="s">
        <v>71</v>
      </c>
    </row>
    <row r="176" spans="1:32" x14ac:dyDescent="0.25">
      <c r="A176">
        <v>45</v>
      </c>
      <c r="B176" t="s">
        <v>32</v>
      </c>
      <c r="C176" t="s">
        <v>50</v>
      </c>
      <c r="D176" t="s">
        <v>34</v>
      </c>
      <c r="E176" t="s">
        <v>35</v>
      </c>
      <c r="F176">
        <v>4</v>
      </c>
      <c r="G176" t="s">
        <v>36</v>
      </c>
      <c r="H176">
        <v>3</v>
      </c>
      <c r="I176" t="s">
        <v>42</v>
      </c>
      <c r="J176" t="s">
        <v>38</v>
      </c>
      <c r="K176">
        <v>3</v>
      </c>
      <c r="L176" t="s">
        <v>39</v>
      </c>
      <c r="M176">
        <v>2</v>
      </c>
      <c r="N176" t="s">
        <v>40</v>
      </c>
      <c r="O176" t="s">
        <v>41</v>
      </c>
      <c r="P176">
        <v>1</v>
      </c>
      <c r="Q176" t="s">
        <v>57</v>
      </c>
      <c r="R176" t="s">
        <v>67</v>
      </c>
      <c r="S176">
        <v>4</v>
      </c>
      <c r="T176" t="s">
        <v>44</v>
      </c>
      <c r="U176" t="s">
        <v>44</v>
      </c>
      <c r="V176">
        <v>11</v>
      </c>
      <c r="W176" t="s">
        <v>45</v>
      </c>
      <c r="X176">
        <v>9</v>
      </c>
      <c r="Y176">
        <v>4</v>
      </c>
      <c r="Z176" t="s">
        <v>61</v>
      </c>
      <c r="AA176">
        <v>5</v>
      </c>
      <c r="AB176" t="s">
        <v>47</v>
      </c>
      <c r="AC176">
        <v>4</v>
      </c>
      <c r="AD176" t="s">
        <v>48</v>
      </c>
      <c r="AE176">
        <v>0</v>
      </c>
      <c r="AF176" t="s">
        <v>49</v>
      </c>
    </row>
    <row r="177" spans="1:32" x14ac:dyDescent="0.25">
      <c r="A177">
        <v>56</v>
      </c>
      <c r="B177" t="s">
        <v>64</v>
      </c>
      <c r="C177" t="s">
        <v>50</v>
      </c>
      <c r="D177" t="s">
        <v>34</v>
      </c>
      <c r="E177" t="s">
        <v>52</v>
      </c>
      <c r="F177">
        <v>8</v>
      </c>
      <c r="G177" t="s">
        <v>53</v>
      </c>
      <c r="H177">
        <v>3</v>
      </c>
      <c r="I177" t="s">
        <v>42</v>
      </c>
      <c r="J177" t="s">
        <v>38</v>
      </c>
      <c r="K177">
        <v>3</v>
      </c>
      <c r="L177" t="s">
        <v>39</v>
      </c>
      <c r="M177">
        <v>1</v>
      </c>
      <c r="N177" t="s">
        <v>40</v>
      </c>
      <c r="O177" t="s">
        <v>56</v>
      </c>
      <c r="P177">
        <v>1</v>
      </c>
      <c r="Q177" t="s">
        <v>57</v>
      </c>
      <c r="R177" t="s">
        <v>67</v>
      </c>
      <c r="S177">
        <v>4</v>
      </c>
      <c r="T177" t="s">
        <v>44</v>
      </c>
      <c r="U177" t="s">
        <v>44</v>
      </c>
      <c r="V177">
        <v>18</v>
      </c>
      <c r="W177" t="s">
        <v>45</v>
      </c>
      <c r="X177">
        <v>19</v>
      </c>
      <c r="Y177">
        <v>3</v>
      </c>
      <c r="Z177" t="s">
        <v>61</v>
      </c>
      <c r="AA177">
        <v>2</v>
      </c>
      <c r="AB177" t="s">
        <v>48</v>
      </c>
      <c r="AC177">
        <v>2</v>
      </c>
      <c r="AD177" t="s">
        <v>48</v>
      </c>
      <c r="AE177">
        <v>2</v>
      </c>
      <c r="AF177" t="s">
        <v>49</v>
      </c>
    </row>
    <row r="178" spans="1:32" x14ac:dyDescent="0.25">
      <c r="A178">
        <v>33</v>
      </c>
      <c r="B178" t="s">
        <v>32</v>
      </c>
      <c r="C178" t="s">
        <v>50</v>
      </c>
      <c r="D178" t="s">
        <v>34</v>
      </c>
      <c r="E178" t="s">
        <v>52</v>
      </c>
      <c r="F178">
        <v>2</v>
      </c>
      <c r="G178" t="s">
        <v>36</v>
      </c>
      <c r="H178">
        <v>3</v>
      </c>
      <c r="I178" t="s">
        <v>42</v>
      </c>
      <c r="J178" t="s">
        <v>54</v>
      </c>
      <c r="K178">
        <v>3</v>
      </c>
      <c r="L178" t="s">
        <v>39</v>
      </c>
      <c r="M178">
        <v>1</v>
      </c>
      <c r="N178" t="s">
        <v>40</v>
      </c>
      <c r="O178" t="s">
        <v>56</v>
      </c>
      <c r="P178">
        <v>4</v>
      </c>
      <c r="Q178" t="s">
        <v>42</v>
      </c>
      <c r="R178" t="s">
        <v>43</v>
      </c>
      <c r="S178">
        <v>0</v>
      </c>
      <c r="T178" t="s">
        <v>44</v>
      </c>
      <c r="U178" t="s">
        <v>59</v>
      </c>
      <c r="V178">
        <v>14</v>
      </c>
      <c r="W178" t="s">
        <v>45</v>
      </c>
      <c r="X178">
        <v>4</v>
      </c>
      <c r="Y178">
        <v>4</v>
      </c>
      <c r="Z178" t="s">
        <v>61</v>
      </c>
      <c r="AA178">
        <v>3</v>
      </c>
      <c r="AB178" t="s">
        <v>48</v>
      </c>
      <c r="AC178">
        <v>1</v>
      </c>
      <c r="AD178" t="s">
        <v>48</v>
      </c>
      <c r="AE178">
        <v>0</v>
      </c>
      <c r="AF178" t="s">
        <v>49</v>
      </c>
    </row>
    <row r="179" spans="1:32" x14ac:dyDescent="0.25">
      <c r="A179">
        <v>19</v>
      </c>
      <c r="B179" t="s">
        <v>63</v>
      </c>
      <c r="C179" t="s">
        <v>33</v>
      </c>
      <c r="D179" t="s">
        <v>34</v>
      </c>
      <c r="E179" t="s">
        <v>52</v>
      </c>
      <c r="F179">
        <v>2</v>
      </c>
      <c r="G179" t="s">
        <v>36</v>
      </c>
      <c r="H179">
        <v>2</v>
      </c>
      <c r="I179" t="s">
        <v>37</v>
      </c>
      <c r="J179" t="s">
        <v>54</v>
      </c>
      <c r="K179">
        <v>2</v>
      </c>
      <c r="L179" t="s">
        <v>55</v>
      </c>
      <c r="M179">
        <v>1</v>
      </c>
      <c r="N179" t="s">
        <v>40</v>
      </c>
      <c r="O179" t="s">
        <v>62</v>
      </c>
      <c r="P179">
        <v>4</v>
      </c>
      <c r="Q179" t="s">
        <v>42</v>
      </c>
      <c r="R179" t="s">
        <v>43</v>
      </c>
      <c r="S179">
        <v>1</v>
      </c>
      <c r="T179" t="s">
        <v>44</v>
      </c>
      <c r="U179" t="s">
        <v>59</v>
      </c>
      <c r="V179">
        <v>22</v>
      </c>
      <c r="W179" t="s">
        <v>60</v>
      </c>
      <c r="X179">
        <v>1</v>
      </c>
      <c r="Y179">
        <v>2</v>
      </c>
      <c r="Z179" t="s">
        <v>46</v>
      </c>
      <c r="AA179">
        <v>1</v>
      </c>
      <c r="AB179" t="s">
        <v>48</v>
      </c>
      <c r="AC179">
        <v>0</v>
      </c>
      <c r="AD179" t="s">
        <v>48</v>
      </c>
      <c r="AE179">
        <v>1</v>
      </c>
      <c r="AF179" t="s">
        <v>49</v>
      </c>
    </row>
    <row r="180" spans="1:32" x14ac:dyDescent="0.25">
      <c r="A180">
        <v>46</v>
      </c>
      <c r="B180" t="s">
        <v>32</v>
      </c>
      <c r="C180" t="s">
        <v>50</v>
      </c>
      <c r="D180" t="s">
        <v>34</v>
      </c>
      <c r="E180" t="s">
        <v>35</v>
      </c>
      <c r="F180">
        <v>1</v>
      </c>
      <c r="G180" t="s">
        <v>36</v>
      </c>
      <c r="H180">
        <v>2</v>
      </c>
      <c r="I180" t="s">
        <v>37</v>
      </c>
      <c r="J180" t="s">
        <v>38</v>
      </c>
      <c r="K180">
        <v>3</v>
      </c>
      <c r="L180" t="s">
        <v>39</v>
      </c>
      <c r="M180">
        <v>3</v>
      </c>
      <c r="N180" t="s">
        <v>68</v>
      </c>
      <c r="O180" t="s">
        <v>41</v>
      </c>
      <c r="P180">
        <v>1</v>
      </c>
      <c r="Q180" t="s">
        <v>57</v>
      </c>
      <c r="R180" t="s">
        <v>67</v>
      </c>
      <c r="S180">
        <v>1</v>
      </c>
      <c r="T180" t="s">
        <v>44</v>
      </c>
      <c r="U180" t="s">
        <v>59</v>
      </c>
      <c r="V180">
        <v>25</v>
      </c>
      <c r="W180" t="s">
        <v>60</v>
      </c>
      <c r="X180">
        <v>24</v>
      </c>
      <c r="Y180">
        <v>3</v>
      </c>
      <c r="Z180" t="s">
        <v>61</v>
      </c>
      <c r="AA180">
        <v>24</v>
      </c>
      <c r="AB180" t="s">
        <v>74</v>
      </c>
      <c r="AC180">
        <v>13</v>
      </c>
      <c r="AD180" t="s">
        <v>74</v>
      </c>
      <c r="AE180">
        <v>15</v>
      </c>
      <c r="AF180" t="s">
        <v>71</v>
      </c>
    </row>
    <row r="181" spans="1:32" x14ac:dyDescent="0.25">
      <c r="A181">
        <v>38</v>
      </c>
      <c r="B181" t="s">
        <v>32</v>
      </c>
      <c r="C181" t="s">
        <v>50</v>
      </c>
      <c r="D181" t="s">
        <v>34</v>
      </c>
      <c r="E181" t="s">
        <v>52</v>
      </c>
      <c r="F181">
        <v>9</v>
      </c>
      <c r="G181" t="s">
        <v>53</v>
      </c>
      <c r="H181">
        <v>3</v>
      </c>
      <c r="I181" t="s">
        <v>42</v>
      </c>
      <c r="J181" t="s">
        <v>38</v>
      </c>
      <c r="K181">
        <v>3</v>
      </c>
      <c r="L181" t="s">
        <v>39</v>
      </c>
      <c r="M181">
        <v>1</v>
      </c>
      <c r="N181" t="s">
        <v>40</v>
      </c>
      <c r="O181" t="s">
        <v>62</v>
      </c>
      <c r="P181">
        <v>4</v>
      </c>
      <c r="Q181" t="s">
        <v>42</v>
      </c>
      <c r="R181" t="s">
        <v>43</v>
      </c>
      <c r="S181">
        <v>1</v>
      </c>
      <c r="T181" t="s">
        <v>44</v>
      </c>
      <c r="U181" t="s">
        <v>59</v>
      </c>
      <c r="V181">
        <v>12</v>
      </c>
      <c r="W181" t="s">
        <v>45</v>
      </c>
      <c r="X181">
        <v>2</v>
      </c>
      <c r="Y181">
        <v>3</v>
      </c>
      <c r="Z181" t="s">
        <v>61</v>
      </c>
      <c r="AA181">
        <v>2</v>
      </c>
      <c r="AB181" t="s">
        <v>48</v>
      </c>
      <c r="AC181">
        <v>2</v>
      </c>
      <c r="AD181" t="s">
        <v>48</v>
      </c>
      <c r="AE181">
        <v>2</v>
      </c>
      <c r="AF181" t="s">
        <v>49</v>
      </c>
    </row>
    <row r="182" spans="1:32" x14ac:dyDescent="0.25">
      <c r="A182">
        <v>31</v>
      </c>
      <c r="B182" t="s">
        <v>32</v>
      </c>
      <c r="C182" t="s">
        <v>50</v>
      </c>
      <c r="D182" t="s">
        <v>34</v>
      </c>
      <c r="E182" t="s">
        <v>52</v>
      </c>
      <c r="F182">
        <v>12</v>
      </c>
      <c r="G182" t="s">
        <v>53</v>
      </c>
      <c r="H182">
        <v>3</v>
      </c>
      <c r="I182" t="s">
        <v>42</v>
      </c>
      <c r="J182" t="s">
        <v>38</v>
      </c>
      <c r="K182">
        <v>3</v>
      </c>
      <c r="L182" t="s">
        <v>39</v>
      </c>
      <c r="M182">
        <v>1</v>
      </c>
      <c r="N182" t="s">
        <v>40</v>
      </c>
      <c r="O182" t="s">
        <v>56</v>
      </c>
      <c r="P182">
        <v>4</v>
      </c>
      <c r="Q182" t="s">
        <v>42</v>
      </c>
      <c r="R182" t="s">
        <v>58</v>
      </c>
      <c r="S182">
        <v>8</v>
      </c>
      <c r="T182" t="s">
        <v>44</v>
      </c>
      <c r="U182" t="s">
        <v>44</v>
      </c>
      <c r="V182">
        <v>23</v>
      </c>
      <c r="W182" t="s">
        <v>60</v>
      </c>
      <c r="X182">
        <v>7</v>
      </c>
      <c r="Y182">
        <v>3</v>
      </c>
      <c r="Z182" t="s">
        <v>61</v>
      </c>
      <c r="AA182">
        <v>4</v>
      </c>
      <c r="AB182" t="s">
        <v>48</v>
      </c>
      <c r="AC182">
        <v>2</v>
      </c>
      <c r="AD182" t="s">
        <v>48</v>
      </c>
      <c r="AE182">
        <v>0</v>
      </c>
      <c r="AF182" t="s">
        <v>49</v>
      </c>
    </row>
    <row r="183" spans="1:32" x14ac:dyDescent="0.25">
      <c r="A183">
        <v>34</v>
      </c>
      <c r="B183" t="s">
        <v>32</v>
      </c>
      <c r="C183" t="s">
        <v>50</v>
      </c>
      <c r="D183" t="s">
        <v>34</v>
      </c>
      <c r="E183" t="s">
        <v>52</v>
      </c>
      <c r="F183">
        <v>27</v>
      </c>
      <c r="G183" t="s">
        <v>66</v>
      </c>
      <c r="H183">
        <v>4</v>
      </c>
      <c r="I183" t="s">
        <v>42</v>
      </c>
      <c r="J183" t="s">
        <v>38</v>
      </c>
      <c r="K183">
        <v>3</v>
      </c>
      <c r="L183" t="s">
        <v>39</v>
      </c>
      <c r="M183">
        <v>1</v>
      </c>
      <c r="N183" t="s">
        <v>40</v>
      </c>
      <c r="O183" t="s">
        <v>56</v>
      </c>
      <c r="P183">
        <v>2</v>
      </c>
      <c r="Q183" t="s">
        <v>57</v>
      </c>
      <c r="R183" t="s">
        <v>43</v>
      </c>
      <c r="S183">
        <v>2</v>
      </c>
      <c r="T183" t="s">
        <v>44</v>
      </c>
      <c r="U183" t="s">
        <v>59</v>
      </c>
      <c r="V183">
        <v>15</v>
      </c>
      <c r="W183" t="s">
        <v>45</v>
      </c>
      <c r="X183">
        <v>9</v>
      </c>
      <c r="Y183">
        <v>3</v>
      </c>
      <c r="Z183" t="s">
        <v>61</v>
      </c>
      <c r="AA183">
        <v>3</v>
      </c>
      <c r="AB183" t="s">
        <v>48</v>
      </c>
      <c r="AC183">
        <v>2</v>
      </c>
      <c r="AD183" t="s">
        <v>48</v>
      </c>
      <c r="AE183">
        <v>1</v>
      </c>
      <c r="AF183" t="s">
        <v>49</v>
      </c>
    </row>
    <row r="184" spans="1:32" x14ac:dyDescent="0.25">
      <c r="A184">
        <v>41</v>
      </c>
      <c r="B184" t="s">
        <v>32</v>
      </c>
      <c r="C184" t="s">
        <v>33</v>
      </c>
      <c r="D184" t="s">
        <v>34</v>
      </c>
      <c r="E184" t="s">
        <v>35</v>
      </c>
      <c r="F184">
        <v>20</v>
      </c>
      <c r="G184" t="s">
        <v>66</v>
      </c>
      <c r="H184">
        <v>2</v>
      </c>
      <c r="I184" t="s">
        <v>37</v>
      </c>
      <c r="J184" t="s">
        <v>38</v>
      </c>
      <c r="K184">
        <v>3</v>
      </c>
      <c r="L184" t="s">
        <v>39</v>
      </c>
      <c r="M184">
        <v>1</v>
      </c>
      <c r="N184" t="s">
        <v>40</v>
      </c>
      <c r="O184" t="s">
        <v>75</v>
      </c>
      <c r="P184">
        <v>2</v>
      </c>
      <c r="Q184" t="s">
        <v>57</v>
      </c>
      <c r="R184" t="s">
        <v>43</v>
      </c>
      <c r="S184">
        <v>1</v>
      </c>
      <c r="T184" t="s">
        <v>44</v>
      </c>
      <c r="U184" t="s">
        <v>44</v>
      </c>
      <c r="V184">
        <v>22</v>
      </c>
      <c r="W184" t="s">
        <v>60</v>
      </c>
      <c r="X184">
        <v>4</v>
      </c>
      <c r="Y184">
        <v>2</v>
      </c>
      <c r="Z184" t="s">
        <v>46</v>
      </c>
      <c r="AA184">
        <v>4</v>
      </c>
      <c r="AB184" t="s">
        <v>48</v>
      </c>
      <c r="AC184">
        <v>3</v>
      </c>
      <c r="AD184" t="s">
        <v>48</v>
      </c>
      <c r="AE184">
        <v>0</v>
      </c>
      <c r="AF184" t="s">
        <v>49</v>
      </c>
    </row>
    <row r="185" spans="1:32" x14ac:dyDescent="0.25">
      <c r="A185">
        <v>50</v>
      </c>
      <c r="B185" t="s">
        <v>32</v>
      </c>
      <c r="C185" t="s">
        <v>50</v>
      </c>
      <c r="D185" t="s">
        <v>34</v>
      </c>
      <c r="E185" t="s">
        <v>52</v>
      </c>
      <c r="F185">
        <v>1</v>
      </c>
      <c r="G185" t="s">
        <v>36</v>
      </c>
      <c r="H185">
        <v>3</v>
      </c>
      <c r="I185" t="s">
        <v>42</v>
      </c>
      <c r="J185" t="s">
        <v>54</v>
      </c>
      <c r="K185">
        <v>2</v>
      </c>
      <c r="L185" t="s">
        <v>55</v>
      </c>
      <c r="M185">
        <v>1</v>
      </c>
      <c r="N185" t="s">
        <v>40</v>
      </c>
      <c r="O185" t="s">
        <v>62</v>
      </c>
      <c r="P185">
        <v>3</v>
      </c>
      <c r="Q185" t="s">
        <v>42</v>
      </c>
      <c r="R185" t="s">
        <v>58</v>
      </c>
      <c r="S185">
        <v>2</v>
      </c>
      <c r="T185" t="s">
        <v>44</v>
      </c>
      <c r="U185" t="s">
        <v>59</v>
      </c>
      <c r="V185">
        <v>15</v>
      </c>
      <c r="W185" t="s">
        <v>45</v>
      </c>
      <c r="X185">
        <v>5</v>
      </c>
      <c r="Y185">
        <v>2</v>
      </c>
      <c r="Z185" t="s">
        <v>46</v>
      </c>
      <c r="AA185">
        <v>3</v>
      </c>
      <c r="AB185" t="s">
        <v>48</v>
      </c>
      <c r="AC185">
        <v>2</v>
      </c>
      <c r="AD185" t="s">
        <v>48</v>
      </c>
      <c r="AE185">
        <v>0</v>
      </c>
      <c r="AF185" t="s">
        <v>49</v>
      </c>
    </row>
    <row r="186" spans="1:32" x14ac:dyDescent="0.25">
      <c r="A186">
        <v>53</v>
      </c>
      <c r="B186" t="s">
        <v>64</v>
      </c>
      <c r="C186" t="s">
        <v>50</v>
      </c>
      <c r="D186" t="s">
        <v>34</v>
      </c>
      <c r="E186" t="s">
        <v>52</v>
      </c>
      <c r="F186">
        <v>13</v>
      </c>
      <c r="G186" t="s">
        <v>53</v>
      </c>
      <c r="H186">
        <v>4</v>
      </c>
      <c r="I186" t="s">
        <v>42</v>
      </c>
      <c r="J186" t="s">
        <v>38</v>
      </c>
      <c r="K186">
        <v>4</v>
      </c>
      <c r="L186" t="s">
        <v>65</v>
      </c>
      <c r="M186">
        <v>2</v>
      </c>
      <c r="N186" t="s">
        <v>40</v>
      </c>
      <c r="O186" t="s">
        <v>69</v>
      </c>
      <c r="P186">
        <v>1</v>
      </c>
      <c r="Q186" t="s">
        <v>57</v>
      </c>
      <c r="R186" t="s">
        <v>67</v>
      </c>
      <c r="S186">
        <v>1</v>
      </c>
      <c r="T186" t="s">
        <v>44</v>
      </c>
      <c r="U186" t="s">
        <v>59</v>
      </c>
      <c r="V186">
        <v>11</v>
      </c>
      <c r="W186" t="s">
        <v>45</v>
      </c>
      <c r="X186">
        <v>5</v>
      </c>
      <c r="Y186">
        <v>3</v>
      </c>
      <c r="Z186" t="s">
        <v>61</v>
      </c>
      <c r="AA186">
        <v>4</v>
      </c>
      <c r="AB186" t="s">
        <v>48</v>
      </c>
      <c r="AC186">
        <v>2</v>
      </c>
      <c r="AD186" t="s">
        <v>48</v>
      </c>
      <c r="AE186">
        <v>1</v>
      </c>
      <c r="AF186" t="s">
        <v>49</v>
      </c>
    </row>
    <row r="187" spans="1:32" x14ac:dyDescent="0.25">
      <c r="A187">
        <v>33</v>
      </c>
      <c r="B187" t="s">
        <v>32</v>
      </c>
      <c r="C187" t="s">
        <v>50</v>
      </c>
      <c r="D187" t="s">
        <v>34</v>
      </c>
      <c r="E187" t="s">
        <v>52</v>
      </c>
      <c r="F187">
        <v>14</v>
      </c>
      <c r="G187" t="s">
        <v>53</v>
      </c>
      <c r="H187">
        <v>4</v>
      </c>
      <c r="I187" t="s">
        <v>42</v>
      </c>
      <c r="J187" t="s">
        <v>38</v>
      </c>
      <c r="K187">
        <v>3</v>
      </c>
      <c r="L187" t="s">
        <v>39</v>
      </c>
      <c r="M187">
        <v>1</v>
      </c>
      <c r="N187" t="s">
        <v>40</v>
      </c>
      <c r="O187" t="s">
        <v>56</v>
      </c>
      <c r="P187">
        <v>2</v>
      </c>
      <c r="Q187" t="s">
        <v>57</v>
      </c>
      <c r="R187" t="s">
        <v>58</v>
      </c>
      <c r="S187">
        <v>1</v>
      </c>
      <c r="T187" t="s">
        <v>44</v>
      </c>
      <c r="U187" t="s">
        <v>59</v>
      </c>
      <c r="V187">
        <v>13</v>
      </c>
      <c r="W187" t="s">
        <v>45</v>
      </c>
      <c r="X187">
        <v>8</v>
      </c>
      <c r="Y187">
        <v>3</v>
      </c>
      <c r="Z187" t="s">
        <v>61</v>
      </c>
      <c r="AA187">
        <v>8</v>
      </c>
      <c r="AB187" t="s">
        <v>47</v>
      </c>
      <c r="AC187">
        <v>7</v>
      </c>
      <c r="AD187" t="s">
        <v>47</v>
      </c>
      <c r="AE187">
        <v>1</v>
      </c>
      <c r="AF187" t="s">
        <v>49</v>
      </c>
    </row>
    <row r="188" spans="1:32" x14ac:dyDescent="0.25">
      <c r="A188">
        <v>40</v>
      </c>
      <c r="B188" t="s">
        <v>32</v>
      </c>
      <c r="C188" t="s">
        <v>50</v>
      </c>
      <c r="D188" t="s">
        <v>34</v>
      </c>
      <c r="E188" t="s">
        <v>52</v>
      </c>
      <c r="F188">
        <v>4</v>
      </c>
      <c r="G188" t="s">
        <v>36</v>
      </c>
      <c r="H188">
        <v>4</v>
      </c>
      <c r="I188" t="s">
        <v>42</v>
      </c>
      <c r="J188" t="s">
        <v>38</v>
      </c>
      <c r="K188">
        <v>3</v>
      </c>
      <c r="L188" t="s">
        <v>39</v>
      </c>
      <c r="M188">
        <v>5</v>
      </c>
      <c r="N188" t="s">
        <v>72</v>
      </c>
      <c r="O188" t="s">
        <v>73</v>
      </c>
      <c r="P188">
        <v>3</v>
      </c>
      <c r="Q188" t="s">
        <v>42</v>
      </c>
      <c r="R188" t="s">
        <v>58</v>
      </c>
      <c r="S188">
        <v>1</v>
      </c>
      <c r="T188" t="s">
        <v>44</v>
      </c>
      <c r="U188" t="s">
        <v>59</v>
      </c>
      <c r="V188">
        <v>14</v>
      </c>
      <c r="W188" t="s">
        <v>45</v>
      </c>
      <c r="X188">
        <v>21</v>
      </c>
      <c r="Y188">
        <v>3</v>
      </c>
      <c r="Z188" t="s">
        <v>61</v>
      </c>
      <c r="AA188">
        <v>20</v>
      </c>
      <c r="AB188" t="s">
        <v>74</v>
      </c>
      <c r="AC188">
        <v>8</v>
      </c>
      <c r="AD188" t="s">
        <v>47</v>
      </c>
      <c r="AE188">
        <v>9</v>
      </c>
      <c r="AF188" t="s">
        <v>71</v>
      </c>
    </row>
    <row r="189" spans="1:32" x14ac:dyDescent="0.25">
      <c r="A189">
        <v>55</v>
      </c>
      <c r="B189" t="s">
        <v>64</v>
      </c>
      <c r="C189" t="s">
        <v>50</v>
      </c>
      <c r="D189" t="s">
        <v>34</v>
      </c>
      <c r="E189" t="s">
        <v>52</v>
      </c>
      <c r="F189">
        <v>14</v>
      </c>
      <c r="G189" t="s">
        <v>53</v>
      </c>
      <c r="H189">
        <v>3</v>
      </c>
      <c r="I189" t="s">
        <v>42</v>
      </c>
      <c r="J189" t="s">
        <v>54</v>
      </c>
      <c r="K189">
        <v>4</v>
      </c>
      <c r="L189" t="s">
        <v>65</v>
      </c>
      <c r="M189">
        <v>5</v>
      </c>
      <c r="N189" t="s">
        <v>72</v>
      </c>
      <c r="O189" t="s">
        <v>76</v>
      </c>
      <c r="P189">
        <v>2</v>
      </c>
      <c r="Q189" t="s">
        <v>57</v>
      </c>
      <c r="R189" t="s">
        <v>43</v>
      </c>
      <c r="S189">
        <v>8</v>
      </c>
      <c r="T189" t="s">
        <v>44</v>
      </c>
      <c r="U189" t="s">
        <v>59</v>
      </c>
      <c r="V189">
        <v>11</v>
      </c>
      <c r="W189" t="s">
        <v>45</v>
      </c>
      <c r="X189">
        <v>36</v>
      </c>
      <c r="Y189">
        <v>3</v>
      </c>
      <c r="Z189" t="s">
        <v>61</v>
      </c>
      <c r="AA189">
        <v>24</v>
      </c>
      <c r="AB189" t="s">
        <v>74</v>
      </c>
      <c r="AC189">
        <v>15</v>
      </c>
      <c r="AD189" t="s">
        <v>74</v>
      </c>
      <c r="AE189">
        <v>2</v>
      </c>
      <c r="AF189" t="s">
        <v>49</v>
      </c>
    </row>
    <row r="190" spans="1:32" x14ac:dyDescent="0.25">
      <c r="A190">
        <v>34</v>
      </c>
      <c r="B190" t="s">
        <v>32</v>
      </c>
      <c r="C190" t="s">
        <v>50</v>
      </c>
      <c r="D190" t="s">
        <v>51</v>
      </c>
      <c r="E190" t="s">
        <v>52</v>
      </c>
      <c r="F190">
        <v>2</v>
      </c>
      <c r="G190" t="s">
        <v>36</v>
      </c>
      <c r="H190">
        <v>4</v>
      </c>
      <c r="I190" t="s">
        <v>42</v>
      </c>
      <c r="J190" t="s">
        <v>54</v>
      </c>
      <c r="K190">
        <v>2</v>
      </c>
      <c r="L190" t="s">
        <v>55</v>
      </c>
      <c r="M190">
        <v>2</v>
      </c>
      <c r="N190" t="s">
        <v>40</v>
      </c>
      <c r="O190" t="s">
        <v>69</v>
      </c>
      <c r="P190">
        <v>3</v>
      </c>
      <c r="Q190" t="s">
        <v>42</v>
      </c>
      <c r="R190" t="s">
        <v>58</v>
      </c>
      <c r="S190">
        <v>1</v>
      </c>
      <c r="T190" t="s">
        <v>44</v>
      </c>
      <c r="U190" t="s">
        <v>59</v>
      </c>
      <c r="V190">
        <v>17</v>
      </c>
      <c r="W190" t="s">
        <v>45</v>
      </c>
      <c r="X190">
        <v>10</v>
      </c>
      <c r="Y190">
        <v>2</v>
      </c>
      <c r="Z190" t="s">
        <v>46</v>
      </c>
      <c r="AA190">
        <v>10</v>
      </c>
      <c r="AB190" t="s">
        <v>47</v>
      </c>
      <c r="AC190">
        <v>9</v>
      </c>
      <c r="AD190" t="s">
        <v>47</v>
      </c>
      <c r="AE190">
        <v>1</v>
      </c>
      <c r="AF190" t="s">
        <v>49</v>
      </c>
    </row>
    <row r="191" spans="1:32" x14ac:dyDescent="0.25">
      <c r="A191">
        <v>51</v>
      </c>
      <c r="B191" t="s">
        <v>64</v>
      </c>
      <c r="C191" t="s">
        <v>50</v>
      </c>
      <c r="D191" t="s">
        <v>34</v>
      </c>
      <c r="E191" t="s">
        <v>52</v>
      </c>
      <c r="F191">
        <v>3</v>
      </c>
      <c r="G191" t="s">
        <v>36</v>
      </c>
      <c r="H191">
        <v>4</v>
      </c>
      <c r="I191" t="s">
        <v>42</v>
      </c>
      <c r="J191" t="s">
        <v>38</v>
      </c>
      <c r="K191">
        <v>3</v>
      </c>
      <c r="L191" t="s">
        <v>39</v>
      </c>
      <c r="M191">
        <v>4</v>
      </c>
      <c r="N191" t="s">
        <v>72</v>
      </c>
      <c r="O191" t="s">
        <v>70</v>
      </c>
      <c r="P191">
        <v>2</v>
      </c>
      <c r="Q191" t="s">
        <v>57</v>
      </c>
      <c r="R191" t="s">
        <v>43</v>
      </c>
      <c r="S191">
        <v>3</v>
      </c>
      <c r="T191" t="s">
        <v>44</v>
      </c>
      <c r="U191" t="s">
        <v>59</v>
      </c>
      <c r="V191">
        <v>18</v>
      </c>
      <c r="W191" t="s">
        <v>45</v>
      </c>
      <c r="X191">
        <v>21</v>
      </c>
      <c r="Y191">
        <v>3</v>
      </c>
      <c r="Z191" t="s">
        <v>61</v>
      </c>
      <c r="AA191">
        <v>7</v>
      </c>
      <c r="AB191" t="s">
        <v>47</v>
      </c>
      <c r="AC191">
        <v>7</v>
      </c>
      <c r="AD191" t="s">
        <v>47</v>
      </c>
      <c r="AE191">
        <v>1</v>
      </c>
      <c r="AF191" t="s">
        <v>49</v>
      </c>
    </row>
    <row r="192" spans="1:32" x14ac:dyDescent="0.25">
      <c r="A192">
        <v>52</v>
      </c>
      <c r="B192" t="s">
        <v>64</v>
      </c>
      <c r="C192" t="s">
        <v>50</v>
      </c>
      <c r="D192" t="s">
        <v>34</v>
      </c>
      <c r="E192" t="s">
        <v>52</v>
      </c>
      <c r="F192">
        <v>1</v>
      </c>
      <c r="G192" t="s">
        <v>36</v>
      </c>
      <c r="H192">
        <v>3</v>
      </c>
      <c r="I192" t="s">
        <v>42</v>
      </c>
      <c r="J192" t="s">
        <v>54</v>
      </c>
      <c r="K192">
        <v>2</v>
      </c>
      <c r="L192" t="s">
        <v>55</v>
      </c>
      <c r="M192">
        <v>5</v>
      </c>
      <c r="N192" t="s">
        <v>72</v>
      </c>
      <c r="O192" t="s">
        <v>73</v>
      </c>
      <c r="P192">
        <v>3</v>
      </c>
      <c r="Q192" t="s">
        <v>42</v>
      </c>
      <c r="R192" t="s">
        <v>58</v>
      </c>
      <c r="S192">
        <v>0</v>
      </c>
      <c r="T192" t="s">
        <v>44</v>
      </c>
      <c r="U192" t="s">
        <v>59</v>
      </c>
      <c r="V192">
        <v>14</v>
      </c>
      <c r="W192" t="s">
        <v>45</v>
      </c>
      <c r="X192">
        <v>34</v>
      </c>
      <c r="Y192">
        <v>3</v>
      </c>
      <c r="Z192" t="s">
        <v>61</v>
      </c>
      <c r="AA192">
        <v>33</v>
      </c>
      <c r="AB192" t="s">
        <v>74</v>
      </c>
      <c r="AC192">
        <v>18</v>
      </c>
      <c r="AD192" t="s">
        <v>74</v>
      </c>
      <c r="AE192">
        <v>11</v>
      </c>
      <c r="AF192" t="s">
        <v>71</v>
      </c>
    </row>
    <row r="193" spans="1:32" x14ac:dyDescent="0.25">
      <c r="A193">
        <v>27</v>
      </c>
      <c r="B193" t="s">
        <v>63</v>
      </c>
      <c r="C193" t="s">
        <v>50</v>
      </c>
      <c r="D193" t="s">
        <v>34</v>
      </c>
      <c r="E193" t="s">
        <v>52</v>
      </c>
      <c r="F193">
        <v>9</v>
      </c>
      <c r="G193" t="s">
        <v>53</v>
      </c>
      <c r="H193">
        <v>4</v>
      </c>
      <c r="I193" t="s">
        <v>42</v>
      </c>
      <c r="J193" t="s">
        <v>38</v>
      </c>
      <c r="K193">
        <v>3</v>
      </c>
      <c r="L193" t="s">
        <v>39</v>
      </c>
      <c r="M193">
        <v>1</v>
      </c>
      <c r="N193" t="s">
        <v>40</v>
      </c>
      <c r="O193" t="s">
        <v>56</v>
      </c>
      <c r="P193">
        <v>2</v>
      </c>
      <c r="Q193" t="s">
        <v>57</v>
      </c>
      <c r="R193" t="s">
        <v>43</v>
      </c>
      <c r="S193">
        <v>1</v>
      </c>
      <c r="T193" t="s">
        <v>44</v>
      </c>
      <c r="U193" t="s">
        <v>59</v>
      </c>
      <c r="V193">
        <v>16</v>
      </c>
      <c r="W193" t="s">
        <v>45</v>
      </c>
      <c r="X193">
        <v>7</v>
      </c>
      <c r="Y193">
        <v>2</v>
      </c>
      <c r="Z193" t="s">
        <v>46</v>
      </c>
      <c r="AA193">
        <v>7</v>
      </c>
      <c r="AB193" t="s">
        <v>47</v>
      </c>
      <c r="AC193">
        <v>7</v>
      </c>
      <c r="AD193" t="s">
        <v>47</v>
      </c>
      <c r="AE193">
        <v>0</v>
      </c>
      <c r="AF193" t="s">
        <v>49</v>
      </c>
    </row>
    <row r="194" spans="1:32" x14ac:dyDescent="0.25">
      <c r="A194">
        <v>35</v>
      </c>
      <c r="B194" t="s">
        <v>32</v>
      </c>
      <c r="C194" t="s">
        <v>33</v>
      </c>
      <c r="D194" t="s">
        <v>34</v>
      </c>
      <c r="E194" t="s">
        <v>52</v>
      </c>
      <c r="F194">
        <v>23</v>
      </c>
      <c r="G194" t="s">
        <v>66</v>
      </c>
      <c r="H194">
        <v>2</v>
      </c>
      <c r="I194" t="s">
        <v>37</v>
      </c>
      <c r="J194" t="s">
        <v>54</v>
      </c>
      <c r="K194">
        <v>2</v>
      </c>
      <c r="L194" t="s">
        <v>55</v>
      </c>
      <c r="M194">
        <v>2</v>
      </c>
      <c r="N194" t="s">
        <v>40</v>
      </c>
      <c r="O194" t="s">
        <v>69</v>
      </c>
      <c r="P194">
        <v>3</v>
      </c>
      <c r="Q194" t="s">
        <v>42</v>
      </c>
      <c r="R194" t="s">
        <v>58</v>
      </c>
      <c r="S194">
        <v>3</v>
      </c>
      <c r="T194" t="s">
        <v>44</v>
      </c>
      <c r="U194" t="s">
        <v>44</v>
      </c>
      <c r="V194">
        <v>13</v>
      </c>
      <c r="W194" t="s">
        <v>45</v>
      </c>
      <c r="X194">
        <v>8</v>
      </c>
      <c r="Y194">
        <v>3</v>
      </c>
      <c r="Z194" t="s">
        <v>61</v>
      </c>
      <c r="AA194">
        <v>1</v>
      </c>
      <c r="AB194" t="s">
        <v>48</v>
      </c>
      <c r="AC194">
        <v>0</v>
      </c>
      <c r="AD194" t="s">
        <v>48</v>
      </c>
      <c r="AE194">
        <v>0</v>
      </c>
      <c r="AF194" t="s">
        <v>49</v>
      </c>
    </row>
    <row r="195" spans="1:32" x14ac:dyDescent="0.25">
      <c r="A195">
        <v>43</v>
      </c>
      <c r="B195" t="s">
        <v>32</v>
      </c>
      <c r="C195" t="s">
        <v>50</v>
      </c>
      <c r="D195" t="s">
        <v>34</v>
      </c>
      <c r="E195" t="s">
        <v>52</v>
      </c>
      <c r="F195">
        <v>7</v>
      </c>
      <c r="G195" t="s">
        <v>53</v>
      </c>
      <c r="H195">
        <v>4</v>
      </c>
      <c r="I195" t="s">
        <v>42</v>
      </c>
      <c r="J195" t="s">
        <v>54</v>
      </c>
      <c r="K195">
        <v>4</v>
      </c>
      <c r="L195" t="s">
        <v>65</v>
      </c>
      <c r="M195">
        <v>1</v>
      </c>
      <c r="N195" t="s">
        <v>40</v>
      </c>
      <c r="O195" t="s">
        <v>56</v>
      </c>
      <c r="P195">
        <v>4</v>
      </c>
      <c r="Q195" t="s">
        <v>42</v>
      </c>
      <c r="R195" t="s">
        <v>67</v>
      </c>
      <c r="S195">
        <v>4</v>
      </c>
      <c r="T195" t="s">
        <v>44</v>
      </c>
      <c r="U195" t="s">
        <v>59</v>
      </c>
      <c r="V195">
        <v>14</v>
      </c>
      <c r="W195" t="s">
        <v>45</v>
      </c>
      <c r="X195">
        <v>7</v>
      </c>
      <c r="Y195">
        <v>4</v>
      </c>
      <c r="Z195" t="s">
        <v>61</v>
      </c>
      <c r="AA195">
        <v>5</v>
      </c>
      <c r="AB195" t="s">
        <v>47</v>
      </c>
      <c r="AC195">
        <v>4</v>
      </c>
      <c r="AD195" t="s">
        <v>48</v>
      </c>
      <c r="AE195">
        <v>2</v>
      </c>
      <c r="AF195" t="s">
        <v>49</v>
      </c>
    </row>
    <row r="196" spans="1:32" x14ac:dyDescent="0.25">
      <c r="A196">
        <v>45</v>
      </c>
      <c r="B196" t="s">
        <v>32</v>
      </c>
      <c r="C196" t="s">
        <v>50</v>
      </c>
      <c r="D196" t="s">
        <v>34</v>
      </c>
      <c r="E196" t="s">
        <v>52</v>
      </c>
      <c r="F196">
        <v>2</v>
      </c>
      <c r="G196" t="s">
        <v>36</v>
      </c>
      <c r="H196">
        <v>1</v>
      </c>
      <c r="I196" t="s">
        <v>37</v>
      </c>
      <c r="J196" t="s">
        <v>54</v>
      </c>
      <c r="K196">
        <v>2</v>
      </c>
      <c r="L196" t="s">
        <v>55</v>
      </c>
      <c r="M196">
        <v>4</v>
      </c>
      <c r="N196" t="s">
        <v>72</v>
      </c>
      <c r="O196" t="s">
        <v>73</v>
      </c>
      <c r="P196">
        <v>4</v>
      </c>
      <c r="Q196" t="s">
        <v>42</v>
      </c>
      <c r="R196" t="s">
        <v>58</v>
      </c>
      <c r="S196">
        <v>9</v>
      </c>
      <c r="T196" t="s">
        <v>44</v>
      </c>
      <c r="U196" t="s">
        <v>59</v>
      </c>
      <c r="V196">
        <v>23</v>
      </c>
      <c r="W196" t="s">
        <v>60</v>
      </c>
      <c r="X196">
        <v>22</v>
      </c>
      <c r="Y196">
        <v>3</v>
      </c>
      <c r="Z196" t="s">
        <v>61</v>
      </c>
      <c r="AA196">
        <v>20</v>
      </c>
      <c r="AB196" t="s">
        <v>74</v>
      </c>
      <c r="AC196">
        <v>8</v>
      </c>
      <c r="AD196" t="s">
        <v>47</v>
      </c>
      <c r="AE196">
        <v>11</v>
      </c>
      <c r="AF196" t="s">
        <v>71</v>
      </c>
    </row>
    <row r="197" spans="1:32" x14ac:dyDescent="0.25">
      <c r="A197">
        <v>37</v>
      </c>
      <c r="B197" t="s">
        <v>32</v>
      </c>
      <c r="C197" t="s">
        <v>50</v>
      </c>
      <c r="D197" t="s">
        <v>34</v>
      </c>
      <c r="E197" t="s">
        <v>52</v>
      </c>
      <c r="F197">
        <v>21</v>
      </c>
      <c r="G197" t="s">
        <v>66</v>
      </c>
      <c r="H197">
        <v>2</v>
      </c>
      <c r="I197" t="s">
        <v>37</v>
      </c>
      <c r="J197" t="s">
        <v>54</v>
      </c>
      <c r="K197">
        <v>4</v>
      </c>
      <c r="L197" t="s">
        <v>65</v>
      </c>
      <c r="M197">
        <v>1</v>
      </c>
      <c r="N197" t="s">
        <v>40</v>
      </c>
      <c r="O197" t="s">
        <v>56</v>
      </c>
      <c r="P197">
        <v>1</v>
      </c>
      <c r="Q197" t="s">
        <v>57</v>
      </c>
      <c r="R197" t="s">
        <v>58</v>
      </c>
      <c r="S197">
        <v>1</v>
      </c>
      <c r="T197" t="s">
        <v>44</v>
      </c>
      <c r="U197" t="s">
        <v>44</v>
      </c>
      <c r="V197">
        <v>12</v>
      </c>
      <c r="W197" t="s">
        <v>45</v>
      </c>
      <c r="X197">
        <v>8</v>
      </c>
      <c r="Y197">
        <v>2</v>
      </c>
      <c r="Z197" t="s">
        <v>46</v>
      </c>
      <c r="AA197">
        <v>8</v>
      </c>
      <c r="AB197" t="s">
        <v>47</v>
      </c>
      <c r="AC197">
        <v>7</v>
      </c>
      <c r="AD197" t="s">
        <v>47</v>
      </c>
      <c r="AE197">
        <v>1</v>
      </c>
      <c r="AF197" t="s">
        <v>49</v>
      </c>
    </row>
    <row r="198" spans="1:32" x14ac:dyDescent="0.25">
      <c r="A198">
        <v>35</v>
      </c>
      <c r="B198" t="s">
        <v>32</v>
      </c>
      <c r="C198" t="s">
        <v>50</v>
      </c>
      <c r="D198" t="s">
        <v>51</v>
      </c>
      <c r="E198" t="s">
        <v>52</v>
      </c>
      <c r="F198">
        <v>2</v>
      </c>
      <c r="G198" t="s">
        <v>36</v>
      </c>
      <c r="H198">
        <v>2</v>
      </c>
      <c r="I198" t="s">
        <v>37</v>
      </c>
      <c r="J198" t="s">
        <v>38</v>
      </c>
      <c r="K198">
        <v>3</v>
      </c>
      <c r="L198" t="s">
        <v>39</v>
      </c>
      <c r="M198">
        <v>2</v>
      </c>
      <c r="N198" t="s">
        <v>40</v>
      </c>
      <c r="O198" t="s">
        <v>62</v>
      </c>
      <c r="P198">
        <v>2</v>
      </c>
      <c r="Q198" t="s">
        <v>57</v>
      </c>
      <c r="R198" t="s">
        <v>43</v>
      </c>
      <c r="S198">
        <v>5</v>
      </c>
      <c r="T198" t="s">
        <v>44</v>
      </c>
      <c r="U198" t="s">
        <v>59</v>
      </c>
      <c r="V198">
        <v>11</v>
      </c>
      <c r="W198" t="s">
        <v>45</v>
      </c>
      <c r="X198">
        <v>10</v>
      </c>
      <c r="Y198">
        <v>3</v>
      </c>
      <c r="Z198" t="s">
        <v>61</v>
      </c>
      <c r="AA198">
        <v>6</v>
      </c>
      <c r="AB198" t="s">
        <v>47</v>
      </c>
      <c r="AC198">
        <v>2</v>
      </c>
      <c r="AD198" t="s">
        <v>48</v>
      </c>
      <c r="AE198">
        <v>1</v>
      </c>
      <c r="AF198" t="s">
        <v>49</v>
      </c>
    </row>
    <row r="199" spans="1:32" x14ac:dyDescent="0.25">
      <c r="A199">
        <v>42</v>
      </c>
      <c r="B199" t="s">
        <v>32</v>
      </c>
      <c r="C199" t="s">
        <v>50</v>
      </c>
      <c r="D199" t="s">
        <v>34</v>
      </c>
      <c r="E199" t="s">
        <v>52</v>
      </c>
      <c r="F199">
        <v>21</v>
      </c>
      <c r="G199" t="s">
        <v>66</v>
      </c>
      <c r="H199">
        <v>3</v>
      </c>
      <c r="I199" t="s">
        <v>42</v>
      </c>
      <c r="J199" t="s">
        <v>38</v>
      </c>
      <c r="K199">
        <v>3</v>
      </c>
      <c r="L199" t="s">
        <v>39</v>
      </c>
      <c r="M199">
        <v>2</v>
      </c>
      <c r="N199" t="s">
        <v>40</v>
      </c>
      <c r="O199" t="s">
        <v>69</v>
      </c>
      <c r="P199">
        <v>3</v>
      </c>
      <c r="Q199" t="s">
        <v>42</v>
      </c>
      <c r="R199" t="s">
        <v>67</v>
      </c>
      <c r="S199">
        <v>2</v>
      </c>
      <c r="T199" t="s">
        <v>44</v>
      </c>
      <c r="U199" t="s">
        <v>59</v>
      </c>
      <c r="V199">
        <v>16</v>
      </c>
      <c r="W199" t="s">
        <v>45</v>
      </c>
      <c r="X199">
        <v>11</v>
      </c>
      <c r="Y199">
        <v>3</v>
      </c>
      <c r="Z199" t="s">
        <v>61</v>
      </c>
      <c r="AA199">
        <v>5</v>
      </c>
      <c r="AB199" t="s">
        <v>47</v>
      </c>
      <c r="AC199">
        <v>3</v>
      </c>
      <c r="AD199" t="s">
        <v>48</v>
      </c>
      <c r="AE199">
        <v>0</v>
      </c>
      <c r="AF199" t="s">
        <v>49</v>
      </c>
    </row>
    <row r="200" spans="1:32" x14ac:dyDescent="0.25">
      <c r="A200">
        <v>38</v>
      </c>
      <c r="B200" t="s">
        <v>32</v>
      </c>
      <c r="C200" t="s">
        <v>50</v>
      </c>
      <c r="D200" t="s">
        <v>34</v>
      </c>
      <c r="E200" t="s">
        <v>52</v>
      </c>
      <c r="F200">
        <v>2</v>
      </c>
      <c r="G200" t="s">
        <v>36</v>
      </c>
      <c r="H200">
        <v>4</v>
      </c>
      <c r="I200" t="s">
        <v>42</v>
      </c>
      <c r="J200" t="s">
        <v>54</v>
      </c>
      <c r="K200">
        <v>3</v>
      </c>
      <c r="L200" t="s">
        <v>39</v>
      </c>
      <c r="M200">
        <v>2</v>
      </c>
      <c r="N200" t="s">
        <v>40</v>
      </c>
      <c r="O200" t="s">
        <v>69</v>
      </c>
      <c r="P200">
        <v>3</v>
      </c>
      <c r="Q200" t="s">
        <v>42</v>
      </c>
      <c r="R200" t="s">
        <v>58</v>
      </c>
      <c r="S200">
        <v>9</v>
      </c>
      <c r="T200" t="s">
        <v>44</v>
      </c>
      <c r="U200" t="s">
        <v>59</v>
      </c>
      <c r="V200">
        <v>14</v>
      </c>
      <c r="W200" t="s">
        <v>45</v>
      </c>
      <c r="X200">
        <v>14</v>
      </c>
      <c r="Y200">
        <v>3</v>
      </c>
      <c r="Z200" t="s">
        <v>61</v>
      </c>
      <c r="AA200">
        <v>1</v>
      </c>
      <c r="AB200" t="s">
        <v>48</v>
      </c>
      <c r="AC200">
        <v>0</v>
      </c>
      <c r="AD200" t="s">
        <v>48</v>
      </c>
      <c r="AE200">
        <v>0</v>
      </c>
      <c r="AF200" t="s">
        <v>49</v>
      </c>
    </row>
    <row r="201" spans="1:32" x14ac:dyDescent="0.25">
      <c r="A201">
        <v>38</v>
      </c>
      <c r="B201" t="s">
        <v>32</v>
      </c>
      <c r="C201" t="s">
        <v>50</v>
      </c>
      <c r="D201" t="s">
        <v>34</v>
      </c>
      <c r="E201" t="s">
        <v>52</v>
      </c>
      <c r="F201">
        <v>29</v>
      </c>
      <c r="G201" t="s">
        <v>66</v>
      </c>
      <c r="H201">
        <v>4</v>
      </c>
      <c r="I201" t="s">
        <v>42</v>
      </c>
      <c r="J201" t="s">
        <v>54</v>
      </c>
      <c r="K201">
        <v>3</v>
      </c>
      <c r="L201" t="s">
        <v>39</v>
      </c>
      <c r="M201">
        <v>2</v>
      </c>
      <c r="N201" t="s">
        <v>40</v>
      </c>
      <c r="O201" t="s">
        <v>69</v>
      </c>
      <c r="P201">
        <v>4</v>
      </c>
      <c r="Q201" t="s">
        <v>42</v>
      </c>
      <c r="R201" t="s">
        <v>58</v>
      </c>
      <c r="S201">
        <v>3</v>
      </c>
      <c r="T201" t="s">
        <v>44</v>
      </c>
      <c r="U201" t="s">
        <v>59</v>
      </c>
      <c r="V201">
        <v>18</v>
      </c>
      <c r="W201" t="s">
        <v>45</v>
      </c>
      <c r="X201">
        <v>9</v>
      </c>
      <c r="Y201">
        <v>1</v>
      </c>
      <c r="Z201" t="s">
        <v>46</v>
      </c>
      <c r="AA201">
        <v>7</v>
      </c>
      <c r="AB201" t="s">
        <v>47</v>
      </c>
      <c r="AC201">
        <v>7</v>
      </c>
      <c r="AD201" t="s">
        <v>47</v>
      </c>
      <c r="AE201">
        <v>1</v>
      </c>
      <c r="AF201" t="s">
        <v>49</v>
      </c>
    </row>
    <row r="202" spans="1:32" x14ac:dyDescent="0.25">
      <c r="A202">
        <v>27</v>
      </c>
      <c r="B202" t="s">
        <v>63</v>
      </c>
      <c r="C202" t="s">
        <v>50</v>
      </c>
      <c r="D202" t="s">
        <v>51</v>
      </c>
      <c r="E202" t="s">
        <v>52</v>
      </c>
      <c r="F202">
        <v>1</v>
      </c>
      <c r="G202" t="s">
        <v>36</v>
      </c>
      <c r="H202">
        <v>3</v>
      </c>
      <c r="I202" t="s">
        <v>42</v>
      </c>
      <c r="J202" t="s">
        <v>54</v>
      </c>
      <c r="K202">
        <v>2</v>
      </c>
      <c r="L202" t="s">
        <v>55</v>
      </c>
      <c r="M202">
        <v>2</v>
      </c>
      <c r="N202" t="s">
        <v>40</v>
      </c>
      <c r="O202" t="s">
        <v>69</v>
      </c>
      <c r="P202">
        <v>1</v>
      </c>
      <c r="Q202" t="s">
        <v>57</v>
      </c>
      <c r="R202" t="s">
        <v>58</v>
      </c>
      <c r="S202">
        <v>5</v>
      </c>
      <c r="T202" t="s">
        <v>44</v>
      </c>
      <c r="U202" t="s">
        <v>59</v>
      </c>
      <c r="V202">
        <v>19</v>
      </c>
      <c r="W202" t="s">
        <v>45</v>
      </c>
      <c r="X202">
        <v>6</v>
      </c>
      <c r="Y202">
        <v>3</v>
      </c>
      <c r="Z202" t="s">
        <v>61</v>
      </c>
      <c r="AA202">
        <v>2</v>
      </c>
      <c r="AB202" t="s">
        <v>48</v>
      </c>
      <c r="AC202">
        <v>2</v>
      </c>
      <c r="AD202" t="s">
        <v>48</v>
      </c>
      <c r="AE202">
        <v>2</v>
      </c>
      <c r="AF202" t="s">
        <v>49</v>
      </c>
    </row>
    <row r="203" spans="1:32" x14ac:dyDescent="0.25">
      <c r="A203">
        <v>49</v>
      </c>
      <c r="B203" t="s">
        <v>32</v>
      </c>
      <c r="C203" t="s">
        <v>50</v>
      </c>
      <c r="D203" t="s">
        <v>34</v>
      </c>
      <c r="E203" t="s">
        <v>52</v>
      </c>
      <c r="F203">
        <v>18</v>
      </c>
      <c r="G203" t="s">
        <v>66</v>
      </c>
      <c r="H203">
        <v>4</v>
      </c>
      <c r="I203" t="s">
        <v>42</v>
      </c>
      <c r="J203" t="s">
        <v>54</v>
      </c>
      <c r="K203">
        <v>3</v>
      </c>
      <c r="L203" t="s">
        <v>39</v>
      </c>
      <c r="M203">
        <v>2</v>
      </c>
      <c r="N203" t="s">
        <v>40</v>
      </c>
      <c r="O203" t="s">
        <v>69</v>
      </c>
      <c r="P203">
        <v>4</v>
      </c>
      <c r="Q203" t="s">
        <v>42</v>
      </c>
      <c r="R203" t="s">
        <v>67</v>
      </c>
      <c r="S203">
        <v>1</v>
      </c>
      <c r="T203" t="s">
        <v>44</v>
      </c>
      <c r="U203" t="s">
        <v>44</v>
      </c>
      <c r="V203">
        <v>15</v>
      </c>
      <c r="W203" t="s">
        <v>45</v>
      </c>
      <c r="X203">
        <v>7</v>
      </c>
      <c r="Y203">
        <v>3</v>
      </c>
      <c r="Z203" t="s">
        <v>61</v>
      </c>
      <c r="AA203">
        <v>7</v>
      </c>
      <c r="AB203" t="s">
        <v>47</v>
      </c>
      <c r="AC203">
        <v>7</v>
      </c>
      <c r="AD203" t="s">
        <v>47</v>
      </c>
      <c r="AE203">
        <v>1</v>
      </c>
      <c r="AF203" t="s">
        <v>49</v>
      </c>
    </row>
    <row r="204" spans="1:32" x14ac:dyDescent="0.25">
      <c r="A204">
        <v>34</v>
      </c>
      <c r="B204" t="s">
        <v>32</v>
      </c>
      <c r="C204" t="s">
        <v>50</v>
      </c>
      <c r="D204" t="s">
        <v>51</v>
      </c>
      <c r="E204" t="s">
        <v>52</v>
      </c>
      <c r="F204">
        <v>10</v>
      </c>
      <c r="G204" t="s">
        <v>53</v>
      </c>
      <c r="H204">
        <v>4</v>
      </c>
      <c r="I204" t="s">
        <v>42</v>
      </c>
      <c r="J204" t="s">
        <v>54</v>
      </c>
      <c r="K204">
        <v>3</v>
      </c>
      <c r="L204" t="s">
        <v>39</v>
      </c>
      <c r="M204">
        <v>1</v>
      </c>
      <c r="N204" t="s">
        <v>40</v>
      </c>
      <c r="O204" t="s">
        <v>56</v>
      </c>
      <c r="P204">
        <v>3</v>
      </c>
      <c r="Q204" t="s">
        <v>42</v>
      </c>
      <c r="R204" t="s">
        <v>67</v>
      </c>
      <c r="S204">
        <v>1</v>
      </c>
      <c r="T204" t="s">
        <v>44</v>
      </c>
      <c r="U204" t="s">
        <v>44</v>
      </c>
      <c r="V204">
        <v>17</v>
      </c>
      <c r="W204" t="s">
        <v>45</v>
      </c>
      <c r="X204">
        <v>5</v>
      </c>
      <c r="Y204">
        <v>4</v>
      </c>
      <c r="Z204" t="s">
        <v>61</v>
      </c>
      <c r="AA204">
        <v>5</v>
      </c>
      <c r="AB204" t="s">
        <v>47</v>
      </c>
      <c r="AC204">
        <v>3</v>
      </c>
      <c r="AD204" t="s">
        <v>48</v>
      </c>
      <c r="AE204">
        <v>2</v>
      </c>
      <c r="AF204" t="s">
        <v>49</v>
      </c>
    </row>
    <row r="205" spans="1:32" x14ac:dyDescent="0.25">
      <c r="A205">
        <v>40</v>
      </c>
      <c r="B205" t="s">
        <v>32</v>
      </c>
      <c r="C205" t="s">
        <v>50</v>
      </c>
      <c r="D205" t="s">
        <v>34</v>
      </c>
      <c r="E205" t="s">
        <v>52</v>
      </c>
      <c r="F205">
        <v>19</v>
      </c>
      <c r="G205" t="s">
        <v>66</v>
      </c>
      <c r="H205">
        <v>3</v>
      </c>
      <c r="I205" t="s">
        <v>42</v>
      </c>
      <c r="J205" t="s">
        <v>54</v>
      </c>
      <c r="K205">
        <v>3</v>
      </c>
      <c r="L205" t="s">
        <v>39</v>
      </c>
      <c r="M205">
        <v>2</v>
      </c>
      <c r="N205" t="s">
        <v>40</v>
      </c>
      <c r="O205" t="s">
        <v>62</v>
      </c>
      <c r="P205">
        <v>4</v>
      </c>
      <c r="Q205" t="s">
        <v>42</v>
      </c>
      <c r="R205" t="s">
        <v>58</v>
      </c>
      <c r="S205">
        <v>8</v>
      </c>
      <c r="T205" t="s">
        <v>44</v>
      </c>
      <c r="U205" t="s">
        <v>44</v>
      </c>
      <c r="V205">
        <v>15</v>
      </c>
      <c r="W205" t="s">
        <v>45</v>
      </c>
      <c r="X205">
        <v>15</v>
      </c>
      <c r="Y205">
        <v>4</v>
      </c>
      <c r="Z205" t="s">
        <v>61</v>
      </c>
      <c r="AA205">
        <v>7</v>
      </c>
      <c r="AB205" t="s">
        <v>47</v>
      </c>
      <c r="AC205">
        <v>2</v>
      </c>
      <c r="AD205" t="s">
        <v>48</v>
      </c>
      <c r="AE205">
        <v>3</v>
      </c>
      <c r="AF205" t="s">
        <v>49</v>
      </c>
    </row>
    <row r="206" spans="1:32" x14ac:dyDescent="0.25">
      <c r="A206">
        <v>38</v>
      </c>
      <c r="B206" t="s">
        <v>32</v>
      </c>
      <c r="C206" t="s">
        <v>33</v>
      </c>
      <c r="D206" t="s">
        <v>34</v>
      </c>
      <c r="E206" t="s">
        <v>52</v>
      </c>
      <c r="F206">
        <v>29</v>
      </c>
      <c r="G206" t="s">
        <v>66</v>
      </c>
      <c r="H206">
        <v>2</v>
      </c>
      <c r="I206" t="s">
        <v>37</v>
      </c>
      <c r="J206" t="s">
        <v>54</v>
      </c>
      <c r="K206">
        <v>3</v>
      </c>
      <c r="L206" t="s">
        <v>39</v>
      </c>
      <c r="M206">
        <v>2</v>
      </c>
      <c r="N206" t="s">
        <v>40</v>
      </c>
      <c r="O206" t="s">
        <v>70</v>
      </c>
      <c r="P206">
        <v>1</v>
      </c>
      <c r="Q206" t="s">
        <v>57</v>
      </c>
      <c r="R206" t="s">
        <v>58</v>
      </c>
      <c r="S206">
        <v>7</v>
      </c>
      <c r="T206" t="s">
        <v>44</v>
      </c>
      <c r="U206" t="s">
        <v>44</v>
      </c>
      <c r="V206">
        <v>19</v>
      </c>
      <c r="W206" t="s">
        <v>45</v>
      </c>
      <c r="X206">
        <v>17</v>
      </c>
      <c r="Y206">
        <v>3</v>
      </c>
      <c r="Z206" t="s">
        <v>61</v>
      </c>
      <c r="AA206">
        <v>1</v>
      </c>
      <c r="AB206" t="s">
        <v>48</v>
      </c>
      <c r="AC206">
        <v>0</v>
      </c>
      <c r="AD206" t="s">
        <v>48</v>
      </c>
      <c r="AE206">
        <v>0</v>
      </c>
      <c r="AF206" t="s">
        <v>49</v>
      </c>
    </row>
    <row r="207" spans="1:32" x14ac:dyDescent="0.25">
      <c r="A207">
        <v>29</v>
      </c>
      <c r="B207" t="s">
        <v>63</v>
      </c>
      <c r="C207" t="s">
        <v>33</v>
      </c>
      <c r="D207" t="s">
        <v>34</v>
      </c>
      <c r="E207" t="s">
        <v>35</v>
      </c>
      <c r="F207">
        <v>27</v>
      </c>
      <c r="G207" t="s">
        <v>66</v>
      </c>
      <c r="H207">
        <v>2</v>
      </c>
      <c r="I207" t="s">
        <v>37</v>
      </c>
      <c r="J207" t="s">
        <v>38</v>
      </c>
      <c r="K207">
        <v>3</v>
      </c>
      <c r="L207" t="s">
        <v>39</v>
      </c>
      <c r="M207">
        <v>3</v>
      </c>
      <c r="N207" t="s">
        <v>68</v>
      </c>
      <c r="O207" t="s">
        <v>41</v>
      </c>
      <c r="P207">
        <v>4</v>
      </c>
      <c r="Q207" t="s">
        <v>42</v>
      </c>
      <c r="R207" t="s">
        <v>58</v>
      </c>
      <c r="S207">
        <v>1</v>
      </c>
      <c r="T207" t="s">
        <v>44</v>
      </c>
      <c r="U207" t="s">
        <v>59</v>
      </c>
      <c r="V207">
        <v>22</v>
      </c>
      <c r="W207" t="s">
        <v>60</v>
      </c>
      <c r="X207">
        <v>10</v>
      </c>
      <c r="Y207">
        <v>2</v>
      </c>
      <c r="Z207" t="s">
        <v>46</v>
      </c>
      <c r="AA207">
        <v>10</v>
      </c>
      <c r="AB207" t="s">
        <v>47</v>
      </c>
      <c r="AC207">
        <v>4</v>
      </c>
      <c r="AD207" t="s">
        <v>48</v>
      </c>
      <c r="AE207">
        <v>1</v>
      </c>
      <c r="AF207" t="s">
        <v>49</v>
      </c>
    </row>
    <row r="208" spans="1:32" x14ac:dyDescent="0.25">
      <c r="A208">
        <v>22</v>
      </c>
      <c r="B208" t="s">
        <v>63</v>
      </c>
      <c r="C208" t="s">
        <v>50</v>
      </c>
      <c r="D208" t="s">
        <v>34</v>
      </c>
      <c r="E208" t="s">
        <v>52</v>
      </c>
      <c r="F208">
        <v>5</v>
      </c>
      <c r="G208" t="s">
        <v>36</v>
      </c>
      <c r="H208">
        <v>4</v>
      </c>
      <c r="I208" t="s">
        <v>42</v>
      </c>
      <c r="J208" t="s">
        <v>54</v>
      </c>
      <c r="K208">
        <v>4</v>
      </c>
      <c r="L208" t="s">
        <v>65</v>
      </c>
      <c r="M208">
        <v>1</v>
      </c>
      <c r="N208" t="s">
        <v>40</v>
      </c>
      <c r="O208" t="s">
        <v>56</v>
      </c>
      <c r="P208">
        <v>2</v>
      </c>
      <c r="Q208" t="s">
        <v>57</v>
      </c>
      <c r="R208" t="s">
        <v>67</v>
      </c>
      <c r="S208">
        <v>1</v>
      </c>
      <c r="T208" t="s">
        <v>44</v>
      </c>
      <c r="U208" t="s">
        <v>44</v>
      </c>
      <c r="V208">
        <v>16</v>
      </c>
      <c r="W208" t="s">
        <v>45</v>
      </c>
      <c r="X208">
        <v>4</v>
      </c>
      <c r="Y208">
        <v>2</v>
      </c>
      <c r="Z208" t="s">
        <v>46</v>
      </c>
      <c r="AA208">
        <v>4</v>
      </c>
      <c r="AB208" t="s">
        <v>48</v>
      </c>
      <c r="AC208">
        <v>2</v>
      </c>
      <c r="AD208" t="s">
        <v>48</v>
      </c>
      <c r="AE208">
        <v>2</v>
      </c>
      <c r="AF208" t="s">
        <v>49</v>
      </c>
    </row>
    <row r="209" spans="1:32" x14ac:dyDescent="0.25">
      <c r="A209">
        <v>36</v>
      </c>
      <c r="B209" t="s">
        <v>32</v>
      </c>
      <c r="C209" t="s">
        <v>50</v>
      </c>
      <c r="D209" t="s">
        <v>51</v>
      </c>
      <c r="E209" t="s">
        <v>52</v>
      </c>
      <c r="F209">
        <v>18</v>
      </c>
      <c r="G209" t="s">
        <v>66</v>
      </c>
      <c r="H209">
        <v>2</v>
      </c>
      <c r="I209" t="s">
        <v>37</v>
      </c>
      <c r="J209" t="s">
        <v>38</v>
      </c>
      <c r="K209">
        <v>3</v>
      </c>
      <c r="L209" t="s">
        <v>39</v>
      </c>
      <c r="M209">
        <v>1</v>
      </c>
      <c r="N209" t="s">
        <v>40</v>
      </c>
      <c r="O209" t="s">
        <v>62</v>
      </c>
      <c r="P209">
        <v>4</v>
      </c>
      <c r="Q209" t="s">
        <v>42</v>
      </c>
      <c r="R209" t="s">
        <v>43</v>
      </c>
      <c r="S209">
        <v>1</v>
      </c>
      <c r="T209" t="s">
        <v>44</v>
      </c>
      <c r="U209" t="s">
        <v>59</v>
      </c>
      <c r="V209">
        <v>13</v>
      </c>
      <c r="W209" t="s">
        <v>45</v>
      </c>
      <c r="X209">
        <v>8</v>
      </c>
      <c r="Y209">
        <v>3</v>
      </c>
      <c r="Z209" t="s">
        <v>61</v>
      </c>
      <c r="AA209">
        <v>8</v>
      </c>
      <c r="AB209" t="s">
        <v>47</v>
      </c>
      <c r="AC209">
        <v>1</v>
      </c>
      <c r="AD209" t="s">
        <v>48</v>
      </c>
      <c r="AE209">
        <v>1</v>
      </c>
      <c r="AF209" t="s">
        <v>49</v>
      </c>
    </row>
    <row r="210" spans="1:32" x14ac:dyDescent="0.25">
      <c r="A210">
        <v>40</v>
      </c>
      <c r="B210" t="s">
        <v>32</v>
      </c>
      <c r="C210" t="s">
        <v>50</v>
      </c>
      <c r="D210" t="s">
        <v>34</v>
      </c>
      <c r="E210" t="s">
        <v>52</v>
      </c>
      <c r="F210">
        <v>9</v>
      </c>
      <c r="G210" t="s">
        <v>53</v>
      </c>
      <c r="H210">
        <v>4</v>
      </c>
      <c r="I210" t="s">
        <v>42</v>
      </c>
      <c r="J210" t="s">
        <v>54</v>
      </c>
      <c r="K210">
        <v>2</v>
      </c>
      <c r="L210" t="s">
        <v>55</v>
      </c>
      <c r="M210">
        <v>2</v>
      </c>
      <c r="N210" t="s">
        <v>40</v>
      </c>
      <c r="O210" t="s">
        <v>70</v>
      </c>
      <c r="P210">
        <v>4</v>
      </c>
      <c r="Q210" t="s">
        <v>42</v>
      </c>
      <c r="R210" t="s">
        <v>58</v>
      </c>
      <c r="S210">
        <v>9</v>
      </c>
      <c r="T210" t="s">
        <v>44</v>
      </c>
      <c r="U210" t="s">
        <v>59</v>
      </c>
      <c r="V210">
        <v>14</v>
      </c>
      <c r="W210" t="s">
        <v>45</v>
      </c>
      <c r="X210">
        <v>5</v>
      </c>
      <c r="Y210">
        <v>1</v>
      </c>
      <c r="Z210" t="s">
        <v>46</v>
      </c>
      <c r="AA210">
        <v>3</v>
      </c>
      <c r="AB210" t="s">
        <v>48</v>
      </c>
      <c r="AC210">
        <v>2</v>
      </c>
      <c r="AD210" t="s">
        <v>48</v>
      </c>
      <c r="AE210">
        <v>0</v>
      </c>
      <c r="AF210" t="s">
        <v>49</v>
      </c>
    </row>
    <row r="211" spans="1:32" x14ac:dyDescent="0.25">
      <c r="A211">
        <v>46</v>
      </c>
      <c r="B211" t="s">
        <v>32</v>
      </c>
      <c r="C211" t="s">
        <v>50</v>
      </c>
      <c r="D211" t="s">
        <v>34</v>
      </c>
      <c r="E211" t="s">
        <v>52</v>
      </c>
      <c r="F211">
        <v>1</v>
      </c>
      <c r="G211" t="s">
        <v>36</v>
      </c>
      <c r="H211">
        <v>4</v>
      </c>
      <c r="I211" t="s">
        <v>42</v>
      </c>
      <c r="J211" t="s">
        <v>54</v>
      </c>
      <c r="K211">
        <v>3</v>
      </c>
      <c r="L211" t="s">
        <v>39</v>
      </c>
      <c r="M211">
        <v>3</v>
      </c>
      <c r="N211" t="s">
        <v>68</v>
      </c>
      <c r="O211" t="s">
        <v>70</v>
      </c>
      <c r="P211">
        <v>1</v>
      </c>
      <c r="Q211" t="s">
        <v>57</v>
      </c>
      <c r="R211" t="s">
        <v>67</v>
      </c>
      <c r="S211">
        <v>7</v>
      </c>
      <c r="T211" t="s">
        <v>44</v>
      </c>
      <c r="U211" t="s">
        <v>59</v>
      </c>
      <c r="V211">
        <v>16</v>
      </c>
      <c r="W211" t="s">
        <v>45</v>
      </c>
      <c r="X211">
        <v>17</v>
      </c>
      <c r="Y211">
        <v>3</v>
      </c>
      <c r="Z211" t="s">
        <v>61</v>
      </c>
      <c r="AA211">
        <v>4</v>
      </c>
      <c r="AB211" t="s">
        <v>48</v>
      </c>
      <c r="AC211">
        <v>2</v>
      </c>
      <c r="AD211" t="s">
        <v>48</v>
      </c>
      <c r="AE211">
        <v>0</v>
      </c>
      <c r="AF211" t="s">
        <v>49</v>
      </c>
    </row>
    <row r="212" spans="1:32" x14ac:dyDescent="0.25">
      <c r="A212">
        <v>32</v>
      </c>
      <c r="B212" t="s">
        <v>32</v>
      </c>
      <c r="C212" t="s">
        <v>33</v>
      </c>
      <c r="D212" t="s">
        <v>34</v>
      </c>
      <c r="E212" t="s">
        <v>35</v>
      </c>
      <c r="F212">
        <v>4</v>
      </c>
      <c r="G212" t="s">
        <v>36</v>
      </c>
      <c r="H212">
        <v>4</v>
      </c>
      <c r="I212" t="s">
        <v>42</v>
      </c>
      <c r="J212" t="s">
        <v>54</v>
      </c>
      <c r="K212">
        <v>1</v>
      </c>
      <c r="L212" t="s">
        <v>55</v>
      </c>
      <c r="M212">
        <v>3</v>
      </c>
      <c r="N212" t="s">
        <v>68</v>
      </c>
      <c r="O212" t="s">
        <v>41</v>
      </c>
      <c r="P212">
        <v>4</v>
      </c>
      <c r="Q212" t="s">
        <v>42</v>
      </c>
      <c r="R212" t="s">
        <v>58</v>
      </c>
      <c r="S212">
        <v>1</v>
      </c>
      <c r="T212" t="s">
        <v>44</v>
      </c>
      <c r="U212" t="s">
        <v>59</v>
      </c>
      <c r="V212">
        <v>11</v>
      </c>
      <c r="W212" t="s">
        <v>45</v>
      </c>
      <c r="X212">
        <v>14</v>
      </c>
      <c r="Y212">
        <v>2</v>
      </c>
      <c r="Z212" t="s">
        <v>46</v>
      </c>
      <c r="AA212">
        <v>14</v>
      </c>
      <c r="AB212" t="s">
        <v>74</v>
      </c>
      <c r="AC212">
        <v>8</v>
      </c>
      <c r="AD212" t="s">
        <v>47</v>
      </c>
      <c r="AE212">
        <v>9</v>
      </c>
      <c r="AF212" t="s">
        <v>71</v>
      </c>
    </row>
    <row r="213" spans="1:32" x14ac:dyDescent="0.25">
      <c r="A213">
        <v>30</v>
      </c>
      <c r="B213" t="s">
        <v>32</v>
      </c>
      <c r="C213" t="s">
        <v>50</v>
      </c>
      <c r="D213" t="s">
        <v>34</v>
      </c>
      <c r="E213" t="s">
        <v>52</v>
      </c>
      <c r="F213">
        <v>1</v>
      </c>
      <c r="G213" t="s">
        <v>36</v>
      </c>
      <c r="H213">
        <v>3</v>
      </c>
      <c r="I213" t="s">
        <v>42</v>
      </c>
      <c r="J213" t="s">
        <v>54</v>
      </c>
      <c r="K213">
        <v>2</v>
      </c>
      <c r="L213" t="s">
        <v>55</v>
      </c>
      <c r="M213">
        <v>3</v>
      </c>
      <c r="N213" t="s">
        <v>68</v>
      </c>
      <c r="O213" t="s">
        <v>69</v>
      </c>
      <c r="P213">
        <v>3</v>
      </c>
      <c r="Q213" t="s">
        <v>42</v>
      </c>
      <c r="R213" t="s">
        <v>43</v>
      </c>
      <c r="S213">
        <v>1</v>
      </c>
      <c r="T213" t="s">
        <v>44</v>
      </c>
      <c r="U213" t="s">
        <v>59</v>
      </c>
      <c r="V213">
        <v>22</v>
      </c>
      <c r="W213" t="s">
        <v>60</v>
      </c>
      <c r="X213">
        <v>12</v>
      </c>
      <c r="Y213">
        <v>3</v>
      </c>
      <c r="Z213" t="s">
        <v>61</v>
      </c>
      <c r="AA213">
        <v>11</v>
      </c>
      <c r="AB213" t="s">
        <v>74</v>
      </c>
      <c r="AC213">
        <v>8</v>
      </c>
      <c r="AD213" t="s">
        <v>47</v>
      </c>
      <c r="AE213">
        <v>5</v>
      </c>
      <c r="AF213" t="s">
        <v>71</v>
      </c>
    </row>
    <row r="214" spans="1:32" x14ac:dyDescent="0.25">
      <c r="A214">
        <v>27</v>
      </c>
      <c r="B214" t="s">
        <v>63</v>
      </c>
      <c r="C214" t="s">
        <v>50</v>
      </c>
      <c r="D214" t="s">
        <v>51</v>
      </c>
      <c r="E214" t="s">
        <v>35</v>
      </c>
      <c r="F214">
        <v>20</v>
      </c>
      <c r="G214" t="s">
        <v>66</v>
      </c>
      <c r="H214">
        <v>4</v>
      </c>
      <c r="I214" t="s">
        <v>42</v>
      </c>
      <c r="J214" t="s">
        <v>38</v>
      </c>
      <c r="K214">
        <v>3</v>
      </c>
      <c r="L214" t="s">
        <v>39</v>
      </c>
      <c r="M214">
        <v>2</v>
      </c>
      <c r="N214" t="s">
        <v>40</v>
      </c>
      <c r="O214" t="s">
        <v>41</v>
      </c>
      <c r="P214">
        <v>3</v>
      </c>
      <c r="Q214" t="s">
        <v>42</v>
      </c>
      <c r="R214" t="s">
        <v>43</v>
      </c>
      <c r="S214">
        <v>1</v>
      </c>
      <c r="T214" t="s">
        <v>44</v>
      </c>
      <c r="U214" t="s">
        <v>59</v>
      </c>
      <c r="V214">
        <v>14</v>
      </c>
      <c r="W214" t="s">
        <v>45</v>
      </c>
      <c r="X214">
        <v>7</v>
      </c>
      <c r="Y214">
        <v>3</v>
      </c>
      <c r="Z214" t="s">
        <v>61</v>
      </c>
      <c r="AA214">
        <v>7</v>
      </c>
      <c r="AB214" t="s">
        <v>47</v>
      </c>
      <c r="AC214">
        <v>7</v>
      </c>
      <c r="AD214" t="s">
        <v>47</v>
      </c>
      <c r="AE214">
        <v>0</v>
      </c>
      <c r="AF214" t="s">
        <v>49</v>
      </c>
    </row>
    <row r="215" spans="1:32" x14ac:dyDescent="0.25">
      <c r="A215">
        <v>51</v>
      </c>
      <c r="B215" t="s">
        <v>64</v>
      </c>
      <c r="C215" t="s">
        <v>50</v>
      </c>
      <c r="D215" t="s">
        <v>34</v>
      </c>
      <c r="E215" t="s">
        <v>52</v>
      </c>
      <c r="F215">
        <v>8</v>
      </c>
      <c r="G215" t="s">
        <v>53</v>
      </c>
      <c r="H215">
        <v>2</v>
      </c>
      <c r="I215" t="s">
        <v>37</v>
      </c>
      <c r="J215" t="s">
        <v>54</v>
      </c>
      <c r="K215">
        <v>2</v>
      </c>
      <c r="L215" t="s">
        <v>55</v>
      </c>
      <c r="M215">
        <v>3</v>
      </c>
      <c r="N215" t="s">
        <v>68</v>
      </c>
      <c r="O215" t="s">
        <v>76</v>
      </c>
      <c r="P215">
        <v>2</v>
      </c>
      <c r="Q215" t="s">
        <v>57</v>
      </c>
      <c r="R215" t="s">
        <v>58</v>
      </c>
      <c r="S215">
        <v>5</v>
      </c>
      <c r="T215" t="s">
        <v>44</v>
      </c>
      <c r="U215" t="s">
        <v>59</v>
      </c>
      <c r="V215">
        <v>16</v>
      </c>
      <c r="W215" t="s">
        <v>45</v>
      </c>
      <c r="X215">
        <v>16</v>
      </c>
      <c r="Y215">
        <v>1</v>
      </c>
      <c r="Z215" t="s">
        <v>46</v>
      </c>
      <c r="AA215">
        <v>10</v>
      </c>
      <c r="AB215" t="s">
        <v>47</v>
      </c>
      <c r="AC215">
        <v>9</v>
      </c>
      <c r="AD215" t="s">
        <v>47</v>
      </c>
      <c r="AE215">
        <v>4</v>
      </c>
      <c r="AF215" t="s">
        <v>71</v>
      </c>
    </row>
    <row r="216" spans="1:32" x14ac:dyDescent="0.25">
      <c r="A216">
        <v>30</v>
      </c>
      <c r="B216" t="s">
        <v>32</v>
      </c>
      <c r="C216" t="s">
        <v>33</v>
      </c>
      <c r="D216" t="s">
        <v>34</v>
      </c>
      <c r="E216" t="s">
        <v>52</v>
      </c>
      <c r="F216">
        <v>3</v>
      </c>
      <c r="G216" t="s">
        <v>36</v>
      </c>
      <c r="H216">
        <v>4</v>
      </c>
      <c r="I216" t="s">
        <v>42</v>
      </c>
      <c r="J216" t="s">
        <v>38</v>
      </c>
      <c r="K216">
        <v>3</v>
      </c>
      <c r="L216" t="s">
        <v>39</v>
      </c>
      <c r="M216">
        <v>1</v>
      </c>
      <c r="N216" t="s">
        <v>40</v>
      </c>
      <c r="O216" t="s">
        <v>56</v>
      </c>
      <c r="P216">
        <v>1</v>
      </c>
      <c r="Q216" t="s">
        <v>57</v>
      </c>
      <c r="R216" t="s">
        <v>43</v>
      </c>
      <c r="S216">
        <v>5</v>
      </c>
      <c r="T216" t="s">
        <v>44</v>
      </c>
      <c r="U216" t="s">
        <v>44</v>
      </c>
      <c r="V216">
        <v>11</v>
      </c>
      <c r="W216" t="s">
        <v>45</v>
      </c>
      <c r="X216">
        <v>8</v>
      </c>
      <c r="Y216">
        <v>3</v>
      </c>
      <c r="Z216" t="s">
        <v>61</v>
      </c>
      <c r="AA216">
        <v>5</v>
      </c>
      <c r="AB216" t="s">
        <v>47</v>
      </c>
      <c r="AC216">
        <v>2</v>
      </c>
      <c r="AD216" t="s">
        <v>48</v>
      </c>
      <c r="AE216">
        <v>0</v>
      </c>
      <c r="AF216" t="s">
        <v>49</v>
      </c>
    </row>
    <row r="217" spans="1:32" x14ac:dyDescent="0.25">
      <c r="A217">
        <v>41</v>
      </c>
      <c r="B217" t="s">
        <v>32</v>
      </c>
      <c r="C217" t="s">
        <v>50</v>
      </c>
      <c r="D217" t="s">
        <v>34</v>
      </c>
      <c r="E217" t="s">
        <v>35</v>
      </c>
      <c r="F217">
        <v>6</v>
      </c>
      <c r="G217" t="s">
        <v>53</v>
      </c>
      <c r="H217">
        <v>4</v>
      </c>
      <c r="I217" t="s">
        <v>42</v>
      </c>
      <c r="J217" t="s">
        <v>38</v>
      </c>
      <c r="K217">
        <v>3</v>
      </c>
      <c r="L217" t="s">
        <v>39</v>
      </c>
      <c r="M217">
        <v>3</v>
      </c>
      <c r="N217" t="s">
        <v>68</v>
      </c>
      <c r="O217" t="s">
        <v>73</v>
      </c>
      <c r="P217">
        <v>4</v>
      </c>
      <c r="Q217" t="s">
        <v>42</v>
      </c>
      <c r="R217" t="s">
        <v>43</v>
      </c>
      <c r="S217">
        <v>3</v>
      </c>
      <c r="T217" t="s">
        <v>44</v>
      </c>
      <c r="U217" t="s">
        <v>44</v>
      </c>
      <c r="V217">
        <v>18</v>
      </c>
      <c r="W217" t="s">
        <v>45</v>
      </c>
      <c r="X217">
        <v>16</v>
      </c>
      <c r="Y217">
        <v>3</v>
      </c>
      <c r="Z217" t="s">
        <v>61</v>
      </c>
      <c r="AA217">
        <v>1</v>
      </c>
      <c r="AB217" t="s">
        <v>48</v>
      </c>
      <c r="AC217">
        <v>0</v>
      </c>
      <c r="AD217" t="s">
        <v>48</v>
      </c>
      <c r="AE217">
        <v>0</v>
      </c>
      <c r="AF217" t="s">
        <v>49</v>
      </c>
    </row>
    <row r="218" spans="1:32" x14ac:dyDescent="0.25">
      <c r="A218">
        <v>30</v>
      </c>
      <c r="B218" t="s">
        <v>32</v>
      </c>
      <c r="C218" t="s">
        <v>33</v>
      </c>
      <c r="D218" t="s">
        <v>51</v>
      </c>
      <c r="E218" t="s">
        <v>35</v>
      </c>
      <c r="F218">
        <v>26</v>
      </c>
      <c r="G218" t="s">
        <v>66</v>
      </c>
      <c r="H218">
        <v>3</v>
      </c>
      <c r="I218" t="s">
        <v>42</v>
      </c>
      <c r="J218" t="s">
        <v>38</v>
      </c>
      <c r="K218">
        <v>2</v>
      </c>
      <c r="L218" t="s">
        <v>55</v>
      </c>
      <c r="M218">
        <v>2</v>
      </c>
      <c r="N218" t="s">
        <v>40</v>
      </c>
      <c r="O218" t="s">
        <v>41</v>
      </c>
      <c r="P218">
        <v>1</v>
      </c>
      <c r="Q218" t="s">
        <v>57</v>
      </c>
      <c r="R218" t="s">
        <v>43</v>
      </c>
      <c r="S218">
        <v>5</v>
      </c>
      <c r="T218" t="s">
        <v>44</v>
      </c>
      <c r="U218" t="s">
        <v>59</v>
      </c>
      <c r="V218">
        <v>15</v>
      </c>
      <c r="W218" t="s">
        <v>45</v>
      </c>
      <c r="X218">
        <v>9</v>
      </c>
      <c r="Y218">
        <v>2</v>
      </c>
      <c r="Z218" t="s">
        <v>46</v>
      </c>
      <c r="AA218">
        <v>6</v>
      </c>
      <c r="AB218" t="s">
        <v>47</v>
      </c>
      <c r="AC218">
        <v>3</v>
      </c>
      <c r="AD218" t="s">
        <v>48</v>
      </c>
      <c r="AE218">
        <v>0</v>
      </c>
      <c r="AF218" t="s">
        <v>49</v>
      </c>
    </row>
    <row r="219" spans="1:32" x14ac:dyDescent="0.25">
      <c r="A219">
        <v>29</v>
      </c>
      <c r="B219" t="s">
        <v>63</v>
      </c>
      <c r="C219" t="s">
        <v>33</v>
      </c>
      <c r="D219" t="s">
        <v>34</v>
      </c>
      <c r="E219" t="s">
        <v>52</v>
      </c>
      <c r="F219">
        <v>1</v>
      </c>
      <c r="G219" t="s">
        <v>36</v>
      </c>
      <c r="H219">
        <v>3</v>
      </c>
      <c r="I219" t="s">
        <v>42</v>
      </c>
      <c r="J219" t="s">
        <v>54</v>
      </c>
      <c r="K219">
        <v>3</v>
      </c>
      <c r="L219" t="s">
        <v>39</v>
      </c>
      <c r="M219">
        <v>1</v>
      </c>
      <c r="N219" t="s">
        <v>40</v>
      </c>
      <c r="O219" t="s">
        <v>56</v>
      </c>
      <c r="P219">
        <v>3</v>
      </c>
      <c r="Q219" t="s">
        <v>42</v>
      </c>
      <c r="R219" t="s">
        <v>43</v>
      </c>
      <c r="S219">
        <v>0</v>
      </c>
      <c r="T219" t="s">
        <v>44</v>
      </c>
      <c r="U219" t="s">
        <v>59</v>
      </c>
      <c r="V219">
        <v>14</v>
      </c>
      <c r="W219" t="s">
        <v>45</v>
      </c>
      <c r="X219">
        <v>7</v>
      </c>
      <c r="Y219">
        <v>2</v>
      </c>
      <c r="Z219" t="s">
        <v>46</v>
      </c>
      <c r="AA219">
        <v>6</v>
      </c>
      <c r="AB219" t="s">
        <v>47</v>
      </c>
      <c r="AC219">
        <v>2</v>
      </c>
      <c r="AD219" t="s">
        <v>48</v>
      </c>
      <c r="AE219">
        <v>1</v>
      </c>
      <c r="AF219" t="s">
        <v>49</v>
      </c>
    </row>
    <row r="220" spans="1:32" x14ac:dyDescent="0.25">
      <c r="A220">
        <v>45</v>
      </c>
      <c r="B220" t="s">
        <v>32</v>
      </c>
      <c r="C220" t="s">
        <v>50</v>
      </c>
      <c r="D220" t="s">
        <v>34</v>
      </c>
      <c r="E220" t="s">
        <v>35</v>
      </c>
      <c r="F220">
        <v>6</v>
      </c>
      <c r="G220" t="s">
        <v>53</v>
      </c>
      <c r="H220">
        <v>4</v>
      </c>
      <c r="I220" t="s">
        <v>42</v>
      </c>
      <c r="J220" t="s">
        <v>38</v>
      </c>
      <c r="K220">
        <v>2</v>
      </c>
      <c r="L220" t="s">
        <v>55</v>
      </c>
      <c r="M220">
        <v>3</v>
      </c>
      <c r="N220" t="s">
        <v>68</v>
      </c>
      <c r="O220" t="s">
        <v>41</v>
      </c>
      <c r="P220">
        <v>4</v>
      </c>
      <c r="Q220" t="s">
        <v>42</v>
      </c>
      <c r="R220" t="s">
        <v>43</v>
      </c>
      <c r="S220">
        <v>6</v>
      </c>
      <c r="T220" t="s">
        <v>44</v>
      </c>
      <c r="U220" t="s">
        <v>59</v>
      </c>
      <c r="V220">
        <v>12</v>
      </c>
      <c r="W220" t="s">
        <v>45</v>
      </c>
      <c r="X220">
        <v>23</v>
      </c>
      <c r="Y220">
        <v>3</v>
      </c>
      <c r="Z220" t="s">
        <v>61</v>
      </c>
      <c r="AA220">
        <v>19</v>
      </c>
      <c r="AB220" t="s">
        <v>74</v>
      </c>
      <c r="AC220">
        <v>7</v>
      </c>
      <c r="AD220" t="s">
        <v>47</v>
      </c>
      <c r="AE220">
        <v>12</v>
      </c>
      <c r="AF220" t="s">
        <v>71</v>
      </c>
    </row>
    <row r="221" spans="1:32" x14ac:dyDescent="0.25">
      <c r="A221">
        <v>54</v>
      </c>
      <c r="B221" t="s">
        <v>64</v>
      </c>
      <c r="C221" t="s">
        <v>50</v>
      </c>
      <c r="D221" t="s">
        <v>34</v>
      </c>
      <c r="E221" t="s">
        <v>35</v>
      </c>
      <c r="F221">
        <v>3</v>
      </c>
      <c r="G221" t="s">
        <v>36</v>
      </c>
      <c r="H221">
        <v>4</v>
      </c>
      <c r="I221" t="s">
        <v>42</v>
      </c>
      <c r="J221" t="s">
        <v>38</v>
      </c>
      <c r="K221">
        <v>3</v>
      </c>
      <c r="L221" t="s">
        <v>39</v>
      </c>
      <c r="M221">
        <v>2</v>
      </c>
      <c r="N221" t="s">
        <v>40</v>
      </c>
      <c r="O221" t="s">
        <v>41</v>
      </c>
      <c r="P221">
        <v>1</v>
      </c>
      <c r="Q221" t="s">
        <v>57</v>
      </c>
      <c r="R221" t="s">
        <v>58</v>
      </c>
      <c r="S221">
        <v>2</v>
      </c>
      <c r="T221" t="s">
        <v>44</v>
      </c>
      <c r="U221" t="s">
        <v>59</v>
      </c>
      <c r="V221">
        <v>14</v>
      </c>
      <c r="W221" t="s">
        <v>45</v>
      </c>
      <c r="X221">
        <v>16</v>
      </c>
      <c r="Y221">
        <v>3</v>
      </c>
      <c r="Z221" t="s">
        <v>61</v>
      </c>
      <c r="AA221">
        <v>6</v>
      </c>
      <c r="AB221" t="s">
        <v>47</v>
      </c>
      <c r="AC221">
        <v>2</v>
      </c>
      <c r="AD221" t="s">
        <v>48</v>
      </c>
      <c r="AE221">
        <v>0</v>
      </c>
      <c r="AF221" t="s">
        <v>49</v>
      </c>
    </row>
    <row r="222" spans="1:32" x14ac:dyDescent="0.25">
      <c r="A222">
        <v>36</v>
      </c>
      <c r="B222" t="s">
        <v>32</v>
      </c>
      <c r="C222" t="s">
        <v>50</v>
      </c>
      <c r="D222" t="s">
        <v>34</v>
      </c>
      <c r="E222" t="s">
        <v>52</v>
      </c>
      <c r="F222">
        <v>5</v>
      </c>
      <c r="G222" t="s">
        <v>36</v>
      </c>
      <c r="H222">
        <v>4</v>
      </c>
      <c r="I222" t="s">
        <v>42</v>
      </c>
      <c r="J222" t="s">
        <v>54</v>
      </c>
      <c r="K222">
        <v>3</v>
      </c>
      <c r="L222" t="s">
        <v>39</v>
      </c>
      <c r="M222">
        <v>2</v>
      </c>
      <c r="N222" t="s">
        <v>40</v>
      </c>
      <c r="O222" t="s">
        <v>62</v>
      </c>
      <c r="P222">
        <v>2</v>
      </c>
      <c r="Q222" t="s">
        <v>57</v>
      </c>
      <c r="R222" t="s">
        <v>43</v>
      </c>
      <c r="S222">
        <v>8</v>
      </c>
      <c r="T222" t="s">
        <v>44</v>
      </c>
      <c r="U222" t="s">
        <v>59</v>
      </c>
      <c r="V222">
        <v>16</v>
      </c>
      <c r="W222" t="s">
        <v>45</v>
      </c>
      <c r="X222">
        <v>16</v>
      </c>
      <c r="Y222">
        <v>4</v>
      </c>
      <c r="Z222" t="s">
        <v>61</v>
      </c>
      <c r="AA222">
        <v>13</v>
      </c>
      <c r="AB222" t="s">
        <v>74</v>
      </c>
      <c r="AC222">
        <v>11</v>
      </c>
      <c r="AD222" t="s">
        <v>74</v>
      </c>
      <c r="AE222">
        <v>3</v>
      </c>
      <c r="AF222" t="s">
        <v>49</v>
      </c>
    </row>
    <row r="223" spans="1:32" x14ac:dyDescent="0.25">
      <c r="A223">
        <v>33</v>
      </c>
      <c r="B223" t="s">
        <v>32</v>
      </c>
      <c r="C223" t="s">
        <v>50</v>
      </c>
      <c r="D223" t="s">
        <v>34</v>
      </c>
      <c r="E223" t="s">
        <v>52</v>
      </c>
      <c r="F223">
        <v>4</v>
      </c>
      <c r="G223" t="s">
        <v>36</v>
      </c>
      <c r="H223">
        <v>3</v>
      </c>
      <c r="I223" t="s">
        <v>42</v>
      </c>
      <c r="J223" t="s">
        <v>38</v>
      </c>
      <c r="K223">
        <v>2</v>
      </c>
      <c r="L223" t="s">
        <v>55</v>
      </c>
      <c r="M223">
        <v>1</v>
      </c>
      <c r="N223" t="s">
        <v>40</v>
      </c>
      <c r="O223" t="s">
        <v>56</v>
      </c>
      <c r="P223">
        <v>2</v>
      </c>
      <c r="Q223" t="s">
        <v>57</v>
      </c>
      <c r="R223" t="s">
        <v>58</v>
      </c>
      <c r="S223">
        <v>6</v>
      </c>
      <c r="T223" t="s">
        <v>44</v>
      </c>
      <c r="U223" t="s">
        <v>59</v>
      </c>
      <c r="V223">
        <v>21</v>
      </c>
      <c r="W223" t="s">
        <v>60</v>
      </c>
      <c r="X223">
        <v>7</v>
      </c>
      <c r="Y223">
        <v>3</v>
      </c>
      <c r="Z223" t="s">
        <v>61</v>
      </c>
      <c r="AA223">
        <v>3</v>
      </c>
      <c r="AB223" t="s">
        <v>48</v>
      </c>
      <c r="AC223">
        <v>2</v>
      </c>
      <c r="AD223" t="s">
        <v>48</v>
      </c>
      <c r="AE223">
        <v>1</v>
      </c>
      <c r="AF223" t="s">
        <v>49</v>
      </c>
    </row>
    <row r="224" spans="1:32" x14ac:dyDescent="0.25">
      <c r="A224">
        <v>37</v>
      </c>
      <c r="B224" t="s">
        <v>32</v>
      </c>
      <c r="C224" t="s">
        <v>50</v>
      </c>
      <c r="D224" t="s">
        <v>51</v>
      </c>
      <c r="E224" t="s">
        <v>52</v>
      </c>
      <c r="F224">
        <v>11</v>
      </c>
      <c r="G224" t="s">
        <v>53</v>
      </c>
      <c r="H224">
        <v>2</v>
      </c>
      <c r="I224" t="s">
        <v>37</v>
      </c>
      <c r="J224" t="s">
        <v>54</v>
      </c>
      <c r="K224">
        <v>3</v>
      </c>
      <c r="L224" t="s">
        <v>39</v>
      </c>
      <c r="M224">
        <v>3</v>
      </c>
      <c r="N224" t="s">
        <v>68</v>
      </c>
      <c r="O224" t="s">
        <v>76</v>
      </c>
      <c r="P224">
        <v>4</v>
      </c>
      <c r="Q224" t="s">
        <v>42</v>
      </c>
      <c r="R224" t="s">
        <v>67</v>
      </c>
      <c r="S224">
        <v>1</v>
      </c>
      <c r="T224" t="s">
        <v>44</v>
      </c>
      <c r="U224" t="s">
        <v>44</v>
      </c>
      <c r="V224">
        <v>14</v>
      </c>
      <c r="W224" t="s">
        <v>45</v>
      </c>
      <c r="X224">
        <v>10</v>
      </c>
      <c r="Y224">
        <v>3</v>
      </c>
      <c r="Z224" t="s">
        <v>61</v>
      </c>
      <c r="AA224">
        <v>10</v>
      </c>
      <c r="AB224" t="s">
        <v>47</v>
      </c>
      <c r="AC224">
        <v>8</v>
      </c>
      <c r="AD224" t="s">
        <v>47</v>
      </c>
      <c r="AE224">
        <v>0</v>
      </c>
      <c r="AF224" t="s">
        <v>49</v>
      </c>
    </row>
    <row r="225" spans="1:32" x14ac:dyDescent="0.25">
      <c r="A225">
        <v>38</v>
      </c>
      <c r="B225" t="s">
        <v>32</v>
      </c>
      <c r="C225" t="s">
        <v>50</v>
      </c>
      <c r="D225" t="s">
        <v>34</v>
      </c>
      <c r="E225" t="s">
        <v>35</v>
      </c>
      <c r="F225">
        <v>3</v>
      </c>
      <c r="G225" t="s">
        <v>36</v>
      </c>
      <c r="H225">
        <v>1</v>
      </c>
      <c r="I225" t="s">
        <v>37</v>
      </c>
      <c r="J225" t="s">
        <v>54</v>
      </c>
      <c r="K225">
        <v>3</v>
      </c>
      <c r="L225" t="s">
        <v>39</v>
      </c>
      <c r="M225">
        <v>3</v>
      </c>
      <c r="N225" t="s">
        <v>68</v>
      </c>
      <c r="O225" t="s">
        <v>41</v>
      </c>
      <c r="P225">
        <v>3</v>
      </c>
      <c r="Q225" t="s">
        <v>42</v>
      </c>
      <c r="R225" t="s">
        <v>67</v>
      </c>
      <c r="S225">
        <v>0</v>
      </c>
      <c r="T225" t="s">
        <v>44</v>
      </c>
      <c r="U225" t="s">
        <v>59</v>
      </c>
      <c r="V225">
        <v>12</v>
      </c>
      <c r="W225" t="s">
        <v>45</v>
      </c>
      <c r="X225">
        <v>17</v>
      </c>
      <c r="Y225">
        <v>2</v>
      </c>
      <c r="Z225" t="s">
        <v>46</v>
      </c>
      <c r="AA225">
        <v>16</v>
      </c>
      <c r="AB225" t="s">
        <v>74</v>
      </c>
      <c r="AC225">
        <v>10</v>
      </c>
      <c r="AD225" t="s">
        <v>47</v>
      </c>
      <c r="AE225">
        <v>5</v>
      </c>
      <c r="AF225" t="s">
        <v>71</v>
      </c>
    </row>
    <row r="226" spans="1:32" x14ac:dyDescent="0.25">
      <c r="A226">
        <v>31</v>
      </c>
      <c r="B226" t="s">
        <v>32</v>
      </c>
      <c r="C226" t="s">
        <v>50</v>
      </c>
      <c r="D226" t="s">
        <v>34</v>
      </c>
      <c r="E226" t="s">
        <v>52</v>
      </c>
      <c r="F226">
        <v>1</v>
      </c>
      <c r="G226" t="s">
        <v>36</v>
      </c>
      <c r="H226">
        <v>3</v>
      </c>
      <c r="I226" t="s">
        <v>42</v>
      </c>
      <c r="J226" t="s">
        <v>54</v>
      </c>
      <c r="K226">
        <v>1</v>
      </c>
      <c r="L226" t="s">
        <v>55</v>
      </c>
      <c r="M226">
        <v>2</v>
      </c>
      <c r="N226" t="s">
        <v>40</v>
      </c>
      <c r="O226" t="s">
        <v>69</v>
      </c>
      <c r="P226">
        <v>3</v>
      </c>
      <c r="Q226" t="s">
        <v>42</v>
      </c>
      <c r="R226" t="s">
        <v>58</v>
      </c>
      <c r="S226">
        <v>0</v>
      </c>
      <c r="T226" t="s">
        <v>44</v>
      </c>
      <c r="U226" t="s">
        <v>59</v>
      </c>
      <c r="V226">
        <v>12</v>
      </c>
      <c r="W226" t="s">
        <v>45</v>
      </c>
      <c r="X226">
        <v>6</v>
      </c>
      <c r="Y226">
        <v>3</v>
      </c>
      <c r="Z226" t="s">
        <v>61</v>
      </c>
      <c r="AA226">
        <v>5</v>
      </c>
      <c r="AB226" t="s">
        <v>47</v>
      </c>
      <c r="AC226">
        <v>4</v>
      </c>
      <c r="AD226" t="s">
        <v>48</v>
      </c>
      <c r="AE226">
        <v>1</v>
      </c>
      <c r="AF226" t="s">
        <v>49</v>
      </c>
    </row>
    <row r="227" spans="1:32" x14ac:dyDescent="0.25">
      <c r="A227">
        <v>59</v>
      </c>
      <c r="B227" t="s">
        <v>64</v>
      </c>
      <c r="C227" t="s">
        <v>50</v>
      </c>
      <c r="D227" t="s">
        <v>34</v>
      </c>
      <c r="E227" t="s">
        <v>52</v>
      </c>
      <c r="F227">
        <v>3</v>
      </c>
      <c r="G227" t="s">
        <v>36</v>
      </c>
      <c r="H227">
        <v>3</v>
      </c>
      <c r="I227" t="s">
        <v>42</v>
      </c>
      <c r="J227" t="s">
        <v>54</v>
      </c>
      <c r="K227">
        <v>2</v>
      </c>
      <c r="L227" t="s">
        <v>55</v>
      </c>
      <c r="M227">
        <v>1</v>
      </c>
      <c r="N227" t="s">
        <v>40</v>
      </c>
      <c r="O227" t="s">
        <v>56</v>
      </c>
      <c r="P227">
        <v>4</v>
      </c>
      <c r="Q227" t="s">
        <v>42</v>
      </c>
      <c r="R227" t="s">
        <v>58</v>
      </c>
      <c r="S227">
        <v>3</v>
      </c>
      <c r="T227" t="s">
        <v>44</v>
      </c>
      <c r="U227" t="s">
        <v>59</v>
      </c>
      <c r="V227">
        <v>17</v>
      </c>
      <c r="W227" t="s">
        <v>45</v>
      </c>
      <c r="X227">
        <v>7</v>
      </c>
      <c r="Y227">
        <v>3</v>
      </c>
      <c r="Z227" t="s">
        <v>61</v>
      </c>
      <c r="AA227">
        <v>1</v>
      </c>
      <c r="AB227" t="s">
        <v>48</v>
      </c>
      <c r="AC227">
        <v>0</v>
      </c>
      <c r="AD227" t="s">
        <v>48</v>
      </c>
      <c r="AE227">
        <v>0</v>
      </c>
      <c r="AF227" t="s">
        <v>49</v>
      </c>
    </row>
    <row r="228" spans="1:32" x14ac:dyDescent="0.25">
      <c r="A228">
        <v>37</v>
      </c>
      <c r="B228" t="s">
        <v>32</v>
      </c>
      <c r="C228" t="s">
        <v>50</v>
      </c>
      <c r="D228" t="s">
        <v>51</v>
      </c>
      <c r="E228" t="s">
        <v>35</v>
      </c>
      <c r="F228">
        <v>4</v>
      </c>
      <c r="G228" t="s">
        <v>36</v>
      </c>
      <c r="H228">
        <v>1</v>
      </c>
      <c r="I228" t="s">
        <v>37</v>
      </c>
      <c r="J228" t="s">
        <v>54</v>
      </c>
      <c r="K228">
        <v>3</v>
      </c>
      <c r="L228" t="s">
        <v>39</v>
      </c>
      <c r="M228">
        <v>1</v>
      </c>
      <c r="N228" t="s">
        <v>40</v>
      </c>
      <c r="O228" t="s">
        <v>75</v>
      </c>
      <c r="P228">
        <v>4</v>
      </c>
      <c r="Q228" t="s">
        <v>42</v>
      </c>
      <c r="R228" t="s">
        <v>67</v>
      </c>
      <c r="S228">
        <v>4</v>
      </c>
      <c r="T228" t="s">
        <v>44</v>
      </c>
      <c r="U228" t="s">
        <v>59</v>
      </c>
      <c r="V228">
        <v>17</v>
      </c>
      <c r="W228" t="s">
        <v>45</v>
      </c>
      <c r="X228">
        <v>13</v>
      </c>
      <c r="Y228">
        <v>3</v>
      </c>
      <c r="Z228" t="s">
        <v>61</v>
      </c>
      <c r="AA228">
        <v>9</v>
      </c>
      <c r="AB228" t="s">
        <v>47</v>
      </c>
      <c r="AC228">
        <v>8</v>
      </c>
      <c r="AD228" t="s">
        <v>47</v>
      </c>
      <c r="AE228">
        <v>5</v>
      </c>
      <c r="AF228" t="s">
        <v>71</v>
      </c>
    </row>
    <row r="229" spans="1:32" x14ac:dyDescent="0.25">
      <c r="A229">
        <v>29</v>
      </c>
      <c r="B229" t="s">
        <v>63</v>
      </c>
      <c r="C229" t="s">
        <v>50</v>
      </c>
      <c r="D229" t="s">
        <v>51</v>
      </c>
      <c r="E229" t="s">
        <v>35</v>
      </c>
      <c r="F229">
        <v>1</v>
      </c>
      <c r="G229" t="s">
        <v>36</v>
      </c>
      <c r="H229">
        <v>2</v>
      </c>
      <c r="I229" t="s">
        <v>37</v>
      </c>
      <c r="J229" t="s">
        <v>38</v>
      </c>
      <c r="K229">
        <v>3</v>
      </c>
      <c r="L229" t="s">
        <v>39</v>
      </c>
      <c r="M229">
        <v>3</v>
      </c>
      <c r="N229" t="s">
        <v>68</v>
      </c>
      <c r="O229" t="s">
        <v>41</v>
      </c>
      <c r="P229">
        <v>4</v>
      </c>
      <c r="Q229" t="s">
        <v>42</v>
      </c>
      <c r="R229" t="s">
        <v>58</v>
      </c>
      <c r="S229">
        <v>1</v>
      </c>
      <c r="T229" t="s">
        <v>44</v>
      </c>
      <c r="U229" t="s">
        <v>59</v>
      </c>
      <c r="V229">
        <v>14</v>
      </c>
      <c r="W229" t="s">
        <v>45</v>
      </c>
      <c r="X229">
        <v>11</v>
      </c>
      <c r="Y229">
        <v>3</v>
      </c>
      <c r="Z229" t="s">
        <v>61</v>
      </c>
      <c r="AA229">
        <v>11</v>
      </c>
      <c r="AB229" t="s">
        <v>74</v>
      </c>
      <c r="AC229">
        <v>10</v>
      </c>
      <c r="AD229" t="s">
        <v>47</v>
      </c>
      <c r="AE229">
        <v>4</v>
      </c>
      <c r="AF229" t="s">
        <v>71</v>
      </c>
    </row>
    <row r="230" spans="1:32" x14ac:dyDescent="0.25">
      <c r="A230">
        <v>35</v>
      </c>
      <c r="B230" t="s">
        <v>32</v>
      </c>
      <c r="C230" t="s">
        <v>50</v>
      </c>
      <c r="D230" t="s">
        <v>51</v>
      </c>
      <c r="E230" t="s">
        <v>35</v>
      </c>
      <c r="F230">
        <v>1</v>
      </c>
      <c r="G230" t="s">
        <v>36</v>
      </c>
      <c r="H230">
        <v>3</v>
      </c>
      <c r="I230" t="s">
        <v>42</v>
      </c>
      <c r="J230" t="s">
        <v>38</v>
      </c>
      <c r="K230">
        <v>3</v>
      </c>
      <c r="L230" t="s">
        <v>39</v>
      </c>
      <c r="M230">
        <v>3</v>
      </c>
      <c r="N230" t="s">
        <v>68</v>
      </c>
      <c r="O230" t="s">
        <v>41</v>
      </c>
      <c r="P230">
        <v>3</v>
      </c>
      <c r="Q230" t="s">
        <v>42</v>
      </c>
      <c r="R230" t="s">
        <v>43</v>
      </c>
      <c r="S230">
        <v>1</v>
      </c>
      <c r="T230" t="s">
        <v>44</v>
      </c>
      <c r="U230" t="s">
        <v>59</v>
      </c>
      <c r="V230">
        <v>14</v>
      </c>
      <c r="W230" t="s">
        <v>45</v>
      </c>
      <c r="X230">
        <v>10</v>
      </c>
      <c r="Y230">
        <v>4</v>
      </c>
      <c r="Z230" t="s">
        <v>61</v>
      </c>
      <c r="AA230">
        <v>10</v>
      </c>
      <c r="AB230" t="s">
        <v>47</v>
      </c>
      <c r="AC230">
        <v>7</v>
      </c>
      <c r="AD230" t="s">
        <v>47</v>
      </c>
      <c r="AE230">
        <v>0</v>
      </c>
      <c r="AF230" t="s">
        <v>49</v>
      </c>
    </row>
    <row r="231" spans="1:32" x14ac:dyDescent="0.25">
      <c r="A231">
        <v>29</v>
      </c>
      <c r="B231" t="s">
        <v>63</v>
      </c>
      <c r="C231" t="s">
        <v>33</v>
      </c>
      <c r="D231" t="s">
        <v>34</v>
      </c>
      <c r="E231" t="s">
        <v>52</v>
      </c>
      <c r="F231">
        <v>18</v>
      </c>
      <c r="G231" t="s">
        <v>66</v>
      </c>
      <c r="H231">
        <v>3</v>
      </c>
      <c r="I231" t="s">
        <v>42</v>
      </c>
      <c r="J231" t="s">
        <v>54</v>
      </c>
      <c r="K231">
        <v>2</v>
      </c>
      <c r="L231" t="s">
        <v>55</v>
      </c>
      <c r="M231">
        <v>1</v>
      </c>
      <c r="N231" t="s">
        <v>40</v>
      </c>
      <c r="O231" t="s">
        <v>56</v>
      </c>
      <c r="P231">
        <v>4</v>
      </c>
      <c r="Q231" t="s">
        <v>42</v>
      </c>
      <c r="R231" t="s">
        <v>43</v>
      </c>
      <c r="S231">
        <v>1</v>
      </c>
      <c r="T231" t="s">
        <v>44</v>
      </c>
      <c r="U231" t="s">
        <v>44</v>
      </c>
      <c r="V231">
        <v>13</v>
      </c>
      <c r="W231" t="s">
        <v>45</v>
      </c>
      <c r="X231">
        <v>4</v>
      </c>
      <c r="Y231">
        <v>2</v>
      </c>
      <c r="Z231" t="s">
        <v>46</v>
      </c>
      <c r="AA231">
        <v>4</v>
      </c>
      <c r="AB231" t="s">
        <v>48</v>
      </c>
      <c r="AC231">
        <v>3</v>
      </c>
      <c r="AD231" t="s">
        <v>48</v>
      </c>
      <c r="AE231">
        <v>0</v>
      </c>
      <c r="AF231" t="s">
        <v>49</v>
      </c>
    </row>
    <row r="232" spans="1:32" x14ac:dyDescent="0.25">
      <c r="A232">
        <v>52</v>
      </c>
      <c r="B232" t="s">
        <v>64</v>
      </c>
      <c r="C232" t="s">
        <v>50</v>
      </c>
      <c r="D232" t="s">
        <v>34</v>
      </c>
      <c r="E232" t="s">
        <v>52</v>
      </c>
      <c r="F232">
        <v>2</v>
      </c>
      <c r="G232" t="s">
        <v>36</v>
      </c>
      <c r="H232">
        <v>3</v>
      </c>
      <c r="I232" t="s">
        <v>42</v>
      </c>
      <c r="J232" t="s">
        <v>38</v>
      </c>
      <c r="K232">
        <v>2</v>
      </c>
      <c r="L232" t="s">
        <v>55</v>
      </c>
      <c r="M232">
        <v>1</v>
      </c>
      <c r="N232" t="s">
        <v>40</v>
      </c>
      <c r="O232" t="s">
        <v>62</v>
      </c>
      <c r="P232">
        <v>4</v>
      </c>
      <c r="Q232" t="s">
        <v>42</v>
      </c>
      <c r="R232" t="s">
        <v>43</v>
      </c>
      <c r="S232">
        <v>7</v>
      </c>
      <c r="T232" t="s">
        <v>44</v>
      </c>
      <c r="U232" t="s">
        <v>59</v>
      </c>
      <c r="V232">
        <v>15</v>
      </c>
      <c r="W232" t="s">
        <v>45</v>
      </c>
      <c r="X232">
        <v>6</v>
      </c>
      <c r="Y232">
        <v>2</v>
      </c>
      <c r="Z232" t="s">
        <v>46</v>
      </c>
      <c r="AA232">
        <v>2</v>
      </c>
      <c r="AB232" t="s">
        <v>48</v>
      </c>
      <c r="AC232">
        <v>2</v>
      </c>
      <c r="AD232" t="s">
        <v>48</v>
      </c>
      <c r="AE232">
        <v>2</v>
      </c>
      <c r="AF232" t="s">
        <v>49</v>
      </c>
    </row>
    <row r="233" spans="1:32" x14ac:dyDescent="0.25">
      <c r="A233">
        <v>42</v>
      </c>
      <c r="B233" t="s">
        <v>32</v>
      </c>
      <c r="C233" t="s">
        <v>50</v>
      </c>
      <c r="D233" t="s">
        <v>34</v>
      </c>
      <c r="E233" t="s">
        <v>52</v>
      </c>
      <c r="F233">
        <v>4</v>
      </c>
      <c r="G233" t="s">
        <v>36</v>
      </c>
      <c r="H233">
        <v>3</v>
      </c>
      <c r="I233" t="s">
        <v>42</v>
      </c>
      <c r="J233" t="s">
        <v>54</v>
      </c>
      <c r="K233">
        <v>3</v>
      </c>
      <c r="L233" t="s">
        <v>39</v>
      </c>
      <c r="M233">
        <v>5</v>
      </c>
      <c r="N233" t="s">
        <v>72</v>
      </c>
      <c r="O233" t="s">
        <v>73</v>
      </c>
      <c r="P233">
        <v>4</v>
      </c>
      <c r="Q233" t="s">
        <v>42</v>
      </c>
      <c r="R233" t="s">
        <v>58</v>
      </c>
      <c r="S233">
        <v>1</v>
      </c>
      <c r="T233" t="s">
        <v>44</v>
      </c>
      <c r="U233" t="s">
        <v>59</v>
      </c>
      <c r="V233">
        <v>11</v>
      </c>
      <c r="W233" t="s">
        <v>45</v>
      </c>
      <c r="X233">
        <v>22</v>
      </c>
      <c r="Y233">
        <v>3</v>
      </c>
      <c r="Z233" t="s">
        <v>61</v>
      </c>
      <c r="AA233">
        <v>22</v>
      </c>
      <c r="AB233" t="s">
        <v>74</v>
      </c>
      <c r="AC233">
        <v>17</v>
      </c>
      <c r="AD233" t="s">
        <v>74</v>
      </c>
      <c r="AE233">
        <v>11</v>
      </c>
      <c r="AF233" t="s">
        <v>71</v>
      </c>
    </row>
    <row r="234" spans="1:32" x14ac:dyDescent="0.25">
      <c r="A234">
        <v>59</v>
      </c>
      <c r="B234" t="s">
        <v>64</v>
      </c>
      <c r="C234" t="s">
        <v>50</v>
      </c>
      <c r="D234" t="s">
        <v>34</v>
      </c>
      <c r="E234" t="s">
        <v>77</v>
      </c>
      <c r="F234">
        <v>6</v>
      </c>
      <c r="G234" t="s">
        <v>53</v>
      </c>
      <c r="H234">
        <v>2</v>
      </c>
      <c r="I234" t="s">
        <v>37</v>
      </c>
      <c r="J234" t="s">
        <v>54</v>
      </c>
      <c r="K234">
        <v>3</v>
      </c>
      <c r="L234" t="s">
        <v>39</v>
      </c>
      <c r="M234">
        <v>1</v>
      </c>
      <c r="N234" t="s">
        <v>40</v>
      </c>
      <c r="O234" t="s">
        <v>77</v>
      </c>
      <c r="P234">
        <v>3</v>
      </c>
      <c r="Q234" t="s">
        <v>42</v>
      </c>
      <c r="R234" t="s">
        <v>58</v>
      </c>
      <c r="S234">
        <v>8</v>
      </c>
      <c r="T234" t="s">
        <v>44</v>
      </c>
      <c r="U234" t="s">
        <v>59</v>
      </c>
      <c r="V234">
        <v>17</v>
      </c>
      <c r="W234" t="s">
        <v>45</v>
      </c>
      <c r="X234">
        <v>7</v>
      </c>
      <c r="Y234">
        <v>2</v>
      </c>
      <c r="Z234" t="s">
        <v>46</v>
      </c>
      <c r="AA234">
        <v>2</v>
      </c>
      <c r="AB234" t="s">
        <v>48</v>
      </c>
      <c r="AC234">
        <v>2</v>
      </c>
      <c r="AD234" t="s">
        <v>48</v>
      </c>
      <c r="AE234">
        <v>2</v>
      </c>
      <c r="AF234" t="s">
        <v>49</v>
      </c>
    </row>
    <row r="235" spans="1:32" x14ac:dyDescent="0.25">
      <c r="A235">
        <v>50</v>
      </c>
      <c r="B235" t="s">
        <v>32</v>
      </c>
      <c r="C235" t="s">
        <v>50</v>
      </c>
      <c r="D235" t="s">
        <v>34</v>
      </c>
      <c r="E235" t="s">
        <v>35</v>
      </c>
      <c r="F235">
        <v>1</v>
      </c>
      <c r="G235" t="s">
        <v>36</v>
      </c>
      <c r="H235">
        <v>4</v>
      </c>
      <c r="I235" t="s">
        <v>42</v>
      </c>
      <c r="J235" t="s">
        <v>38</v>
      </c>
      <c r="K235">
        <v>3</v>
      </c>
      <c r="L235" t="s">
        <v>39</v>
      </c>
      <c r="M235">
        <v>5</v>
      </c>
      <c r="N235" t="s">
        <v>72</v>
      </c>
      <c r="O235" t="s">
        <v>73</v>
      </c>
      <c r="P235">
        <v>4</v>
      </c>
      <c r="Q235" t="s">
        <v>42</v>
      </c>
      <c r="R235" t="s">
        <v>67</v>
      </c>
      <c r="S235">
        <v>3</v>
      </c>
      <c r="T235" t="s">
        <v>44</v>
      </c>
      <c r="U235" t="s">
        <v>59</v>
      </c>
      <c r="V235">
        <v>11</v>
      </c>
      <c r="W235" t="s">
        <v>45</v>
      </c>
      <c r="X235">
        <v>32</v>
      </c>
      <c r="Y235">
        <v>2</v>
      </c>
      <c r="Z235" t="s">
        <v>46</v>
      </c>
      <c r="AA235">
        <v>7</v>
      </c>
      <c r="AB235" t="s">
        <v>47</v>
      </c>
      <c r="AC235">
        <v>0</v>
      </c>
      <c r="AD235" t="s">
        <v>48</v>
      </c>
      <c r="AE235">
        <v>0</v>
      </c>
      <c r="AF235" t="s">
        <v>49</v>
      </c>
    </row>
    <row r="236" spans="1:32" x14ac:dyDescent="0.25">
      <c r="A236">
        <v>33</v>
      </c>
      <c r="B236" t="s">
        <v>32</v>
      </c>
      <c r="C236" t="s">
        <v>33</v>
      </c>
      <c r="D236" t="s">
        <v>34</v>
      </c>
      <c r="E236" t="s">
        <v>52</v>
      </c>
      <c r="F236">
        <v>14</v>
      </c>
      <c r="G236" t="s">
        <v>53</v>
      </c>
      <c r="H236">
        <v>3</v>
      </c>
      <c r="I236" t="s">
        <v>42</v>
      </c>
      <c r="J236" t="s">
        <v>54</v>
      </c>
      <c r="K236">
        <v>3</v>
      </c>
      <c r="L236" t="s">
        <v>39</v>
      </c>
      <c r="M236">
        <v>1</v>
      </c>
      <c r="N236" t="s">
        <v>40</v>
      </c>
      <c r="O236" t="s">
        <v>62</v>
      </c>
      <c r="P236">
        <v>4</v>
      </c>
      <c r="Q236" t="s">
        <v>42</v>
      </c>
      <c r="R236" t="s">
        <v>58</v>
      </c>
      <c r="S236">
        <v>5</v>
      </c>
      <c r="T236" t="s">
        <v>44</v>
      </c>
      <c r="U236" t="s">
        <v>44</v>
      </c>
      <c r="V236">
        <v>13</v>
      </c>
      <c r="W236" t="s">
        <v>45</v>
      </c>
      <c r="X236">
        <v>8</v>
      </c>
      <c r="Y236">
        <v>1</v>
      </c>
      <c r="Z236" t="s">
        <v>46</v>
      </c>
      <c r="AA236">
        <v>5</v>
      </c>
      <c r="AB236" t="s">
        <v>47</v>
      </c>
      <c r="AC236">
        <v>4</v>
      </c>
      <c r="AD236" t="s">
        <v>48</v>
      </c>
      <c r="AE236">
        <v>0</v>
      </c>
      <c r="AF236" t="s">
        <v>49</v>
      </c>
    </row>
    <row r="237" spans="1:32" x14ac:dyDescent="0.25">
      <c r="A237">
        <v>43</v>
      </c>
      <c r="B237" t="s">
        <v>32</v>
      </c>
      <c r="C237" t="s">
        <v>50</v>
      </c>
      <c r="D237" t="s">
        <v>34</v>
      </c>
      <c r="E237" t="s">
        <v>35</v>
      </c>
      <c r="F237">
        <v>16</v>
      </c>
      <c r="G237" t="s">
        <v>66</v>
      </c>
      <c r="H237">
        <v>4</v>
      </c>
      <c r="I237" t="s">
        <v>42</v>
      </c>
      <c r="J237" t="s">
        <v>38</v>
      </c>
      <c r="K237">
        <v>3</v>
      </c>
      <c r="L237" t="s">
        <v>39</v>
      </c>
      <c r="M237">
        <v>4</v>
      </c>
      <c r="N237" t="s">
        <v>72</v>
      </c>
      <c r="O237" t="s">
        <v>73</v>
      </c>
      <c r="P237">
        <v>4</v>
      </c>
      <c r="Q237" t="s">
        <v>42</v>
      </c>
      <c r="R237" t="s">
        <v>58</v>
      </c>
      <c r="S237">
        <v>5</v>
      </c>
      <c r="T237" t="s">
        <v>44</v>
      </c>
      <c r="U237" t="s">
        <v>44</v>
      </c>
      <c r="V237">
        <v>22</v>
      </c>
      <c r="W237" t="s">
        <v>60</v>
      </c>
      <c r="X237">
        <v>22</v>
      </c>
      <c r="Y237">
        <v>3</v>
      </c>
      <c r="Z237" t="s">
        <v>61</v>
      </c>
      <c r="AA237">
        <v>17</v>
      </c>
      <c r="AB237" t="s">
        <v>74</v>
      </c>
      <c r="AC237">
        <v>13</v>
      </c>
      <c r="AD237" t="s">
        <v>74</v>
      </c>
      <c r="AE237">
        <v>1</v>
      </c>
      <c r="AF237" t="s">
        <v>49</v>
      </c>
    </row>
    <row r="238" spans="1:32" x14ac:dyDescent="0.25">
      <c r="A238">
        <v>33</v>
      </c>
      <c r="B238" t="s">
        <v>32</v>
      </c>
      <c r="C238" t="s">
        <v>33</v>
      </c>
      <c r="D238" t="s">
        <v>34</v>
      </c>
      <c r="E238" t="s">
        <v>52</v>
      </c>
      <c r="F238">
        <v>2</v>
      </c>
      <c r="G238" t="s">
        <v>36</v>
      </c>
      <c r="H238">
        <v>1</v>
      </c>
      <c r="I238" t="s">
        <v>37</v>
      </c>
      <c r="J238" t="s">
        <v>38</v>
      </c>
      <c r="K238">
        <v>3</v>
      </c>
      <c r="L238" t="s">
        <v>39</v>
      </c>
      <c r="M238">
        <v>1</v>
      </c>
      <c r="N238" t="s">
        <v>40</v>
      </c>
      <c r="O238" t="s">
        <v>62</v>
      </c>
      <c r="P238">
        <v>1</v>
      </c>
      <c r="Q238" t="s">
        <v>57</v>
      </c>
      <c r="R238" t="s">
        <v>58</v>
      </c>
      <c r="S238">
        <v>7</v>
      </c>
      <c r="T238" t="s">
        <v>44</v>
      </c>
      <c r="U238" t="s">
        <v>59</v>
      </c>
      <c r="V238">
        <v>20</v>
      </c>
      <c r="W238" t="s">
        <v>60</v>
      </c>
      <c r="X238">
        <v>13</v>
      </c>
      <c r="Y238">
        <v>4</v>
      </c>
      <c r="Z238" t="s">
        <v>61</v>
      </c>
      <c r="AA238">
        <v>9</v>
      </c>
      <c r="AB238" t="s">
        <v>47</v>
      </c>
      <c r="AC238">
        <v>7</v>
      </c>
      <c r="AD238" t="s">
        <v>47</v>
      </c>
      <c r="AE238">
        <v>1</v>
      </c>
      <c r="AF238" t="s">
        <v>49</v>
      </c>
    </row>
    <row r="239" spans="1:32" x14ac:dyDescent="0.25">
      <c r="A239">
        <v>52</v>
      </c>
      <c r="B239" t="s">
        <v>64</v>
      </c>
      <c r="C239" t="s">
        <v>50</v>
      </c>
      <c r="D239" t="s">
        <v>34</v>
      </c>
      <c r="E239" t="s">
        <v>35</v>
      </c>
      <c r="F239">
        <v>2</v>
      </c>
      <c r="G239" t="s">
        <v>36</v>
      </c>
      <c r="H239">
        <v>1</v>
      </c>
      <c r="I239" t="s">
        <v>37</v>
      </c>
      <c r="J239" t="s">
        <v>54</v>
      </c>
      <c r="K239">
        <v>2</v>
      </c>
      <c r="L239" t="s">
        <v>55</v>
      </c>
      <c r="M239">
        <v>5</v>
      </c>
      <c r="N239" t="s">
        <v>72</v>
      </c>
      <c r="O239" t="s">
        <v>73</v>
      </c>
      <c r="P239">
        <v>3</v>
      </c>
      <c r="Q239" t="s">
        <v>42</v>
      </c>
      <c r="R239" t="s">
        <v>43</v>
      </c>
      <c r="S239">
        <v>1</v>
      </c>
      <c r="T239" t="s">
        <v>44</v>
      </c>
      <c r="U239" t="s">
        <v>44</v>
      </c>
      <c r="V239">
        <v>18</v>
      </c>
      <c r="W239" t="s">
        <v>45</v>
      </c>
      <c r="X239">
        <v>33</v>
      </c>
      <c r="Y239">
        <v>4</v>
      </c>
      <c r="Z239" t="s">
        <v>61</v>
      </c>
      <c r="AA239">
        <v>33</v>
      </c>
      <c r="AB239" t="s">
        <v>74</v>
      </c>
      <c r="AC239">
        <v>7</v>
      </c>
      <c r="AD239" t="s">
        <v>47</v>
      </c>
      <c r="AE239">
        <v>15</v>
      </c>
      <c r="AF239" t="s">
        <v>71</v>
      </c>
    </row>
    <row r="240" spans="1:32" x14ac:dyDescent="0.25">
      <c r="A240">
        <v>32</v>
      </c>
      <c r="B240" t="s">
        <v>32</v>
      </c>
      <c r="C240" t="s">
        <v>50</v>
      </c>
      <c r="D240" t="s">
        <v>34</v>
      </c>
      <c r="E240" t="s">
        <v>35</v>
      </c>
      <c r="F240">
        <v>4</v>
      </c>
      <c r="G240" t="s">
        <v>36</v>
      </c>
      <c r="H240">
        <v>3</v>
      </c>
      <c r="I240" t="s">
        <v>42</v>
      </c>
      <c r="J240" t="s">
        <v>38</v>
      </c>
      <c r="K240">
        <v>3</v>
      </c>
      <c r="L240" t="s">
        <v>39</v>
      </c>
      <c r="M240">
        <v>1</v>
      </c>
      <c r="N240" t="s">
        <v>40</v>
      </c>
      <c r="O240" t="s">
        <v>75</v>
      </c>
      <c r="P240">
        <v>2</v>
      </c>
      <c r="Q240" t="s">
        <v>57</v>
      </c>
      <c r="R240" t="s">
        <v>58</v>
      </c>
      <c r="S240">
        <v>2</v>
      </c>
      <c r="T240" t="s">
        <v>44</v>
      </c>
      <c r="U240" t="s">
        <v>59</v>
      </c>
      <c r="V240">
        <v>11</v>
      </c>
      <c r="W240" t="s">
        <v>45</v>
      </c>
      <c r="X240">
        <v>6</v>
      </c>
      <c r="Y240">
        <v>3</v>
      </c>
      <c r="Z240" t="s">
        <v>61</v>
      </c>
      <c r="AA240">
        <v>4</v>
      </c>
      <c r="AB240" t="s">
        <v>48</v>
      </c>
      <c r="AC240">
        <v>3</v>
      </c>
      <c r="AD240" t="s">
        <v>48</v>
      </c>
      <c r="AE240">
        <v>1</v>
      </c>
      <c r="AF240" t="s">
        <v>49</v>
      </c>
    </row>
    <row r="241" spans="1:32" x14ac:dyDescent="0.25">
      <c r="A241">
        <v>32</v>
      </c>
      <c r="B241" t="s">
        <v>32</v>
      </c>
      <c r="C241" t="s">
        <v>33</v>
      </c>
      <c r="D241" t="s">
        <v>34</v>
      </c>
      <c r="E241" t="s">
        <v>52</v>
      </c>
      <c r="F241">
        <v>1</v>
      </c>
      <c r="G241" t="s">
        <v>36</v>
      </c>
      <c r="H241">
        <v>4</v>
      </c>
      <c r="I241" t="s">
        <v>42</v>
      </c>
      <c r="J241" t="s">
        <v>54</v>
      </c>
      <c r="K241">
        <v>2</v>
      </c>
      <c r="L241" t="s">
        <v>55</v>
      </c>
      <c r="M241">
        <v>1</v>
      </c>
      <c r="N241" t="s">
        <v>40</v>
      </c>
      <c r="O241" t="s">
        <v>62</v>
      </c>
      <c r="P241">
        <v>3</v>
      </c>
      <c r="Q241" t="s">
        <v>42</v>
      </c>
      <c r="R241" t="s">
        <v>43</v>
      </c>
      <c r="S241">
        <v>0</v>
      </c>
      <c r="T241" t="s">
        <v>44</v>
      </c>
      <c r="U241" t="s">
        <v>44</v>
      </c>
      <c r="V241">
        <v>14</v>
      </c>
      <c r="W241" t="s">
        <v>45</v>
      </c>
      <c r="X241">
        <v>4</v>
      </c>
      <c r="Y241">
        <v>1</v>
      </c>
      <c r="Z241" t="s">
        <v>46</v>
      </c>
      <c r="AA241">
        <v>3</v>
      </c>
      <c r="AB241" t="s">
        <v>48</v>
      </c>
      <c r="AC241">
        <v>2</v>
      </c>
      <c r="AD241" t="s">
        <v>48</v>
      </c>
      <c r="AE241">
        <v>1</v>
      </c>
      <c r="AF241" t="s">
        <v>49</v>
      </c>
    </row>
    <row r="242" spans="1:32" x14ac:dyDescent="0.25">
      <c r="A242">
        <v>39</v>
      </c>
      <c r="B242" t="s">
        <v>32</v>
      </c>
      <c r="C242" t="s">
        <v>50</v>
      </c>
      <c r="D242" t="s">
        <v>34</v>
      </c>
      <c r="E242" t="s">
        <v>52</v>
      </c>
      <c r="F242">
        <v>1</v>
      </c>
      <c r="G242" t="s">
        <v>36</v>
      </c>
      <c r="H242">
        <v>3</v>
      </c>
      <c r="I242" t="s">
        <v>42</v>
      </c>
      <c r="J242" t="s">
        <v>38</v>
      </c>
      <c r="K242">
        <v>3</v>
      </c>
      <c r="L242" t="s">
        <v>39</v>
      </c>
      <c r="M242">
        <v>1</v>
      </c>
      <c r="N242" t="s">
        <v>40</v>
      </c>
      <c r="O242" t="s">
        <v>62</v>
      </c>
      <c r="P242">
        <v>3</v>
      </c>
      <c r="Q242" t="s">
        <v>42</v>
      </c>
      <c r="R242" t="s">
        <v>67</v>
      </c>
      <c r="S242">
        <v>7</v>
      </c>
      <c r="T242" t="s">
        <v>44</v>
      </c>
      <c r="U242" t="s">
        <v>59</v>
      </c>
      <c r="V242">
        <v>14</v>
      </c>
      <c r="W242" t="s">
        <v>45</v>
      </c>
      <c r="X242">
        <v>7</v>
      </c>
      <c r="Y242">
        <v>3</v>
      </c>
      <c r="Z242" t="s">
        <v>61</v>
      </c>
      <c r="AA242">
        <v>3</v>
      </c>
      <c r="AB242" t="s">
        <v>48</v>
      </c>
      <c r="AC242">
        <v>2</v>
      </c>
      <c r="AD242" t="s">
        <v>48</v>
      </c>
      <c r="AE242">
        <v>1</v>
      </c>
      <c r="AF242" t="s">
        <v>49</v>
      </c>
    </row>
    <row r="243" spans="1:32" x14ac:dyDescent="0.25">
      <c r="A243">
        <v>32</v>
      </c>
      <c r="B243" t="s">
        <v>32</v>
      </c>
      <c r="C243" t="s">
        <v>50</v>
      </c>
      <c r="D243" t="s">
        <v>34</v>
      </c>
      <c r="E243" t="s">
        <v>35</v>
      </c>
      <c r="F243">
        <v>26</v>
      </c>
      <c r="G243" t="s">
        <v>66</v>
      </c>
      <c r="H243">
        <v>3</v>
      </c>
      <c r="I243" t="s">
        <v>42</v>
      </c>
      <c r="J243" t="s">
        <v>54</v>
      </c>
      <c r="K243">
        <v>3</v>
      </c>
      <c r="L243" t="s">
        <v>39</v>
      </c>
      <c r="M243">
        <v>2</v>
      </c>
      <c r="N243" t="s">
        <v>40</v>
      </c>
      <c r="O243" t="s">
        <v>41</v>
      </c>
      <c r="P243">
        <v>4</v>
      </c>
      <c r="Q243" t="s">
        <v>42</v>
      </c>
      <c r="R243" t="s">
        <v>58</v>
      </c>
      <c r="S243">
        <v>0</v>
      </c>
      <c r="T243" t="s">
        <v>44</v>
      </c>
      <c r="U243" t="s">
        <v>59</v>
      </c>
      <c r="V243">
        <v>18</v>
      </c>
      <c r="W243" t="s">
        <v>45</v>
      </c>
      <c r="X243">
        <v>4</v>
      </c>
      <c r="Y243">
        <v>3</v>
      </c>
      <c r="Z243" t="s">
        <v>61</v>
      </c>
      <c r="AA243">
        <v>3</v>
      </c>
      <c r="AB243" t="s">
        <v>48</v>
      </c>
      <c r="AC243">
        <v>2</v>
      </c>
      <c r="AD243" t="s">
        <v>48</v>
      </c>
      <c r="AE243">
        <v>2</v>
      </c>
      <c r="AF243" t="s">
        <v>49</v>
      </c>
    </row>
    <row r="244" spans="1:32" x14ac:dyDescent="0.25">
      <c r="A244">
        <v>41</v>
      </c>
      <c r="B244" t="s">
        <v>32</v>
      </c>
      <c r="C244" t="s">
        <v>50</v>
      </c>
      <c r="D244" t="s">
        <v>34</v>
      </c>
      <c r="E244" t="s">
        <v>52</v>
      </c>
      <c r="F244">
        <v>19</v>
      </c>
      <c r="G244" t="s">
        <v>66</v>
      </c>
      <c r="H244">
        <v>3</v>
      </c>
      <c r="I244" t="s">
        <v>42</v>
      </c>
      <c r="J244" t="s">
        <v>54</v>
      </c>
      <c r="K244">
        <v>3</v>
      </c>
      <c r="L244" t="s">
        <v>39</v>
      </c>
      <c r="M244">
        <v>2</v>
      </c>
      <c r="N244" t="s">
        <v>40</v>
      </c>
      <c r="O244" t="s">
        <v>56</v>
      </c>
      <c r="P244">
        <v>1</v>
      </c>
      <c r="Q244" t="s">
        <v>57</v>
      </c>
      <c r="R244" t="s">
        <v>67</v>
      </c>
      <c r="S244">
        <v>2</v>
      </c>
      <c r="T244" t="s">
        <v>44</v>
      </c>
      <c r="U244" t="s">
        <v>59</v>
      </c>
      <c r="V244">
        <v>16</v>
      </c>
      <c r="W244" t="s">
        <v>45</v>
      </c>
      <c r="X244">
        <v>17</v>
      </c>
      <c r="Y244">
        <v>2</v>
      </c>
      <c r="Z244" t="s">
        <v>46</v>
      </c>
      <c r="AA244">
        <v>1</v>
      </c>
      <c r="AB244" t="s">
        <v>48</v>
      </c>
      <c r="AC244">
        <v>0</v>
      </c>
      <c r="AD244" t="s">
        <v>48</v>
      </c>
      <c r="AE244">
        <v>0</v>
      </c>
      <c r="AF244" t="s">
        <v>49</v>
      </c>
    </row>
    <row r="245" spans="1:32" x14ac:dyDescent="0.25">
      <c r="A245">
        <v>40</v>
      </c>
      <c r="B245" t="s">
        <v>32</v>
      </c>
      <c r="C245" t="s">
        <v>50</v>
      </c>
      <c r="D245" t="s">
        <v>34</v>
      </c>
      <c r="E245" t="s">
        <v>52</v>
      </c>
      <c r="F245">
        <v>24</v>
      </c>
      <c r="G245" t="s">
        <v>66</v>
      </c>
      <c r="H245">
        <v>1</v>
      </c>
      <c r="I245" t="s">
        <v>37</v>
      </c>
      <c r="J245" t="s">
        <v>54</v>
      </c>
      <c r="K245">
        <v>3</v>
      </c>
      <c r="L245" t="s">
        <v>39</v>
      </c>
      <c r="M245">
        <v>2</v>
      </c>
      <c r="N245" t="s">
        <v>40</v>
      </c>
      <c r="O245" t="s">
        <v>56</v>
      </c>
      <c r="P245">
        <v>4</v>
      </c>
      <c r="Q245" t="s">
        <v>42</v>
      </c>
      <c r="R245" t="s">
        <v>67</v>
      </c>
      <c r="S245">
        <v>1</v>
      </c>
      <c r="T245" t="s">
        <v>44</v>
      </c>
      <c r="U245" t="s">
        <v>59</v>
      </c>
      <c r="V245">
        <v>17</v>
      </c>
      <c r="W245" t="s">
        <v>45</v>
      </c>
      <c r="X245">
        <v>9</v>
      </c>
      <c r="Y245">
        <v>3</v>
      </c>
      <c r="Z245" t="s">
        <v>61</v>
      </c>
      <c r="AA245">
        <v>9</v>
      </c>
      <c r="AB245" t="s">
        <v>47</v>
      </c>
      <c r="AC245">
        <v>8</v>
      </c>
      <c r="AD245" t="s">
        <v>47</v>
      </c>
      <c r="AE245">
        <v>4</v>
      </c>
      <c r="AF245" t="s">
        <v>71</v>
      </c>
    </row>
    <row r="246" spans="1:32" x14ac:dyDescent="0.25">
      <c r="A246">
        <v>45</v>
      </c>
      <c r="B246" t="s">
        <v>32</v>
      </c>
      <c r="C246" t="s">
        <v>50</v>
      </c>
      <c r="D246" t="s">
        <v>34</v>
      </c>
      <c r="E246" t="s">
        <v>52</v>
      </c>
      <c r="F246">
        <v>1</v>
      </c>
      <c r="G246" t="s">
        <v>36</v>
      </c>
      <c r="H246">
        <v>3</v>
      </c>
      <c r="I246" t="s">
        <v>42</v>
      </c>
      <c r="J246" t="s">
        <v>54</v>
      </c>
      <c r="K246">
        <v>4</v>
      </c>
      <c r="L246" t="s">
        <v>65</v>
      </c>
      <c r="M246">
        <v>5</v>
      </c>
      <c r="N246" t="s">
        <v>72</v>
      </c>
      <c r="O246" t="s">
        <v>73</v>
      </c>
      <c r="P246">
        <v>4</v>
      </c>
      <c r="Q246" t="s">
        <v>42</v>
      </c>
      <c r="R246" t="s">
        <v>58</v>
      </c>
      <c r="S246">
        <v>0</v>
      </c>
      <c r="T246" t="s">
        <v>44</v>
      </c>
      <c r="U246" t="s">
        <v>59</v>
      </c>
      <c r="V246">
        <v>11</v>
      </c>
      <c r="W246" t="s">
        <v>45</v>
      </c>
      <c r="X246">
        <v>25</v>
      </c>
      <c r="Y246">
        <v>3</v>
      </c>
      <c r="Z246" t="s">
        <v>61</v>
      </c>
      <c r="AA246">
        <v>24</v>
      </c>
      <c r="AB246" t="s">
        <v>74</v>
      </c>
      <c r="AC246">
        <v>0</v>
      </c>
      <c r="AD246" t="s">
        <v>48</v>
      </c>
      <c r="AE246">
        <v>1</v>
      </c>
      <c r="AF246" t="s">
        <v>49</v>
      </c>
    </row>
    <row r="247" spans="1:32" x14ac:dyDescent="0.25">
      <c r="A247">
        <v>31</v>
      </c>
      <c r="B247" t="s">
        <v>32</v>
      </c>
      <c r="C247" t="s">
        <v>50</v>
      </c>
      <c r="D247" t="s">
        <v>51</v>
      </c>
      <c r="E247" t="s">
        <v>52</v>
      </c>
      <c r="F247">
        <v>3</v>
      </c>
      <c r="G247" t="s">
        <v>36</v>
      </c>
      <c r="H247">
        <v>2</v>
      </c>
      <c r="I247" t="s">
        <v>37</v>
      </c>
      <c r="J247" t="s">
        <v>54</v>
      </c>
      <c r="K247">
        <v>3</v>
      </c>
      <c r="L247" t="s">
        <v>39</v>
      </c>
      <c r="M247">
        <v>3</v>
      </c>
      <c r="N247" t="s">
        <v>68</v>
      </c>
      <c r="O247" t="s">
        <v>76</v>
      </c>
      <c r="P247">
        <v>3</v>
      </c>
      <c r="Q247" t="s">
        <v>42</v>
      </c>
      <c r="R247" t="s">
        <v>67</v>
      </c>
      <c r="S247">
        <v>9</v>
      </c>
      <c r="T247" t="s">
        <v>44</v>
      </c>
      <c r="U247" t="s">
        <v>59</v>
      </c>
      <c r="V247">
        <v>12</v>
      </c>
      <c r="W247" t="s">
        <v>45</v>
      </c>
      <c r="X247">
        <v>9</v>
      </c>
      <c r="Y247">
        <v>3</v>
      </c>
      <c r="Z247" t="s">
        <v>61</v>
      </c>
      <c r="AA247">
        <v>2</v>
      </c>
      <c r="AB247" t="s">
        <v>48</v>
      </c>
      <c r="AC247">
        <v>2</v>
      </c>
      <c r="AD247" t="s">
        <v>48</v>
      </c>
      <c r="AE247">
        <v>2</v>
      </c>
      <c r="AF247" t="s">
        <v>49</v>
      </c>
    </row>
    <row r="248" spans="1:32" x14ac:dyDescent="0.25">
      <c r="A248">
        <v>33</v>
      </c>
      <c r="B248" t="s">
        <v>32</v>
      </c>
      <c r="C248" t="s">
        <v>50</v>
      </c>
      <c r="D248" t="s">
        <v>34</v>
      </c>
      <c r="E248" t="s">
        <v>52</v>
      </c>
      <c r="F248">
        <v>5</v>
      </c>
      <c r="G248" t="s">
        <v>36</v>
      </c>
      <c r="H248">
        <v>3</v>
      </c>
      <c r="I248" t="s">
        <v>42</v>
      </c>
      <c r="J248" t="s">
        <v>38</v>
      </c>
      <c r="K248">
        <v>2</v>
      </c>
      <c r="L248" t="s">
        <v>55</v>
      </c>
      <c r="M248">
        <v>1</v>
      </c>
      <c r="N248" t="s">
        <v>40</v>
      </c>
      <c r="O248" t="s">
        <v>56</v>
      </c>
      <c r="P248">
        <v>4</v>
      </c>
      <c r="Q248" t="s">
        <v>42</v>
      </c>
      <c r="R248" t="s">
        <v>58</v>
      </c>
      <c r="S248">
        <v>1</v>
      </c>
      <c r="T248" t="s">
        <v>44</v>
      </c>
      <c r="U248" t="s">
        <v>59</v>
      </c>
      <c r="V248">
        <v>13</v>
      </c>
      <c r="W248" t="s">
        <v>45</v>
      </c>
      <c r="X248">
        <v>2</v>
      </c>
      <c r="Y248">
        <v>2</v>
      </c>
      <c r="Z248" t="s">
        <v>46</v>
      </c>
      <c r="AA248">
        <v>2</v>
      </c>
      <c r="AB248" t="s">
        <v>48</v>
      </c>
      <c r="AC248">
        <v>2</v>
      </c>
      <c r="AD248" t="s">
        <v>48</v>
      </c>
      <c r="AE248">
        <v>0</v>
      </c>
      <c r="AF248" t="s">
        <v>49</v>
      </c>
    </row>
    <row r="249" spans="1:32" x14ac:dyDescent="0.25">
      <c r="A249">
        <v>34</v>
      </c>
      <c r="B249" t="s">
        <v>32</v>
      </c>
      <c r="C249" t="s">
        <v>50</v>
      </c>
      <c r="D249" t="s">
        <v>34</v>
      </c>
      <c r="E249" t="s">
        <v>52</v>
      </c>
      <c r="F249">
        <v>2</v>
      </c>
      <c r="G249" t="s">
        <v>36</v>
      </c>
      <c r="H249">
        <v>4</v>
      </c>
      <c r="I249" t="s">
        <v>42</v>
      </c>
      <c r="J249" t="s">
        <v>54</v>
      </c>
      <c r="K249">
        <v>2</v>
      </c>
      <c r="L249" t="s">
        <v>55</v>
      </c>
      <c r="M249">
        <v>2</v>
      </c>
      <c r="N249" t="s">
        <v>40</v>
      </c>
      <c r="O249" t="s">
        <v>69</v>
      </c>
      <c r="P249">
        <v>1</v>
      </c>
      <c r="Q249" t="s">
        <v>57</v>
      </c>
      <c r="R249" t="s">
        <v>58</v>
      </c>
      <c r="S249">
        <v>6</v>
      </c>
      <c r="T249" t="s">
        <v>44</v>
      </c>
      <c r="U249" t="s">
        <v>59</v>
      </c>
      <c r="V249">
        <v>13</v>
      </c>
      <c r="W249" t="s">
        <v>45</v>
      </c>
      <c r="X249">
        <v>13</v>
      </c>
      <c r="Y249">
        <v>3</v>
      </c>
      <c r="Z249" t="s">
        <v>61</v>
      </c>
      <c r="AA249">
        <v>11</v>
      </c>
      <c r="AB249" t="s">
        <v>74</v>
      </c>
      <c r="AC249">
        <v>9</v>
      </c>
      <c r="AD249" t="s">
        <v>47</v>
      </c>
      <c r="AE249">
        <v>5</v>
      </c>
      <c r="AF249" t="s">
        <v>71</v>
      </c>
    </row>
    <row r="250" spans="1:32" x14ac:dyDescent="0.25">
      <c r="A250">
        <v>37</v>
      </c>
      <c r="B250" t="s">
        <v>32</v>
      </c>
      <c r="C250" t="s">
        <v>50</v>
      </c>
      <c r="D250" t="s">
        <v>34</v>
      </c>
      <c r="E250" t="s">
        <v>52</v>
      </c>
      <c r="F250">
        <v>1</v>
      </c>
      <c r="G250" t="s">
        <v>36</v>
      </c>
      <c r="H250">
        <v>3</v>
      </c>
      <c r="I250" t="s">
        <v>42</v>
      </c>
      <c r="J250" t="s">
        <v>38</v>
      </c>
      <c r="K250">
        <v>2</v>
      </c>
      <c r="L250" t="s">
        <v>55</v>
      </c>
      <c r="M250">
        <v>1</v>
      </c>
      <c r="N250" t="s">
        <v>40</v>
      </c>
      <c r="O250" t="s">
        <v>56</v>
      </c>
      <c r="P250">
        <v>1</v>
      </c>
      <c r="Q250" t="s">
        <v>57</v>
      </c>
      <c r="R250" t="s">
        <v>58</v>
      </c>
      <c r="S250">
        <v>2</v>
      </c>
      <c r="T250" t="s">
        <v>44</v>
      </c>
      <c r="U250" t="s">
        <v>59</v>
      </c>
      <c r="V250">
        <v>14</v>
      </c>
      <c r="W250" t="s">
        <v>45</v>
      </c>
      <c r="X250">
        <v>17</v>
      </c>
      <c r="Y250">
        <v>2</v>
      </c>
      <c r="Z250" t="s">
        <v>46</v>
      </c>
      <c r="AA250">
        <v>3</v>
      </c>
      <c r="AB250" t="s">
        <v>48</v>
      </c>
      <c r="AC250">
        <v>1</v>
      </c>
      <c r="AD250" t="s">
        <v>48</v>
      </c>
      <c r="AE250">
        <v>0</v>
      </c>
      <c r="AF250" t="s">
        <v>49</v>
      </c>
    </row>
    <row r="251" spans="1:32" x14ac:dyDescent="0.25">
      <c r="A251">
        <v>45</v>
      </c>
      <c r="B251" t="s">
        <v>32</v>
      </c>
      <c r="C251" t="s">
        <v>50</v>
      </c>
      <c r="D251" t="s">
        <v>51</v>
      </c>
      <c r="E251" t="s">
        <v>52</v>
      </c>
      <c r="F251">
        <v>7</v>
      </c>
      <c r="G251" t="s">
        <v>53</v>
      </c>
      <c r="H251">
        <v>1</v>
      </c>
      <c r="I251" t="s">
        <v>37</v>
      </c>
      <c r="J251" t="s">
        <v>54</v>
      </c>
      <c r="K251">
        <v>4</v>
      </c>
      <c r="L251" t="s">
        <v>65</v>
      </c>
      <c r="M251">
        <v>2</v>
      </c>
      <c r="N251" t="s">
        <v>40</v>
      </c>
      <c r="O251" t="s">
        <v>69</v>
      </c>
      <c r="P251">
        <v>3</v>
      </c>
      <c r="Q251" t="s">
        <v>42</v>
      </c>
      <c r="R251" t="s">
        <v>58</v>
      </c>
      <c r="S251">
        <v>4</v>
      </c>
      <c r="T251" t="s">
        <v>44</v>
      </c>
      <c r="U251" t="s">
        <v>59</v>
      </c>
      <c r="V251">
        <v>17</v>
      </c>
      <c r="W251" t="s">
        <v>45</v>
      </c>
      <c r="X251">
        <v>9</v>
      </c>
      <c r="Y251">
        <v>3</v>
      </c>
      <c r="Z251" t="s">
        <v>61</v>
      </c>
      <c r="AA251">
        <v>3</v>
      </c>
      <c r="AB251" t="s">
        <v>48</v>
      </c>
      <c r="AC251">
        <v>2</v>
      </c>
      <c r="AD251" t="s">
        <v>48</v>
      </c>
      <c r="AE251">
        <v>0</v>
      </c>
      <c r="AF251" t="s">
        <v>49</v>
      </c>
    </row>
    <row r="252" spans="1:32" x14ac:dyDescent="0.25">
      <c r="A252">
        <v>37</v>
      </c>
      <c r="B252" t="s">
        <v>32</v>
      </c>
      <c r="C252" t="s">
        <v>33</v>
      </c>
      <c r="D252" t="s">
        <v>51</v>
      </c>
      <c r="E252" t="s">
        <v>52</v>
      </c>
      <c r="F252">
        <v>10</v>
      </c>
      <c r="G252" t="s">
        <v>53</v>
      </c>
      <c r="H252">
        <v>1</v>
      </c>
      <c r="I252" t="s">
        <v>37</v>
      </c>
      <c r="J252" t="s">
        <v>54</v>
      </c>
      <c r="K252">
        <v>3</v>
      </c>
      <c r="L252" t="s">
        <v>39</v>
      </c>
      <c r="M252">
        <v>3</v>
      </c>
      <c r="N252" t="s">
        <v>68</v>
      </c>
      <c r="O252" t="s">
        <v>69</v>
      </c>
      <c r="P252">
        <v>3</v>
      </c>
      <c r="Q252" t="s">
        <v>42</v>
      </c>
      <c r="R252" t="s">
        <v>67</v>
      </c>
      <c r="S252">
        <v>6</v>
      </c>
      <c r="T252" t="s">
        <v>44</v>
      </c>
      <c r="U252" t="s">
        <v>59</v>
      </c>
      <c r="V252">
        <v>11</v>
      </c>
      <c r="W252" t="s">
        <v>45</v>
      </c>
      <c r="X252">
        <v>17</v>
      </c>
      <c r="Y252">
        <v>3</v>
      </c>
      <c r="Z252" t="s">
        <v>61</v>
      </c>
      <c r="AA252">
        <v>1</v>
      </c>
      <c r="AB252" t="s">
        <v>48</v>
      </c>
      <c r="AC252">
        <v>0</v>
      </c>
      <c r="AD252" t="s">
        <v>48</v>
      </c>
      <c r="AE252">
        <v>0</v>
      </c>
      <c r="AF252" t="s">
        <v>49</v>
      </c>
    </row>
    <row r="253" spans="1:32" x14ac:dyDescent="0.25">
      <c r="A253">
        <v>39</v>
      </c>
      <c r="B253" t="s">
        <v>32</v>
      </c>
      <c r="C253" t="s">
        <v>50</v>
      </c>
      <c r="D253" t="s">
        <v>51</v>
      </c>
      <c r="E253" t="s">
        <v>52</v>
      </c>
      <c r="F253">
        <v>2</v>
      </c>
      <c r="G253" t="s">
        <v>36</v>
      </c>
      <c r="H253">
        <v>3</v>
      </c>
      <c r="I253" t="s">
        <v>42</v>
      </c>
      <c r="J253" t="s">
        <v>38</v>
      </c>
      <c r="K253">
        <v>3</v>
      </c>
      <c r="L253" t="s">
        <v>39</v>
      </c>
      <c r="M253">
        <v>3</v>
      </c>
      <c r="N253" t="s">
        <v>68</v>
      </c>
      <c r="O253" t="s">
        <v>70</v>
      </c>
      <c r="P253">
        <v>3</v>
      </c>
      <c r="Q253" t="s">
        <v>42</v>
      </c>
      <c r="R253" t="s">
        <v>43</v>
      </c>
      <c r="S253">
        <v>0</v>
      </c>
      <c r="T253" t="s">
        <v>44</v>
      </c>
      <c r="U253" t="s">
        <v>59</v>
      </c>
      <c r="V253">
        <v>25</v>
      </c>
      <c r="W253" t="s">
        <v>60</v>
      </c>
      <c r="X253">
        <v>20</v>
      </c>
      <c r="Y253">
        <v>3</v>
      </c>
      <c r="Z253" t="s">
        <v>61</v>
      </c>
      <c r="AA253">
        <v>19</v>
      </c>
      <c r="AB253" t="s">
        <v>74</v>
      </c>
      <c r="AC253">
        <v>6</v>
      </c>
      <c r="AD253" t="s">
        <v>47</v>
      </c>
      <c r="AE253">
        <v>11</v>
      </c>
      <c r="AF253" t="s">
        <v>71</v>
      </c>
    </row>
    <row r="254" spans="1:32" x14ac:dyDescent="0.25">
      <c r="A254">
        <v>29</v>
      </c>
      <c r="B254" t="s">
        <v>63</v>
      </c>
      <c r="C254" t="s">
        <v>50</v>
      </c>
      <c r="D254" t="s">
        <v>34</v>
      </c>
      <c r="E254" t="s">
        <v>52</v>
      </c>
      <c r="F254">
        <v>15</v>
      </c>
      <c r="G254" t="s">
        <v>66</v>
      </c>
      <c r="H254">
        <v>3</v>
      </c>
      <c r="I254" t="s">
        <v>42</v>
      </c>
      <c r="J254" t="s">
        <v>54</v>
      </c>
      <c r="K254">
        <v>3</v>
      </c>
      <c r="L254" t="s">
        <v>39</v>
      </c>
      <c r="M254">
        <v>1</v>
      </c>
      <c r="N254" t="s">
        <v>40</v>
      </c>
      <c r="O254" t="s">
        <v>56</v>
      </c>
      <c r="P254">
        <v>4</v>
      </c>
      <c r="Q254" t="s">
        <v>42</v>
      </c>
      <c r="R254" t="s">
        <v>43</v>
      </c>
      <c r="S254">
        <v>1</v>
      </c>
      <c r="T254" t="s">
        <v>44</v>
      </c>
      <c r="U254" t="s">
        <v>59</v>
      </c>
      <c r="V254">
        <v>19</v>
      </c>
      <c r="W254" t="s">
        <v>45</v>
      </c>
      <c r="X254">
        <v>6</v>
      </c>
      <c r="Y254">
        <v>3</v>
      </c>
      <c r="Z254" t="s">
        <v>61</v>
      </c>
      <c r="AA254">
        <v>6</v>
      </c>
      <c r="AB254" t="s">
        <v>47</v>
      </c>
      <c r="AC254">
        <v>5</v>
      </c>
      <c r="AD254" t="s">
        <v>47</v>
      </c>
      <c r="AE254">
        <v>1</v>
      </c>
      <c r="AF254" t="s">
        <v>49</v>
      </c>
    </row>
    <row r="255" spans="1:32" x14ac:dyDescent="0.25">
      <c r="A255">
        <v>42</v>
      </c>
      <c r="B255" t="s">
        <v>32</v>
      </c>
      <c r="C255" t="s">
        <v>50</v>
      </c>
      <c r="D255" t="s">
        <v>34</v>
      </c>
      <c r="E255" t="s">
        <v>52</v>
      </c>
      <c r="F255">
        <v>17</v>
      </c>
      <c r="G255" t="s">
        <v>66</v>
      </c>
      <c r="H255">
        <v>4</v>
      </c>
      <c r="I255" t="s">
        <v>42</v>
      </c>
      <c r="J255" t="s">
        <v>38</v>
      </c>
      <c r="K255">
        <v>4</v>
      </c>
      <c r="L255" t="s">
        <v>65</v>
      </c>
      <c r="M255">
        <v>2</v>
      </c>
      <c r="N255" t="s">
        <v>40</v>
      </c>
      <c r="O255" t="s">
        <v>56</v>
      </c>
      <c r="P255">
        <v>1</v>
      </c>
      <c r="Q255" t="s">
        <v>57</v>
      </c>
      <c r="R255" t="s">
        <v>43</v>
      </c>
      <c r="S255">
        <v>3</v>
      </c>
      <c r="T255" t="s">
        <v>44</v>
      </c>
      <c r="U255" t="s">
        <v>44</v>
      </c>
      <c r="V255">
        <v>13</v>
      </c>
      <c r="W255" t="s">
        <v>45</v>
      </c>
      <c r="X255">
        <v>10</v>
      </c>
      <c r="Y255">
        <v>3</v>
      </c>
      <c r="Z255" t="s">
        <v>61</v>
      </c>
      <c r="AA255">
        <v>3</v>
      </c>
      <c r="AB255" t="s">
        <v>48</v>
      </c>
      <c r="AC255">
        <v>2</v>
      </c>
      <c r="AD255" t="s">
        <v>48</v>
      </c>
      <c r="AE255">
        <v>0</v>
      </c>
      <c r="AF255" t="s">
        <v>49</v>
      </c>
    </row>
    <row r="256" spans="1:32" x14ac:dyDescent="0.25">
      <c r="A256">
        <v>29</v>
      </c>
      <c r="B256" t="s">
        <v>63</v>
      </c>
      <c r="C256" t="s">
        <v>50</v>
      </c>
      <c r="D256" t="s">
        <v>34</v>
      </c>
      <c r="E256" t="s">
        <v>35</v>
      </c>
      <c r="F256">
        <v>20</v>
      </c>
      <c r="G256" t="s">
        <v>66</v>
      </c>
      <c r="H256">
        <v>4</v>
      </c>
      <c r="I256" t="s">
        <v>42</v>
      </c>
      <c r="J256" t="s">
        <v>54</v>
      </c>
      <c r="K256">
        <v>3</v>
      </c>
      <c r="L256" t="s">
        <v>39</v>
      </c>
      <c r="M256">
        <v>2</v>
      </c>
      <c r="N256" t="s">
        <v>40</v>
      </c>
      <c r="O256" t="s">
        <v>41</v>
      </c>
      <c r="P256">
        <v>4</v>
      </c>
      <c r="Q256" t="s">
        <v>42</v>
      </c>
      <c r="R256" t="s">
        <v>67</v>
      </c>
      <c r="S256">
        <v>2</v>
      </c>
      <c r="T256" t="s">
        <v>44</v>
      </c>
      <c r="U256" t="s">
        <v>59</v>
      </c>
      <c r="V256">
        <v>14</v>
      </c>
      <c r="W256" t="s">
        <v>45</v>
      </c>
      <c r="X256">
        <v>10</v>
      </c>
      <c r="Y256">
        <v>3</v>
      </c>
      <c r="Z256" t="s">
        <v>61</v>
      </c>
      <c r="AA256">
        <v>3</v>
      </c>
      <c r="AB256" t="s">
        <v>48</v>
      </c>
      <c r="AC256">
        <v>2</v>
      </c>
      <c r="AD256" t="s">
        <v>48</v>
      </c>
      <c r="AE256">
        <v>0</v>
      </c>
      <c r="AF256" t="s">
        <v>49</v>
      </c>
    </row>
    <row r="257" spans="1:32" x14ac:dyDescent="0.25">
      <c r="A257">
        <v>25</v>
      </c>
      <c r="B257" t="s">
        <v>63</v>
      </c>
      <c r="C257" t="s">
        <v>50</v>
      </c>
      <c r="D257" t="s">
        <v>34</v>
      </c>
      <c r="E257" t="s">
        <v>52</v>
      </c>
      <c r="F257">
        <v>1</v>
      </c>
      <c r="G257" t="s">
        <v>36</v>
      </c>
      <c r="H257">
        <v>1</v>
      </c>
      <c r="I257" t="s">
        <v>37</v>
      </c>
      <c r="J257" t="s">
        <v>38</v>
      </c>
      <c r="K257">
        <v>3</v>
      </c>
      <c r="L257" t="s">
        <v>39</v>
      </c>
      <c r="M257">
        <v>2</v>
      </c>
      <c r="N257" t="s">
        <v>40</v>
      </c>
      <c r="O257" t="s">
        <v>69</v>
      </c>
      <c r="P257">
        <v>3</v>
      </c>
      <c r="Q257" t="s">
        <v>42</v>
      </c>
      <c r="R257" t="s">
        <v>58</v>
      </c>
      <c r="S257">
        <v>0</v>
      </c>
      <c r="T257" t="s">
        <v>44</v>
      </c>
      <c r="U257" t="s">
        <v>59</v>
      </c>
      <c r="V257">
        <v>12</v>
      </c>
      <c r="W257" t="s">
        <v>45</v>
      </c>
      <c r="X257">
        <v>5</v>
      </c>
      <c r="Y257">
        <v>3</v>
      </c>
      <c r="Z257" t="s">
        <v>61</v>
      </c>
      <c r="AA257">
        <v>4</v>
      </c>
      <c r="AB257" t="s">
        <v>48</v>
      </c>
      <c r="AC257">
        <v>2</v>
      </c>
      <c r="AD257" t="s">
        <v>48</v>
      </c>
      <c r="AE257">
        <v>1</v>
      </c>
      <c r="AF257" t="s">
        <v>49</v>
      </c>
    </row>
    <row r="258" spans="1:32" x14ac:dyDescent="0.25">
      <c r="A258">
        <v>42</v>
      </c>
      <c r="B258" t="s">
        <v>32</v>
      </c>
      <c r="C258" t="s">
        <v>50</v>
      </c>
      <c r="D258" t="s">
        <v>34</v>
      </c>
      <c r="E258" t="s">
        <v>52</v>
      </c>
      <c r="F258">
        <v>2</v>
      </c>
      <c r="G258" t="s">
        <v>36</v>
      </c>
      <c r="H258">
        <v>4</v>
      </c>
      <c r="I258" t="s">
        <v>42</v>
      </c>
      <c r="J258" t="s">
        <v>38</v>
      </c>
      <c r="K258">
        <v>2</v>
      </c>
      <c r="L258" t="s">
        <v>55</v>
      </c>
      <c r="M258">
        <v>1</v>
      </c>
      <c r="N258" t="s">
        <v>40</v>
      </c>
      <c r="O258" t="s">
        <v>62</v>
      </c>
      <c r="P258">
        <v>1</v>
      </c>
      <c r="Q258" t="s">
        <v>57</v>
      </c>
      <c r="R258" t="s">
        <v>67</v>
      </c>
      <c r="S258">
        <v>0</v>
      </c>
      <c r="T258" t="s">
        <v>44</v>
      </c>
      <c r="U258" t="s">
        <v>44</v>
      </c>
      <c r="V258">
        <v>11</v>
      </c>
      <c r="W258" t="s">
        <v>45</v>
      </c>
      <c r="X258">
        <v>10</v>
      </c>
      <c r="Y258">
        <v>3</v>
      </c>
      <c r="Z258" t="s">
        <v>61</v>
      </c>
      <c r="AA258">
        <v>9</v>
      </c>
      <c r="AB258" t="s">
        <v>47</v>
      </c>
      <c r="AC258">
        <v>6</v>
      </c>
      <c r="AD258" t="s">
        <v>47</v>
      </c>
      <c r="AE258">
        <v>7</v>
      </c>
      <c r="AF258" t="s">
        <v>71</v>
      </c>
    </row>
    <row r="259" spans="1:32" x14ac:dyDescent="0.25">
      <c r="A259">
        <v>40</v>
      </c>
      <c r="B259" t="s">
        <v>32</v>
      </c>
      <c r="C259" t="s">
        <v>50</v>
      </c>
      <c r="D259" t="s">
        <v>34</v>
      </c>
      <c r="E259" t="s">
        <v>52</v>
      </c>
      <c r="F259">
        <v>2</v>
      </c>
      <c r="G259" t="s">
        <v>36</v>
      </c>
      <c r="H259">
        <v>1</v>
      </c>
      <c r="I259" t="s">
        <v>37</v>
      </c>
      <c r="J259" t="s">
        <v>54</v>
      </c>
      <c r="K259">
        <v>3</v>
      </c>
      <c r="L259" t="s">
        <v>39</v>
      </c>
      <c r="M259">
        <v>5</v>
      </c>
      <c r="N259" t="s">
        <v>72</v>
      </c>
      <c r="O259" t="s">
        <v>76</v>
      </c>
      <c r="P259">
        <v>3</v>
      </c>
      <c r="Q259" t="s">
        <v>42</v>
      </c>
      <c r="R259" t="s">
        <v>67</v>
      </c>
      <c r="S259">
        <v>0</v>
      </c>
      <c r="T259" t="s">
        <v>44</v>
      </c>
      <c r="U259" t="s">
        <v>59</v>
      </c>
      <c r="V259">
        <v>19</v>
      </c>
      <c r="W259" t="s">
        <v>45</v>
      </c>
      <c r="X259">
        <v>22</v>
      </c>
      <c r="Y259">
        <v>3</v>
      </c>
      <c r="Z259" t="s">
        <v>61</v>
      </c>
      <c r="AA259">
        <v>21</v>
      </c>
      <c r="AB259" t="s">
        <v>74</v>
      </c>
      <c r="AC259">
        <v>7</v>
      </c>
      <c r="AD259" t="s">
        <v>47</v>
      </c>
      <c r="AE259">
        <v>3</v>
      </c>
      <c r="AF259" t="s">
        <v>49</v>
      </c>
    </row>
    <row r="260" spans="1:32" x14ac:dyDescent="0.25">
      <c r="A260">
        <v>51</v>
      </c>
      <c r="B260" t="s">
        <v>64</v>
      </c>
      <c r="C260" t="s">
        <v>50</v>
      </c>
      <c r="D260" t="s">
        <v>34</v>
      </c>
      <c r="E260" t="s">
        <v>52</v>
      </c>
      <c r="F260">
        <v>1</v>
      </c>
      <c r="G260" t="s">
        <v>36</v>
      </c>
      <c r="H260">
        <v>3</v>
      </c>
      <c r="I260" t="s">
        <v>42</v>
      </c>
      <c r="J260" t="s">
        <v>54</v>
      </c>
      <c r="K260">
        <v>3</v>
      </c>
      <c r="L260" t="s">
        <v>39</v>
      </c>
      <c r="M260">
        <v>1</v>
      </c>
      <c r="N260" t="s">
        <v>40</v>
      </c>
      <c r="O260" t="s">
        <v>56</v>
      </c>
      <c r="P260">
        <v>4</v>
      </c>
      <c r="Q260" t="s">
        <v>42</v>
      </c>
      <c r="R260" t="s">
        <v>58</v>
      </c>
      <c r="S260">
        <v>1</v>
      </c>
      <c r="T260" t="s">
        <v>44</v>
      </c>
      <c r="U260" t="s">
        <v>59</v>
      </c>
      <c r="V260">
        <v>11</v>
      </c>
      <c r="W260" t="s">
        <v>45</v>
      </c>
      <c r="X260">
        <v>1</v>
      </c>
      <c r="Y260">
        <v>2</v>
      </c>
      <c r="Z260" t="s">
        <v>46</v>
      </c>
      <c r="AA260">
        <v>1</v>
      </c>
      <c r="AB260" t="s">
        <v>48</v>
      </c>
      <c r="AC260">
        <v>0</v>
      </c>
      <c r="AD260" t="s">
        <v>48</v>
      </c>
      <c r="AE260">
        <v>0</v>
      </c>
      <c r="AF260" t="s">
        <v>49</v>
      </c>
    </row>
    <row r="261" spans="1:32" x14ac:dyDescent="0.25">
      <c r="A261">
        <v>31</v>
      </c>
      <c r="B261" t="s">
        <v>32</v>
      </c>
      <c r="C261" t="s">
        <v>33</v>
      </c>
      <c r="D261" t="s">
        <v>51</v>
      </c>
      <c r="E261" t="s">
        <v>52</v>
      </c>
      <c r="F261">
        <v>29</v>
      </c>
      <c r="G261" t="s">
        <v>66</v>
      </c>
      <c r="H261">
        <v>3</v>
      </c>
      <c r="I261" t="s">
        <v>42</v>
      </c>
      <c r="J261" t="s">
        <v>54</v>
      </c>
      <c r="K261">
        <v>2</v>
      </c>
      <c r="L261" t="s">
        <v>55</v>
      </c>
      <c r="M261">
        <v>1</v>
      </c>
      <c r="N261" t="s">
        <v>40</v>
      </c>
      <c r="O261" t="s">
        <v>62</v>
      </c>
      <c r="P261">
        <v>2</v>
      </c>
      <c r="Q261" t="s">
        <v>57</v>
      </c>
      <c r="R261" t="s">
        <v>43</v>
      </c>
      <c r="S261">
        <v>0</v>
      </c>
      <c r="T261" t="s">
        <v>44</v>
      </c>
      <c r="U261" t="s">
        <v>59</v>
      </c>
      <c r="V261">
        <v>11</v>
      </c>
      <c r="W261" t="s">
        <v>45</v>
      </c>
      <c r="X261">
        <v>6</v>
      </c>
      <c r="Y261">
        <v>4</v>
      </c>
      <c r="Z261" t="s">
        <v>61</v>
      </c>
      <c r="AA261">
        <v>5</v>
      </c>
      <c r="AB261" t="s">
        <v>47</v>
      </c>
      <c r="AC261">
        <v>4</v>
      </c>
      <c r="AD261" t="s">
        <v>48</v>
      </c>
      <c r="AE261">
        <v>1</v>
      </c>
      <c r="AF261" t="s">
        <v>49</v>
      </c>
    </row>
    <row r="262" spans="1:32" x14ac:dyDescent="0.25">
      <c r="A262">
        <v>32</v>
      </c>
      <c r="B262" t="s">
        <v>32</v>
      </c>
      <c r="C262" t="s">
        <v>50</v>
      </c>
      <c r="D262" t="s">
        <v>51</v>
      </c>
      <c r="E262" t="s">
        <v>52</v>
      </c>
      <c r="F262">
        <v>7</v>
      </c>
      <c r="G262" t="s">
        <v>53</v>
      </c>
      <c r="H262">
        <v>2</v>
      </c>
      <c r="I262" t="s">
        <v>37</v>
      </c>
      <c r="J262" t="s">
        <v>54</v>
      </c>
      <c r="K262">
        <v>4</v>
      </c>
      <c r="L262" t="s">
        <v>65</v>
      </c>
      <c r="M262">
        <v>1</v>
      </c>
      <c r="N262" t="s">
        <v>40</v>
      </c>
      <c r="O262" t="s">
        <v>62</v>
      </c>
      <c r="P262">
        <v>2</v>
      </c>
      <c r="Q262" t="s">
        <v>57</v>
      </c>
      <c r="R262" t="s">
        <v>58</v>
      </c>
      <c r="S262">
        <v>1</v>
      </c>
      <c r="T262" t="s">
        <v>44</v>
      </c>
      <c r="U262" t="s">
        <v>59</v>
      </c>
      <c r="V262">
        <v>20</v>
      </c>
      <c r="W262" t="s">
        <v>60</v>
      </c>
      <c r="X262">
        <v>5</v>
      </c>
      <c r="Y262">
        <v>1</v>
      </c>
      <c r="Z262" t="s">
        <v>46</v>
      </c>
      <c r="AA262">
        <v>5</v>
      </c>
      <c r="AB262" t="s">
        <v>47</v>
      </c>
      <c r="AC262">
        <v>1</v>
      </c>
      <c r="AD262" t="s">
        <v>48</v>
      </c>
      <c r="AE262">
        <v>0</v>
      </c>
      <c r="AF262" t="s">
        <v>49</v>
      </c>
    </row>
    <row r="263" spans="1:32" x14ac:dyDescent="0.25">
      <c r="A263">
        <v>38</v>
      </c>
      <c r="B263" t="s">
        <v>32</v>
      </c>
      <c r="C263" t="s">
        <v>50</v>
      </c>
      <c r="D263" t="s">
        <v>34</v>
      </c>
      <c r="E263" t="s">
        <v>35</v>
      </c>
      <c r="F263">
        <v>2</v>
      </c>
      <c r="G263" t="s">
        <v>36</v>
      </c>
      <c r="H263">
        <v>4</v>
      </c>
      <c r="I263" t="s">
        <v>42</v>
      </c>
      <c r="J263" t="s">
        <v>54</v>
      </c>
      <c r="K263">
        <v>2</v>
      </c>
      <c r="L263" t="s">
        <v>55</v>
      </c>
      <c r="M263">
        <v>2</v>
      </c>
      <c r="N263" t="s">
        <v>40</v>
      </c>
      <c r="O263" t="s">
        <v>41</v>
      </c>
      <c r="P263">
        <v>4</v>
      </c>
      <c r="Q263" t="s">
        <v>42</v>
      </c>
      <c r="R263" t="s">
        <v>58</v>
      </c>
      <c r="S263">
        <v>3</v>
      </c>
      <c r="T263" t="s">
        <v>44</v>
      </c>
      <c r="U263" t="s">
        <v>59</v>
      </c>
      <c r="V263">
        <v>18</v>
      </c>
      <c r="W263" t="s">
        <v>45</v>
      </c>
      <c r="X263">
        <v>13</v>
      </c>
      <c r="Y263">
        <v>3</v>
      </c>
      <c r="Z263" t="s">
        <v>61</v>
      </c>
      <c r="AA263">
        <v>8</v>
      </c>
      <c r="AB263" t="s">
        <v>47</v>
      </c>
      <c r="AC263">
        <v>7</v>
      </c>
      <c r="AD263" t="s">
        <v>47</v>
      </c>
      <c r="AE263">
        <v>7</v>
      </c>
      <c r="AF263" t="s">
        <v>71</v>
      </c>
    </row>
    <row r="264" spans="1:32" x14ac:dyDescent="0.25">
      <c r="A264">
        <v>32</v>
      </c>
      <c r="B264" t="s">
        <v>32</v>
      </c>
      <c r="C264" t="s">
        <v>50</v>
      </c>
      <c r="D264" t="s">
        <v>34</v>
      </c>
      <c r="E264" t="s">
        <v>52</v>
      </c>
      <c r="F264">
        <v>2</v>
      </c>
      <c r="G264" t="s">
        <v>36</v>
      </c>
      <c r="H264">
        <v>4</v>
      </c>
      <c r="I264" t="s">
        <v>42</v>
      </c>
      <c r="J264" t="s">
        <v>54</v>
      </c>
      <c r="K264">
        <v>2</v>
      </c>
      <c r="L264" t="s">
        <v>55</v>
      </c>
      <c r="M264">
        <v>2</v>
      </c>
      <c r="N264" t="s">
        <v>40</v>
      </c>
      <c r="O264" t="s">
        <v>62</v>
      </c>
      <c r="P264">
        <v>1</v>
      </c>
      <c r="Q264" t="s">
        <v>57</v>
      </c>
      <c r="R264" t="s">
        <v>43</v>
      </c>
      <c r="S264">
        <v>4</v>
      </c>
      <c r="T264" t="s">
        <v>44</v>
      </c>
      <c r="U264" t="s">
        <v>59</v>
      </c>
      <c r="V264">
        <v>13</v>
      </c>
      <c r="W264" t="s">
        <v>45</v>
      </c>
      <c r="X264">
        <v>9</v>
      </c>
      <c r="Y264">
        <v>3</v>
      </c>
      <c r="Z264" t="s">
        <v>61</v>
      </c>
      <c r="AA264">
        <v>6</v>
      </c>
      <c r="AB264" t="s">
        <v>47</v>
      </c>
      <c r="AC264">
        <v>2</v>
      </c>
      <c r="AD264" t="s">
        <v>48</v>
      </c>
      <c r="AE264">
        <v>0</v>
      </c>
      <c r="AF264" t="s">
        <v>49</v>
      </c>
    </row>
    <row r="265" spans="1:32" x14ac:dyDescent="0.25">
      <c r="A265">
        <v>46</v>
      </c>
      <c r="B265" t="s">
        <v>32</v>
      </c>
      <c r="C265" t="s">
        <v>50</v>
      </c>
      <c r="D265" t="s">
        <v>34</v>
      </c>
      <c r="E265" t="s">
        <v>35</v>
      </c>
      <c r="F265">
        <v>2</v>
      </c>
      <c r="G265" t="s">
        <v>36</v>
      </c>
      <c r="H265">
        <v>3</v>
      </c>
      <c r="I265" t="s">
        <v>42</v>
      </c>
      <c r="J265" t="s">
        <v>38</v>
      </c>
      <c r="K265">
        <v>1</v>
      </c>
      <c r="L265" t="s">
        <v>55</v>
      </c>
      <c r="M265">
        <v>4</v>
      </c>
      <c r="N265" t="s">
        <v>72</v>
      </c>
      <c r="O265" t="s">
        <v>73</v>
      </c>
      <c r="P265">
        <v>2</v>
      </c>
      <c r="Q265" t="s">
        <v>57</v>
      </c>
      <c r="R265" t="s">
        <v>58</v>
      </c>
      <c r="S265">
        <v>3</v>
      </c>
      <c r="T265" t="s">
        <v>44</v>
      </c>
      <c r="U265" t="s">
        <v>44</v>
      </c>
      <c r="V265">
        <v>12</v>
      </c>
      <c r="W265" t="s">
        <v>45</v>
      </c>
      <c r="X265">
        <v>28</v>
      </c>
      <c r="Y265">
        <v>2</v>
      </c>
      <c r="Z265" t="s">
        <v>46</v>
      </c>
      <c r="AA265">
        <v>7</v>
      </c>
      <c r="AB265" t="s">
        <v>47</v>
      </c>
      <c r="AC265">
        <v>7</v>
      </c>
      <c r="AD265" t="s">
        <v>47</v>
      </c>
      <c r="AE265">
        <v>7</v>
      </c>
      <c r="AF265" t="s">
        <v>71</v>
      </c>
    </row>
    <row r="266" spans="1:32" x14ac:dyDescent="0.25">
      <c r="A266">
        <v>28</v>
      </c>
      <c r="B266" t="s">
        <v>63</v>
      </c>
      <c r="C266" t="s">
        <v>33</v>
      </c>
      <c r="D266" t="s">
        <v>34</v>
      </c>
      <c r="E266" t="s">
        <v>52</v>
      </c>
      <c r="F266">
        <v>2</v>
      </c>
      <c r="G266" t="s">
        <v>36</v>
      </c>
      <c r="H266">
        <v>1</v>
      </c>
      <c r="I266" t="s">
        <v>37</v>
      </c>
      <c r="J266" t="s">
        <v>54</v>
      </c>
      <c r="K266">
        <v>3</v>
      </c>
      <c r="L266" t="s">
        <v>39</v>
      </c>
      <c r="M266">
        <v>1</v>
      </c>
      <c r="N266" t="s">
        <v>40</v>
      </c>
      <c r="O266" t="s">
        <v>62</v>
      </c>
      <c r="P266">
        <v>3</v>
      </c>
      <c r="Q266" t="s">
        <v>42</v>
      </c>
      <c r="R266" t="s">
        <v>43</v>
      </c>
      <c r="S266">
        <v>2</v>
      </c>
      <c r="T266" t="s">
        <v>44</v>
      </c>
      <c r="U266" t="s">
        <v>59</v>
      </c>
      <c r="V266">
        <v>11</v>
      </c>
      <c r="W266" t="s">
        <v>45</v>
      </c>
      <c r="X266">
        <v>5</v>
      </c>
      <c r="Y266">
        <v>1</v>
      </c>
      <c r="Z266" t="s">
        <v>46</v>
      </c>
      <c r="AA266">
        <v>0</v>
      </c>
      <c r="AB266" t="s">
        <v>48</v>
      </c>
      <c r="AC266">
        <v>0</v>
      </c>
      <c r="AD266" t="s">
        <v>48</v>
      </c>
      <c r="AE266">
        <v>0</v>
      </c>
      <c r="AF266" t="s">
        <v>49</v>
      </c>
    </row>
    <row r="267" spans="1:32" x14ac:dyDescent="0.25">
      <c r="A267">
        <v>29</v>
      </c>
      <c r="B267" t="s">
        <v>63</v>
      </c>
      <c r="C267" t="s">
        <v>50</v>
      </c>
      <c r="D267" t="s">
        <v>34</v>
      </c>
      <c r="E267" t="s">
        <v>35</v>
      </c>
      <c r="F267">
        <v>2</v>
      </c>
      <c r="G267" t="s">
        <v>36</v>
      </c>
      <c r="H267">
        <v>1</v>
      </c>
      <c r="I267" t="s">
        <v>37</v>
      </c>
      <c r="J267" t="s">
        <v>54</v>
      </c>
      <c r="K267">
        <v>2</v>
      </c>
      <c r="L267" t="s">
        <v>55</v>
      </c>
      <c r="M267">
        <v>2</v>
      </c>
      <c r="N267" t="s">
        <v>40</v>
      </c>
      <c r="O267" t="s">
        <v>41</v>
      </c>
      <c r="P267">
        <v>2</v>
      </c>
      <c r="Q267" t="s">
        <v>57</v>
      </c>
      <c r="R267" t="s">
        <v>58</v>
      </c>
      <c r="S267">
        <v>2</v>
      </c>
      <c r="T267" t="s">
        <v>44</v>
      </c>
      <c r="U267" t="s">
        <v>59</v>
      </c>
      <c r="V267">
        <v>19</v>
      </c>
      <c r="W267" t="s">
        <v>45</v>
      </c>
      <c r="X267">
        <v>10</v>
      </c>
      <c r="Y267">
        <v>3</v>
      </c>
      <c r="Z267" t="s">
        <v>61</v>
      </c>
      <c r="AA267">
        <v>0</v>
      </c>
      <c r="AB267" t="s">
        <v>48</v>
      </c>
      <c r="AC267">
        <v>0</v>
      </c>
      <c r="AD267" t="s">
        <v>48</v>
      </c>
      <c r="AE267">
        <v>0</v>
      </c>
      <c r="AF267" t="s">
        <v>49</v>
      </c>
    </row>
    <row r="268" spans="1:32" x14ac:dyDescent="0.25">
      <c r="A268">
        <v>31</v>
      </c>
      <c r="B268" t="s">
        <v>32</v>
      </c>
      <c r="C268" t="s">
        <v>50</v>
      </c>
      <c r="D268" t="s">
        <v>34</v>
      </c>
      <c r="E268" t="s">
        <v>52</v>
      </c>
      <c r="F268">
        <v>23</v>
      </c>
      <c r="G268" t="s">
        <v>66</v>
      </c>
      <c r="H268">
        <v>2</v>
      </c>
      <c r="I268" t="s">
        <v>37</v>
      </c>
      <c r="J268" t="s">
        <v>54</v>
      </c>
      <c r="K268">
        <v>2</v>
      </c>
      <c r="L268" t="s">
        <v>55</v>
      </c>
      <c r="M268">
        <v>2</v>
      </c>
      <c r="N268" t="s">
        <v>40</v>
      </c>
      <c r="O268" t="s">
        <v>70</v>
      </c>
      <c r="P268">
        <v>4</v>
      </c>
      <c r="Q268" t="s">
        <v>42</v>
      </c>
      <c r="R268" t="s">
        <v>58</v>
      </c>
      <c r="S268">
        <v>0</v>
      </c>
      <c r="T268" t="s">
        <v>44</v>
      </c>
      <c r="U268" t="s">
        <v>59</v>
      </c>
      <c r="V268">
        <v>21</v>
      </c>
      <c r="W268" t="s">
        <v>60</v>
      </c>
      <c r="X268">
        <v>10</v>
      </c>
      <c r="Y268">
        <v>3</v>
      </c>
      <c r="Z268" t="s">
        <v>61</v>
      </c>
      <c r="AA268">
        <v>9</v>
      </c>
      <c r="AB268" t="s">
        <v>47</v>
      </c>
      <c r="AC268">
        <v>0</v>
      </c>
      <c r="AD268" t="s">
        <v>48</v>
      </c>
      <c r="AE268">
        <v>7</v>
      </c>
      <c r="AF268" t="s">
        <v>71</v>
      </c>
    </row>
    <row r="269" spans="1:32" x14ac:dyDescent="0.25">
      <c r="A269">
        <v>25</v>
      </c>
      <c r="B269" t="s">
        <v>63</v>
      </c>
      <c r="C269" t="s">
        <v>50</v>
      </c>
      <c r="D269" t="s">
        <v>34</v>
      </c>
      <c r="E269" t="s">
        <v>52</v>
      </c>
      <c r="F269">
        <v>5</v>
      </c>
      <c r="G269" t="s">
        <v>36</v>
      </c>
      <c r="H269">
        <v>2</v>
      </c>
      <c r="I269" t="s">
        <v>37</v>
      </c>
      <c r="J269" t="s">
        <v>54</v>
      </c>
      <c r="K269">
        <v>4</v>
      </c>
      <c r="L269" t="s">
        <v>65</v>
      </c>
      <c r="M269">
        <v>2</v>
      </c>
      <c r="N269" t="s">
        <v>40</v>
      </c>
      <c r="O269" t="s">
        <v>70</v>
      </c>
      <c r="P269">
        <v>1</v>
      </c>
      <c r="Q269" t="s">
        <v>57</v>
      </c>
      <c r="R269" t="s">
        <v>67</v>
      </c>
      <c r="S269">
        <v>1</v>
      </c>
      <c r="T269" t="s">
        <v>44</v>
      </c>
      <c r="U269" t="s">
        <v>59</v>
      </c>
      <c r="V269">
        <v>12</v>
      </c>
      <c r="W269" t="s">
        <v>45</v>
      </c>
      <c r="X269">
        <v>6</v>
      </c>
      <c r="Y269">
        <v>3</v>
      </c>
      <c r="Z269" t="s">
        <v>61</v>
      </c>
      <c r="AA269">
        <v>6</v>
      </c>
      <c r="AB269" t="s">
        <v>47</v>
      </c>
      <c r="AC269">
        <v>3</v>
      </c>
      <c r="AD269" t="s">
        <v>48</v>
      </c>
      <c r="AE269">
        <v>1</v>
      </c>
      <c r="AF269" t="s">
        <v>49</v>
      </c>
    </row>
    <row r="270" spans="1:32" x14ac:dyDescent="0.25">
      <c r="A270">
        <v>45</v>
      </c>
      <c r="B270" t="s">
        <v>32</v>
      </c>
      <c r="C270" t="s">
        <v>50</v>
      </c>
      <c r="D270" t="s">
        <v>34</v>
      </c>
      <c r="E270" t="s">
        <v>52</v>
      </c>
      <c r="F270">
        <v>20</v>
      </c>
      <c r="G270" t="s">
        <v>66</v>
      </c>
      <c r="H270">
        <v>3</v>
      </c>
      <c r="I270" t="s">
        <v>42</v>
      </c>
      <c r="J270" t="s">
        <v>54</v>
      </c>
      <c r="K270">
        <v>3</v>
      </c>
      <c r="L270" t="s">
        <v>39</v>
      </c>
      <c r="M270">
        <v>4</v>
      </c>
      <c r="N270" t="s">
        <v>72</v>
      </c>
      <c r="O270" t="s">
        <v>70</v>
      </c>
      <c r="P270">
        <v>4</v>
      </c>
      <c r="Q270" t="s">
        <v>42</v>
      </c>
      <c r="R270" t="s">
        <v>58</v>
      </c>
      <c r="S270">
        <v>0</v>
      </c>
      <c r="T270" t="s">
        <v>44</v>
      </c>
      <c r="U270" t="s">
        <v>44</v>
      </c>
      <c r="V270">
        <v>14</v>
      </c>
      <c r="W270" t="s">
        <v>45</v>
      </c>
      <c r="X270">
        <v>21</v>
      </c>
      <c r="Y270">
        <v>3</v>
      </c>
      <c r="Z270" t="s">
        <v>61</v>
      </c>
      <c r="AA270">
        <v>20</v>
      </c>
      <c r="AB270" t="s">
        <v>74</v>
      </c>
      <c r="AC270">
        <v>7</v>
      </c>
      <c r="AD270" t="s">
        <v>47</v>
      </c>
      <c r="AE270">
        <v>4</v>
      </c>
      <c r="AF270" t="s">
        <v>71</v>
      </c>
    </row>
    <row r="271" spans="1:32" x14ac:dyDescent="0.25">
      <c r="A271">
        <v>36</v>
      </c>
      <c r="B271" t="s">
        <v>32</v>
      </c>
      <c r="C271" t="s">
        <v>50</v>
      </c>
      <c r="D271" t="s">
        <v>34</v>
      </c>
      <c r="E271" t="s">
        <v>52</v>
      </c>
      <c r="F271">
        <v>6</v>
      </c>
      <c r="G271" t="s">
        <v>53</v>
      </c>
      <c r="H271">
        <v>4</v>
      </c>
      <c r="I271" t="s">
        <v>42</v>
      </c>
      <c r="J271" t="s">
        <v>54</v>
      </c>
      <c r="K271">
        <v>3</v>
      </c>
      <c r="L271" t="s">
        <v>39</v>
      </c>
      <c r="M271">
        <v>1</v>
      </c>
      <c r="N271" t="s">
        <v>40</v>
      </c>
      <c r="O271" t="s">
        <v>62</v>
      </c>
      <c r="P271">
        <v>4</v>
      </c>
      <c r="Q271" t="s">
        <v>42</v>
      </c>
      <c r="R271" t="s">
        <v>58</v>
      </c>
      <c r="S271">
        <v>0</v>
      </c>
      <c r="T271" t="s">
        <v>44</v>
      </c>
      <c r="U271" t="s">
        <v>59</v>
      </c>
      <c r="V271">
        <v>11</v>
      </c>
      <c r="W271" t="s">
        <v>45</v>
      </c>
      <c r="X271">
        <v>16</v>
      </c>
      <c r="Y271">
        <v>3</v>
      </c>
      <c r="Z271" t="s">
        <v>61</v>
      </c>
      <c r="AA271">
        <v>15</v>
      </c>
      <c r="AB271" t="s">
        <v>74</v>
      </c>
      <c r="AC271">
        <v>13</v>
      </c>
      <c r="AD271" t="s">
        <v>74</v>
      </c>
      <c r="AE271">
        <v>10</v>
      </c>
      <c r="AF271" t="s">
        <v>71</v>
      </c>
    </row>
    <row r="272" spans="1:32" x14ac:dyDescent="0.25">
      <c r="A272">
        <v>55</v>
      </c>
      <c r="B272" t="s">
        <v>64</v>
      </c>
      <c r="C272" t="s">
        <v>50</v>
      </c>
      <c r="D272" t="s">
        <v>34</v>
      </c>
      <c r="E272" t="s">
        <v>52</v>
      </c>
      <c r="F272">
        <v>1</v>
      </c>
      <c r="G272" t="s">
        <v>36</v>
      </c>
      <c r="H272">
        <v>4</v>
      </c>
      <c r="I272" t="s">
        <v>42</v>
      </c>
      <c r="J272" t="s">
        <v>54</v>
      </c>
      <c r="K272">
        <v>3</v>
      </c>
      <c r="L272" t="s">
        <v>39</v>
      </c>
      <c r="M272">
        <v>5</v>
      </c>
      <c r="N272" t="s">
        <v>72</v>
      </c>
      <c r="O272" t="s">
        <v>73</v>
      </c>
      <c r="P272">
        <v>1</v>
      </c>
      <c r="Q272" t="s">
        <v>57</v>
      </c>
      <c r="R272" t="s">
        <v>43</v>
      </c>
      <c r="S272">
        <v>0</v>
      </c>
      <c r="T272" t="s">
        <v>44</v>
      </c>
      <c r="U272" t="s">
        <v>44</v>
      </c>
      <c r="V272">
        <v>14</v>
      </c>
      <c r="W272" t="s">
        <v>45</v>
      </c>
      <c r="X272">
        <v>37</v>
      </c>
      <c r="Y272">
        <v>3</v>
      </c>
      <c r="Z272" t="s">
        <v>61</v>
      </c>
      <c r="AA272">
        <v>36</v>
      </c>
      <c r="AB272" t="s">
        <v>74</v>
      </c>
      <c r="AC272">
        <v>10</v>
      </c>
      <c r="AD272" t="s">
        <v>47</v>
      </c>
      <c r="AE272">
        <v>4</v>
      </c>
      <c r="AF272" t="s">
        <v>71</v>
      </c>
    </row>
    <row r="273" spans="1:32" x14ac:dyDescent="0.25">
      <c r="A273">
        <v>47</v>
      </c>
      <c r="B273" t="s">
        <v>32</v>
      </c>
      <c r="C273" t="s">
        <v>33</v>
      </c>
      <c r="D273" t="s">
        <v>34</v>
      </c>
      <c r="E273" t="s">
        <v>52</v>
      </c>
      <c r="F273">
        <v>29</v>
      </c>
      <c r="G273" t="s">
        <v>66</v>
      </c>
      <c r="H273">
        <v>1</v>
      </c>
      <c r="I273" t="s">
        <v>37</v>
      </c>
      <c r="J273" t="s">
        <v>54</v>
      </c>
      <c r="K273">
        <v>3</v>
      </c>
      <c r="L273" t="s">
        <v>39</v>
      </c>
      <c r="M273">
        <v>3</v>
      </c>
      <c r="N273" t="s">
        <v>68</v>
      </c>
      <c r="O273" t="s">
        <v>73</v>
      </c>
      <c r="P273">
        <v>2</v>
      </c>
      <c r="Q273" t="s">
        <v>57</v>
      </c>
      <c r="R273" t="s">
        <v>58</v>
      </c>
      <c r="S273">
        <v>1</v>
      </c>
      <c r="T273" t="s">
        <v>44</v>
      </c>
      <c r="U273" t="s">
        <v>44</v>
      </c>
      <c r="V273">
        <v>12</v>
      </c>
      <c r="W273" t="s">
        <v>45</v>
      </c>
      <c r="X273">
        <v>10</v>
      </c>
      <c r="Y273">
        <v>2</v>
      </c>
      <c r="Z273" t="s">
        <v>46</v>
      </c>
      <c r="AA273">
        <v>10</v>
      </c>
      <c r="AB273" t="s">
        <v>47</v>
      </c>
      <c r="AC273">
        <v>7</v>
      </c>
      <c r="AD273" t="s">
        <v>47</v>
      </c>
      <c r="AE273">
        <v>9</v>
      </c>
      <c r="AF273" t="s">
        <v>71</v>
      </c>
    </row>
    <row r="274" spans="1:32" x14ac:dyDescent="0.25">
      <c r="A274">
        <v>28</v>
      </c>
      <c r="B274" t="s">
        <v>63</v>
      </c>
      <c r="C274" t="s">
        <v>50</v>
      </c>
      <c r="D274" t="s">
        <v>34</v>
      </c>
      <c r="E274" t="s">
        <v>52</v>
      </c>
      <c r="F274">
        <v>9</v>
      </c>
      <c r="G274" t="s">
        <v>53</v>
      </c>
      <c r="H274">
        <v>4</v>
      </c>
      <c r="I274" t="s">
        <v>42</v>
      </c>
      <c r="J274" t="s">
        <v>54</v>
      </c>
      <c r="K274">
        <v>3</v>
      </c>
      <c r="L274" t="s">
        <v>39</v>
      </c>
      <c r="M274">
        <v>1</v>
      </c>
      <c r="N274" t="s">
        <v>40</v>
      </c>
      <c r="O274" t="s">
        <v>56</v>
      </c>
      <c r="P274">
        <v>4</v>
      </c>
      <c r="Q274" t="s">
        <v>42</v>
      </c>
      <c r="R274" t="s">
        <v>58</v>
      </c>
      <c r="S274">
        <v>1</v>
      </c>
      <c r="T274" t="s">
        <v>44</v>
      </c>
      <c r="U274" t="s">
        <v>59</v>
      </c>
      <c r="V274">
        <v>23</v>
      </c>
      <c r="W274" t="s">
        <v>60</v>
      </c>
      <c r="X274">
        <v>5</v>
      </c>
      <c r="Y274">
        <v>2</v>
      </c>
      <c r="Z274" t="s">
        <v>46</v>
      </c>
      <c r="AA274">
        <v>5</v>
      </c>
      <c r="AB274" t="s">
        <v>47</v>
      </c>
      <c r="AC274">
        <v>2</v>
      </c>
      <c r="AD274" t="s">
        <v>48</v>
      </c>
      <c r="AE274">
        <v>0</v>
      </c>
      <c r="AF274" t="s">
        <v>49</v>
      </c>
    </row>
    <row r="275" spans="1:32" x14ac:dyDescent="0.25">
      <c r="A275">
        <v>37</v>
      </c>
      <c r="B275" t="s">
        <v>32</v>
      </c>
      <c r="C275" t="s">
        <v>50</v>
      </c>
      <c r="D275" t="s">
        <v>34</v>
      </c>
      <c r="E275" t="s">
        <v>35</v>
      </c>
      <c r="F275">
        <v>6</v>
      </c>
      <c r="G275" t="s">
        <v>53</v>
      </c>
      <c r="H275">
        <v>3</v>
      </c>
      <c r="I275" t="s">
        <v>42</v>
      </c>
      <c r="J275" t="s">
        <v>54</v>
      </c>
      <c r="K275">
        <v>3</v>
      </c>
      <c r="L275" t="s">
        <v>39</v>
      </c>
      <c r="M275">
        <v>2</v>
      </c>
      <c r="N275" t="s">
        <v>40</v>
      </c>
      <c r="O275" t="s">
        <v>41</v>
      </c>
      <c r="P275">
        <v>4</v>
      </c>
      <c r="Q275" t="s">
        <v>42</v>
      </c>
      <c r="R275" t="s">
        <v>58</v>
      </c>
      <c r="S275">
        <v>4</v>
      </c>
      <c r="T275" t="s">
        <v>44</v>
      </c>
      <c r="U275" t="s">
        <v>59</v>
      </c>
      <c r="V275">
        <v>14</v>
      </c>
      <c r="W275" t="s">
        <v>45</v>
      </c>
      <c r="X275">
        <v>7</v>
      </c>
      <c r="Y275">
        <v>4</v>
      </c>
      <c r="Z275" t="s">
        <v>61</v>
      </c>
      <c r="AA275">
        <v>5</v>
      </c>
      <c r="AB275" t="s">
        <v>47</v>
      </c>
      <c r="AC275">
        <v>4</v>
      </c>
      <c r="AD275" t="s">
        <v>48</v>
      </c>
      <c r="AE275">
        <v>0</v>
      </c>
      <c r="AF275" t="s">
        <v>49</v>
      </c>
    </row>
    <row r="276" spans="1:32" x14ac:dyDescent="0.25">
      <c r="A276">
        <v>21</v>
      </c>
      <c r="B276" t="s">
        <v>63</v>
      </c>
      <c r="C276" t="s">
        <v>50</v>
      </c>
      <c r="D276" t="s">
        <v>34</v>
      </c>
      <c r="E276" t="s">
        <v>52</v>
      </c>
      <c r="F276">
        <v>3</v>
      </c>
      <c r="G276" t="s">
        <v>36</v>
      </c>
      <c r="H276">
        <v>4</v>
      </c>
      <c r="I276" t="s">
        <v>42</v>
      </c>
      <c r="J276" t="s">
        <v>54</v>
      </c>
      <c r="K276">
        <v>2</v>
      </c>
      <c r="L276" t="s">
        <v>55</v>
      </c>
      <c r="M276">
        <v>1</v>
      </c>
      <c r="N276" t="s">
        <v>40</v>
      </c>
      <c r="O276" t="s">
        <v>56</v>
      </c>
      <c r="P276">
        <v>3</v>
      </c>
      <c r="Q276" t="s">
        <v>42</v>
      </c>
      <c r="R276" t="s">
        <v>43</v>
      </c>
      <c r="S276">
        <v>1</v>
      </c>
      <c r="T276" t="s">
        <v>44</v>
      </c>
      <c r="U276" t="s">
        <v>59</v>
      </c>
      <c r="V276">
        <v>17</v>
      </c>
      <c r="W276" t="s">
        <v>45</v>
      </c>
      <c r="X276">
        <v>3</v>
      </c>
      <c r="Y276">
        <v>4</v>
      </c>
      <c r="Z276" t="s">
        <v>61</v>
      </c>
      <c r="AA276">
        <v>3</v>
      </c>
      <c r="AB276" t="s">
        <v>48</v>
      </c>
      <c r="AC276">
        <v>2</v>
      </c>
      <c r="AD276" t="s">
        <v>48</v>
      </c>
      <c r="AE276">
        <v>1</v>
      </c>
      <c r="AF276" t="s">
        <v>49</v>
      </c>
    </row>
    <row r="277" spans="1:32" x14ac:dyDescent="0.25">
      <c r="A277">
        <v>37</v>
      </c>
      <c r="B277" t="s">
        <v>32</v>
      </c>
      <c r="C277" t="s">
        <v>50</v>
      </c>
      <c r="D277" t="s">
        <v>34</v>
      </c>
      <c r="E277" t="s">
        <v>52</v>
      </c>
      <c r="F277">
        <v>1</v>
      </c>
      <c r="G277" t="s">
        <v>36</v>
      </c>
      <c r="H277">
        <v>1</v>
      </c>
      <c r="I277" t="s">
        <v>37</v>
      </c>
      <c r="J277" t="s">
        <v>38</v>
      </c>
      <c r="K277">
        <v>3</v>
      </c>
      <c r="L277" t="s">
        <v>39</v>
      </c>
      <c r="M277">
        <v>3</v>
      </c>
      <c r="N277" t="s">
        <v>68</v>
      </c>
      <c r="O277" t="s">
        <v>76</v>
      </c>
      <c r="P277">
        <v>4</v>
      </c>
      <c r="Q277" t="s">
        <v>42</v>
      </c>
      <c r="R277" t="s">
        <v>67</v>
      </c>
      <c r="S277">
        <v>2</v>
      </c>
      <c r="T277" t="s">
        <v>44</v>
      </c>
      <c r="U277" t="s">
        <v>44</v>
      </c>
      <c r="V277">
        <v>18</v>
      </c>
      <c r="W277" t="s">
        <v>45</v>
      </c>
      <c r="X277">
        <v>15</v>
      </c>
      <c r="Y277">
        <v>3</v>
      </c>
      <c r="Z277" t="s">
        <v>61</v>
      </c>
      <c r="AA277">
        <v>5</v>
      </c>
      <c r="AB277" t="s">
        <v>47</v>
      </c>
      <c r="AC277">
        <v>2</v>
      </c>
      <c r="AD277" t="s">
        <v>48</v>
      </c>
      <c r="AE277">
        <v>0</v>
      </c>
      <c r="AF277" t="s">
        <v>49</v>
      </c>
    </row>
    <row r="278" spans="1:32" x14ac:dyDescent="0.25">
      <c r="A278">
        <v>35</v>
      </c>
      <c r="B278" t="s">
        <v>32</v>
      </c>
      <c r="C278" t="s">
        <v>50</v>
      </c>
      <c r="D278" t="s">
        <v>34</v>
      </c>
      <c r="E278" t="s">
        <v>52</v>
      </c>
      <c r="F278">
        <v>22</v>
      </c>
      <c r="G278" t="s">
        <v>66</v>
      </c>
      <c r="H278">
        <v>2</v>
      </c>
      <c r="I278" t="s">
        <v>37</v>
      </c>
      <c r="J278" t="s">
        <v>38</v>
      </c>
      <c r="K278">
        <v>4</v>
      </c>
      <c r="L278" t="s">
        <v>65</v>
      </c>
      <c r="M278">
        <v>3</v>
      </c>
      <c r="N278" t="s">
        <v>68</v>
      </c>
      <c r="O278" t="s">
        <v>73</v>
      </c>
      <c r="P278">
        <v>2</v>
      </c>
      <c r="Q278" t="s">
        <v>57</v>
      </c>
      <c r="R278" t="s">
        <v>67</v>
      </c>
      <c r="S278">
        <v>7</v>
      </c>
      <c r="T278" t="s">
        <v>44</v>
      </c>
      <c r="U278" t="s">
        <v>59</v>
      </c>
      <c r="V278">
        <v>18</v>
      </c>
      <c r="W278" t="s">
        <v>45</v>
      </c>
      <c r="X278">
        <v>10</v>
      </c>
      <c r="Y278">
        <v>2</v>
      </c>
      <c r="Z278" t="s">
        <v>46</v>
      </c>
      <c r="AA278">
        <v>7</v>
      </c>
      <c r="AB278" t="s">
        <v>47</v>
      </c>
      <c r="AC278">
        <v>7</v>
      </c>
      <c r="AD278" t="s">
        <v>47</v>
      </c>
      <c r="AE278">
        <v>6</v>
      </c>
      <c r="AF278" t="s">
        <v>71</v>
      </c>
    </row>
    <row r="279" spans="1:32" x14ac:dyDescent="0.25">
      <c r="A279">
        <v>38</v>
      </c>
      <c r="B279" t="s">
        <v>32</v>
      </c>
      <c r="C279" t="s">
        <v>50</v>
      </c>
      <c r="D279" t="s">
        <v>34</v>
      </c>
      <c r="E279" t="s">
        <v>35</v>
      </c>
      <c r="F279">
        <v>7</v>
      </c>
      <c r="G279" t="s">
        <v>53</v>
      </c>
      <c r="H279">
        <v>1</v>
      </c>
      <c r="I279" t="s">
        <v>37</v>
      </c>
      <c r="J279" t="s">
        <v>38</v>
      </c>
      <c r="K279">
        <v>4</v>
      </c>
      <c r="L279" t="s">
        <v>65</v>
      </c>
      <c r="M279">
        <v>2</v>
      </c>
      <c r="N279" t="s">
        <v>40</v>
      </c>
      <c r="O279" t="s">
        <v>41</v>
      </c>
      <c r="P279">
        <v>1</v>
      </c>
      <c r="Q279" t="s">
        <v>57</v>
      </c>
      <c r="R279" t="s">
        <v>67</v>
      </c>
      <c r="S279">
        <v>1</v>
      </c>
      <c r="T279" t="s">
        <v>44</v>
      </c>
      <c r="U279" t="s">
        <v>44</v>
      </c>
      <c r="V279">
        <v>24</v>
      </c>
      <c r="W279" t="s">
        <v>60</v>
      </c>
      <c r="X279">
        <v>8</v>
      </c>
      <c r="Y279">
        <v>3</v>
      </c>
      <c r="Z279" t="s">
        <v>61</v>
      </c>
      <c r="AA279">
        <v>8</v>
      </c>
      <c r="AB279" t="s">
        <v>47</v>
      </c>
      <c r="AC279">
        <v>0</v>
      </c>
      <c r="AD279" t="s">
        <v>48</v>
      </c>
      <c r="AE279">
        <v>7</v>
      </c>
      <c r="AF279" t="s">
        <v>71</v>
      </c>
    </row>
    <row r="280" spans="1:32" x14ac:dyDescent="0.25">
      <c r="A280">
        <v>26</v>
      </c>
      <c r="B280" t="s">
        <v>63</v>
      </c>
      <c r="C280" t="s">
        <v>50</v>
      </c>
      <c r="D280" t="s">
        <v>51</v>
      </c>
      <c r="E280" t="s">
        <v>52</v>
      </c>
      <c r="F280">
        <v>1</v>
      </c>
      <c r="G280" t="s">
        <v>36</v>
      </c>
      <c r="H280">
        <v>3</v>
      </c>
      <c r="I280" t="s">
        <v>42</v>
      </c>
      <c r="J280" t="s">
        <v>38</v>
      </c>
      <c r="K280">
        <v>3</v>
      </c>
      <c r="L280" t="s">
        <v>39</v>
      </c>
      <c r="M280">
        <v>2</v>
      </c>
      <c r="N280" t="s">
        <v>40</v>
      </c>
      <c r="O280" t="s">
        <v>69</v>
      </c>
      <c r="P280">
        <v>2</v>
      </c>
      <c r="Q280" t="s">
        <v>57</v>
      </c>
      <c r="R280" t="s">
        <v>67</v>
      </c>
      <c r="S280">
        <v>1</v>
      </c>
      <c r="T280" t="s">
        <v>44</v>
      </c>
      <c r="U280" t="s">
        <v>59</v>
      </c>
      <c r="V280">
        <v>20</v>
      </c>
      <c r="W280" t="s">
        <v>60</v>
      </c>
      <c r="X280">
        <v>6</v>
      </c>
      <c r="Y280">
        <v>1</v>
      </c>
      <c r="Z280" t="s">
        <v>46</v>
      </c>
      <c r="AA280">
        <v>6</v>
      </c>
      <c r="AB280" t="s">
        <v>47</v>
      </c>
      <c r="AC280">
        <v>5</v>
      </c>
      <c r="AD280" t="s">
        <v>47</v>
      </c>
      <c r="AE280">
        <v>1</v>
      </c>
      <c r="AF280" t="s">
        <v>49</v>
      </c>
    </row>
    <row r="281" spans="1:32" x14ac:dyDescent="0.25">
      <c r="A281">
        <v>50</v>
      </c>
      <c r="B281" t="s">
        <v>32</v>
      </c>
      <c r="C281" t="s">
        <v>50</v>
      </c>
      <c r="D281" t="s">
        <v>34</v>
      </c>
      <c r="E281" t="s">
        <v>52</v>
      </c>
      <c r="F281">
        <v>4</v>
      </c>
      <c r="G281" t="s">
        <v>36</v>
      </c>
      <c r="H281">
        <v>1</v>
      </c>
      <c r="I281" t="s">
        <v>37</v>
      </c>
      <c r="J281" t="s">
        <v>54</v>
      </c>
      <c r="K281">
        <v>3</v>
      </c>
      <c r="L281" t="s">
        <v>39</v>
      </c>
      <c r="M281">
        <v>5</v>
      </c>
      <c r="N281" t="s">
        <v>72</v>
      </c>
      <c r="O281" t="s">
        <v>76</v>
      </c>
      <c r="P281">
        <v>2</v>
      </c>
      <c r="Q281" t="s">
        <v>57</v>
      </c>
      <c r="R281" t="s">
        <v>67</v>
      </c>
      <c r="S281">
        <v>3</v>
      </c>
      <c r="T281" t="s">
        <v>44</v>
      </c>
      <c r="U281" t="s">
        <v>59</v>
      </c>
      <c r="V281">
        <v>14</v>
      </c>
      <c r="W281" t="s">
        <v>45</v>
      </c>
      <c r="X281">
        <v>28</v>
      </c>
      <c r="Y281">
        <v>2</v>
      </c>
      <c r="Z281" t="s">
        <v>46</v>
      </c>
      <c r="AA281">
        <v>10</v>
      </c>
      <c r="AB281" t="s">
        <v>47</v>
      </c>
      <c r="AC281">
        <v>4</v>
      </c>
      <c r="AD281" t="s">
        <v>48</v>
      </c>
      <c r="AE281">
        <v>1</v>
      </c>
      <c r="AF281" t="s">
        <v>49</v>
      </c>
    </row>
    <row r="282" spans="1:32" x14ac:dyDescent="0.25">
      <c r="A282">
        <v>53</v>
      </c>
      <c r="B282" t="s">
        <v>64</v>
      </c>
      <c r="C282" t="s">
        <v>50</v>
      </c>
      <c r="D282" t="s">
        <v>34</v>
      </c>
      <c r="E282" t="s">
        <v>52</v>
      </c>
      <c r="F282">
        <v>3</v>
      </c>
      <c r="G282" t="s">
        <v>36</v>
      </c>
      <c r="H282">
        <v>3</v>
      </c>
      <c r="I282" t="s">
        <v>42</v>
      </c>
      <c r="J282" t="s">
        <v>54</v>
      </c>
      <c r="K282">
        <v>3</v>
      </c>
      <c r="L282" t="s">
        <v>39</v>
      </c>
      <c r="M282">
        <v>4</v>
      </c>
      <c r="N282" t="s">
        <v>72</v>
      </c>
      <c r="O282" t="s">
        <v>76</v>
      </c>
      <c r="P282">
        <v>3</v>
      </c>
      <c r="Q282" t="s">
        <v>42</v>
      </c>
      <c r="R282" t="s">
        <v>58</v>
      </c>
      <c r="S282">
        <v>3</v>
      </c>
      <c r="T282" t="s">
        <v>44</v>
      </c>
      <c r="U282" t="s">
        <v>44</v>
      </c>
      <c r="V282">
        <v>16</v>
      </c>
      <c r="W282" t="s">
        <v>45</v>
      </c>
      <c r="X282">
        <v>21</v>
      </c>
      <c r="Y282">
        <v>2</v>
      </c>
      <c r="Z282" t="s">
        <v>46</v>
      </c>
      <c r="AA282">
        <v>5</v>
      </c>
      <c r="AB282" t="s">
        <v>47</v>
      </c>
      <c r="AC282">
        <v>3</v>
      </c>
      <c r="AD282" t="s">
        <v>48</v>
      </c>
      <c r="AE282">
        <v>1</v>
      </c>
      <c r="AF282" t="s">
        <v>49</v>
      </c>
    </row>
    <row r="283" spans="1:32" x14ac:dyDescent="0.25">
      <c r="A283">
        <v>42</v>
      </c>
      <c r="B283" t="s">
        <v>32</v>
      </c>
      <c r="C283" t="s">
        <v>50</v>
      </c>
      <c r="D283" t="s">
        <v>34</v>
      </c>
      <c r="E283" t="s">
        <v>35</v>
      </c>
      <c r="F283">
        <v>1</v>
      </c>
      <c r="G283" t="s">
        <v>36</v>
      </c>
      <c r="H283">
        <v>2</v>
      </c>
      <c r="I283" t="s">
        <v>37</v>
      </c>
      <c r="J283" t="s">
        <v>54</v>
      </c>
      <c r="K283">
        <v>3</v>
      </c>
      <c r="L283" t="s">
        <v>39</v>
      </c>
      <c r="M283">
        <v>2</v>
      </c>
      <c r="N283" t="s">
        <v>40</v>
      </c>
      <c r="O283" t="s">
        <v>41</v>
      </c>
      <c r="P283">
        <v>3</v>
      </c>
      <c r="Q283" t="s">
        <v>42</v>
      </c>
      <c r="R283" t="s">
        <v>58</v>
      </c>
      <c r="S283">
        <v>1</v>
      </c>
      <c r="T283" t="s">
        <v>44</v>
      </c>
      <c r="U283" t="s">
        <v>59</v>
      </c>
      <c r="V283">
        <v>25</v>
      </c>
      <c r="W283" t="s">
        <v>60</v>
      </c>
      <c r="X283">
        <v>20</v>
      </c>
      <c r="Y283">
        <v>3</v>
      </c>
      <c r="Z283" t="s">
        <v>61</v>
      </c>
      <c r="AA283">
        <v>20</v>
      </c>
      <c r="AB283" t="s">
        <v>74</v>
      </c>
      <c r="AC283">
        <v>16</v>
      </c>
      <c r="AD283" t="s">
        <v>74</v>
      </c>
      <c r="AE283">
        <v>11</v>
      </c>
      <c r="AF283" t="s">
        <v>71</v>
      </c>
    </row>
    <row r="284" spans="1:32" x14ac:dyDescent="0.25">
      <c r="A284">
        <v>29</v>
      </c>
      <c r="B284" t="s">
        <v>63</v>
      </c>
      <c r="C284" t="s">
        <v>50</v>
      </c>
      <c r="D284" t="s">
        <v>51</v>
      </c>
      <c r="E284" t="s">
        <v>35</v>
      </c>
      <c r="F284">
        <v>2</v>
      </c>
      <c r="G284" t="s">
        <v>36</v>
      </c>
      <c r="H284">
        <v>2</v>
      </c>
      <c r="I284" t="s">
        <v>37</v>
      </c>
      <c r="J284" t="s">
        <v>54</v>
      </c>
      <c r="K284">
        <v>3</v>
      </c>
      <c r="L284" t="s">
        <v>39</v>
      </c>
      <c r="M284">
        <v>2</v>
      </c>
      <c r="N284" t="s">
        <v>40</v>
      </c>
      <c r="O284" t="s">
        <v>41</v>
      </c>
      <c r="P284">
        <v>4</v>
      </c>
      <c r="Q284" t="s">
        <v>42</v>
      </c>
      <c r="R284" t="s">
        <v>43</v>
      </c>
      <c r="S284">
        <v>1</v>
      </c>
      <c r="T284" t="s">
        <v>44</v>
      </c>
      <c r="U284" t="s">
        <v>59</v>
      </c>
      <c r="V284">
        <v>18</v>
      </c>
      <c r="W284" t="s">
        <v>45</v>
      </c>
      <c r="X284">
        <v>10</v>
      </c>
      <c r="Y284">
        <v>2</v>
      </c>
      <c r="Z284" t="s">
        <v>46</v>
      </c>
      <c r="AA284">
        <v>10</v>
      </c>
      <c r="AB284" t="s">
        <v>47</v>
      </c>
      <c r="AC284">
        <v>7</v>
      </c>
      <c r="AD284" t="s">
        <v>47</v>
      </c>
      <c r="AE284">
        <v>0</v>
      </c>
      <c r="AF284" t="s">
        <v>49</v>
      </c>
    </row>
    <row r="285" spans="1:32" x14ac:dyDescent="0.25">
      <c r="A285">
        <v>55</v>
      </c>
      <c r="B285" t="s">
        <v>64</v>
      </c>
      <c r="C285" t="s">
        <v>50</v>
      </c>
      <c r="D285" t="s">
        <v>34</v>
      </c>
      <c r="E285" t="s">
        <v>52</v>
      </c>
      <c r="F285">
        <v>20</v>
      </c>
      <c r="G285" t="s">
        <v>66</v>
      </c>
      <c r="H285">
        <v>2</v>
      </c>
      <c r="I285" t="s">
        <v>37</v>
      </c>
      <c r="J285" t="s">
        <v>54</v>
      </c>
      <c r="K285">
        <v>3</v>
      </c>
      <c r="L285" t="s">
        <v>39</v>
      </c>
      <c r="M285">
        <v>2</v>
      </c>
      <c r="N285" t="s">
        <v>40</v>
      </c>
      <c r="O285" t="s">
        <v>62</v>
      </c>
      <c r="P285">
        <v>4</v>
      </c>
      <c r="Q285" t="s">
        <v>42</v>
      </c>
      <c r="R285" t="s">
        <v>58</v>
      </c>
      <c r="S285">
        <v>3</v>
      </c>
      <c r="T285" t="s">
        <v>44</v>
      </c>
      <c r="U285" t="s">
        <v>44</v>
      </c>
      <c r="V285">
        <v>19</v>
      </c>
      <c r="W285" t="s">
        <v>45</v>
      </c>
      <c r="X285">
        <v>12</v>
      </c>
      <c r="Y285">
        <v>3</v>
      </c>
      <c r="Z285" t="s">
        <v>61</v>
      </c>
      <c r="AA285">
        <v>10</v>
      </c>
      <c r="AB285" t="s">
        <v>47</v>
      </c>
      <c r="AC285">
        <v>7</v>
      </c>
      <c r="AD285" t="s">
        <v>47</v>
      </c>
      <c r="AE285">
        <v>0</v>
      </c>
      <c r="AF285" t="s">
        <v>49</v>
      </c>
    </row>
    <row r="286" spans="1:32" x14ac:dyDescent="0.25">
      <c r="A286">
        <v>26</v>
      </c>
      <c r="B286" t="s">
        <v>63</v>
      </c>
      <c r="C286" t="s">
        <v>50</v>
      </c>
      <c r="D286" t="s">
        <v>51</v>
      </c>
      <c r="E286" t="s">
        <v>52</v>
      </c>
      <c r="F286">
        <v>11</v>
      </c>
      <c r="G286" t="s">
        <v>53</v>
      </c>
      <c r="H286">
        <v>1</v>
      </c>
      <c r="I286" t="s">
        <v>37</v>
      </c>
      <c r="J286" t="s">
        <v>54</v>
      </c>
      <c r="K286">
        <v>3</v>
      </c>
      <c r="L286" t="s">
        <v>39</v>
      </c>
      <c r="M286">
        <v>2</v>
      </c>
      <c r="N286" t="s">
        <v>40</v>
      </c>
      <c r="O286" t="s">
        <v>70</v>
      </c>
      <c r="P286">
        <v>1</v>
      </c>
      <c r="Q286" t="s">
        <v>57</v>
      </c>
      <c r="R286" t="s">
        <v>58</v>
      </c>
      <c r="S286">
        <v>1</v>
      </c>
      <c r="T286" t="s">
        <v>44</v>
      </c>
      <c r="U286" t="s">
        <v>44</v>
      </c>
      <c r="V286">
        <v>13</v>
      </c>
      <c r="W286" t="s">
        <v>45</v>
      </c>
      <c r="X286">
        <v>5</v>
      </c>
      <c r="Y286">
        <v>3</v>
      </c>
      <c r="Z286" t="s">
        <v>61</v>
      </c>
      <c r="AA286">
        <v>5</v>
      </c>
      <c r="AB286" t="s">
        <v>47</v>
      </c>
      <c r="AC286">
        <v>3</v>
      </c>
      <c r="AD286" t="s">
        <v>48</v>
      </c>
      <c r="AE286">
        <v>3</v>
      </c>
      <c r="AF286" t="s">
        <v>49</v>
      </c>
    </row>
    <row r="287" spans="1:32" x14ac:dyDescent="0.25">
      <c r="A287">
        <v>37</v>
      </c>
      <c r="B287" t="s">
        <v>32</v>
      </c>
      <c r="C287" t="s">
        <v>50</v>
      </c>
      <c r="D287" t="s">
        <v>34</v>
      </c>
      <c r="E287" t="s">
        <v>52</v>
      </c>
      <c r="F287">
        <v>1</v>
      </c>
      <c r="G287" t="s">
        <v>36</v>
      </c>
      <c r="H287">
        <v>4</v>
      </c>
      <c r="I287" t="s">
        <v>42</v>
      </c>
      <c r="J287" t="s">
        <v>38</v>
      </c>
      <c r="K287">
        <v>3</v>
      </c>
      <c r="L287" t="s">
        <v>39</v>
      </c>
      <c r="M287">
        <v>1</v>
      </c>
      <c r="N287" t="s">
        <v>40</v>
      </c>
      <c r="O287" t="s">
        <v>56</v>
      </c>
      <c r="P287">
        <v>4</v>
      </c>
      <c r="Q287" t="s">
        <v>42</v>
      </c>
      <c r="R287" t="s">
        <v>43</v>
      </c>
      <c r="S287">
        <v>1</v>
      </c>
      <c r="T287" t="s">
        <v>44</v>
      </c>
      <c r="U287" t="s">
        <v>59</v>
      </c>
      <c r="V287">
        <v>12</v>
      </c>
      <c r="W287" t="s">
        <v>45</v>
      </c>
      <c r="X287">
        <v>17</v>
      </c>
      <c r="Y287">
        <v>3</v>
      </c>
      <c r="Z287" t="s">
        <v>61</v>
      </c>
      <c r="AA287">
        <v>17</v>
      </c>
      <c r="AB287" t="s">
        <v>74</v>
      </c>
      <c r="AC287">
        <v>12</v>
      </c>
      <c r="AD287" t="s">
        <v>74</v>
      </c>
      <c r="AE287">
        <v>5</v>
      </c>
      <c r="AF287" t="s">
        <v>71</v>
      </c>
    </row>
    <row r="288" spans="1:32" x14ac:dyDescent="0.25">
      <c r="A288">
        <v>44</v>
      </c>
      <c r="B288" t="s">
        <v>32</v>
      </c>
      <c r="C288" t="s">
        <v>33</v>
      </c>
      <c r="D288" t="s">
        <v>51</v>
      </c>
      <c r="E288" t="s">
        <v>52</v>
      </c>
      <c r="F288">
        <v>24</v>
      </c>
      <c r="G288" t="s">
        <v>66</v>
      </c>
      <c r="H288">
        <v>4</v>
      </c>
      <c r="I288" t="s">
        <v>42</v>
      </c>
      <c r="J288" t="s">
        <v>54</v>
      </c>
      <c r="K288">
        <v>3</v>
      </c>
      <c r="L288" t="s">
        <v>39</v>
      </c>
      <c r="M288">
        <v>1</v>
      </c>
      <c r="N288" t="s">
        <v>40</v>
      </c>
      <c r="O288" t="s">
        <v>62</v>
      </c>
      <c r="P288">
        <v>3</v>
      </c>
      <c r="Q288" t="s">
        <v>42</v>
      </c>
      <c r="R288" t="s">
        <v>67</v>
      </c>
      <c r="S288">
        <v>3</v>
      </c>
      <c r="T288" t="s">
        <v>44</v>
      </c>
      <c r="U288" t="s">
        <v>44</v>
      </c>
      <c r="V288">
        <v>22</v>
      </c>
      <c r="W288" t="s">
        <v>60</v>
      </c>
      <c r="X288">
        <v>19</v>
      </c>
      <c r="Y288">
        <v>1</v>
      </c>
      <c r="Z288" t="s">
        <v>46</v>
      </c>
      <c r="AA288">
        <v>1</v>
      </c>
      <c r="AB288" t="s">
        <v>48</v>
      </c>
      <c r="AC288">
        <v>0</v>
      </c>
      <c r="AD288" t="s">
        <v>48</v>
      </c>
      <c r="AE288">
        <v>0</v>
      </c>
      <c r="AF288" t="s">
        <v>49</v>
      </c>
    </row>
    <row r="289" spans="1:32" x14ac:dyDescent="0.25">
      <c r="A289">
        <v>38</v>
      </c>
      <c r="B289" t="s">
        <v>32</v>
      </c>
      <c r="C289" t="s">
        <v>50</v>
      </c>
      <c r="D289" t="s">
        <v>34</v>
      </c>
      <c r="E289" t="s">
        <v>52</v>
      </c>
      <c r="F289">
        <v>23</v>
      </c>
      <c r="G289" t="s">
        <v>66</v>
      </c>
      <c r="H289">
        <v>4</v>
      </c>
      <c r="I289" t="s">
        <v>42</v>
      </c>
      <c r="J289" t="s">
        <v>54</v>
      </c>
      <c r="K289">
        <v>3</v>
      </c>
      <c r="L289" t="s">
        <v>39</v>
      </c>
      <c r="M289">
        <v>2</v>
      </c>
      <c r="N289" t="s">
        <v>40</v>
      </c>
      <c r="O289" t="s">
        <v>70</v>
      </c>
      <c r="P289">
        <v>4</v>
      </c>
      <c r="Q289" t="s">
        <v>42</v>
      </c>
      <c r="R289" t="s">
        <v>67</v>
      </c>
      <c r="S289">
        <v>9</v>
      </c>
      <c r="T289" t="s">
        <v>44</v>
      </c>
      <c r="U289" t="s">
        <v>59</v>
      </c>
      <c r="V289">
        <v>14</v>
      </c>
      <c r="W289" t="s">
        <v>45</v>
      </c>
      <c r="X289">
        <v>10</v>
      </c>
      <c r="Y289">
        <v>3</v>
      </c>
      <c r="Z289" t="s">
        <v>61</v>
      </c>
      <c r="AA289">
        <v>2</v>
      </c>
      <c r="AB289" t="s">
        <v>48</v>
      </c>
      <c r="AC289">
        <v>2</v>
      </c>
      <c r="AD289" t="s">
        <v>48</v>
      </c>
      <c r="AE289">
        <v>1</v>
      </c>
      <c r="AF289" t="s">
        <v>49</v>
      </c>
    </row>
    <row r="290" spans="1:32" x14ac:dyDescent="0.25">
      <c r="A290">
        <v>26</v>
      </c>
      <c r="B290" t="s">
        <v>63</v>
      </c>
      <c r="C290" t="s">
        <v>33</v>
      </c>
      <c r="D290" t="s">
        <v>34</v>
      </c>
      <c r="E290" t="s">
        <v>52</v>
      </c>
      <c r="F290">
        <v>16</v>
      </c>
      <c r="G290" t="s">
        <v>66</v>
      </c>
      <c r="H290">
        <v>1</v>
      </c>
      <c r="I290" t="s">
        <v>37</v>
      </c>
      <c r="J290" t="s">
        <v>54</v>
      </c>
      <c r="K290">
        <v>3</v>
      </c>
      <c r="L290" t="s">
        <v>39</v>
      </c>
      <c r="M290">
        <v>1</v>
      </c>
      <c r="N290" t="s">
        <v>40</v>
      </c>
      <c r="O290" t="s">
        <v>62</v>
      </c>
      <c r="P290">
        <v>2</v>
      </c>
      <c r="Q290" t="s">
        <v>57</v>
      </c>
      <c r="R290" t="s">
        <v>67</v>
      </c>
      <c r="S290">
        <v>2</v>
      </c>
      <c r="T290" t="s">
        <v>44</v>
      </c>
      <c r="U290" t="s">
        <v>44</v>
      </c>
      <c r="V290">
        <v>13</v>
      </c>
      <c r="W290" t="s">
        <v>45</v>
      </c>
      <c r="X290">
        <v>5</v>
      </c>
      <c r="Y290">
        <v>3</v>
      </c>
      <c r="Z290" t="s">
        <v>61</v>
      </c>
      <c r="AA290">
        <v>3</v>
      </c>
      <c r="AB290" t="s">
        <v>48</v>
      </c>
      <c r="AC290">
        <v>2</v>
      </c>
      <c r="AD290" t="s">
        <v>48</v>
      </c>
      <c r="AE290">
        <v>0</v>
      </c>
      <c r="AF290" t="s">
        <v>49</v>
      </c>
    </row>
    <row r="291" spans="1:32" x14ac:dyDescent="0.25">
      <c r="A291">
        <v>28</v>
      </c>
      <c r="B291" t="s">
        <v>63</v>
      </c>
      <c r="C291" t="s">
        <v>50</v>
      </c>
      <c r="D291" t="s">
        <v>34</v>
      </c>
      <c r="E291" t="s">
        <v>52</v>
      </c>
      <c r="F291">
        <v>8</v>
      </c>
      <c r="G291" t="s">
        <v>53</v>
      </c>
      <c r="H291">
        <v>4</v>
      </c>
      <c r="I291" t="s">
        <v>42</v>
      </c>
      <c r="J291" t="s">
        <v>38</v>
      </c>
      <c r="K291">
        <v>3</v>
      </c>
      <c r="L291" t="s">
        <v>39</v>
      </c>
      <c r="M291">
        <v>1</v>
      </c>
      <c r="N291" t="s">
        <v>40</v>
      </c>
      <c r="O291" t="s">
        <v>56</v>
      </c>
      <c r="P291">
        <v>4</v>
      </c>
      <c r="Q291" t="s">
        <v>42</v>
      </c>
      <c r="R291" t="s">
        <v>43</v>
      </c>
      <c r="S291">
        <v>1</v>
      </c>
      <c r="T291" t="s">
        <v>44</v>
      </c>
      <c r="U291" t="s">
        <v>59</v>
      </c>
      <c r="V291">
        <v>21</v>
      </c>
      <c r="W291" t="s">
        <v>60</v>
      </c>
      <c r="X291">
        <v>5</v>
      </c>
      <c r="Y291">
        <v>3</v>
      </c>
      <c r="Z291" t="s">
        <v>61</v>
      </c>
      <c r="AA291">
        <v>5</v>
      </c>
      <c r="AB291" t="s">
        <v>47</v>
      </c>
      <c r="AC291">
        <v>3</v>
      </c>
      <c r="AD291" t="s">
        <v>48</v>
      </c>
      <c r="AE291">
        <v>0</v>
      </c>
      <c r="AF291" t="s">
        <v>49</v>
      </c>
    </row>
    <row r="292" spans="1:32" x14ac:dyDescent="0.25">
      <c r="A292">
        <v>49</v>
      </c>
      <c r="B292" t="s">
        <v>32</v>
      </c>
      <c r="C292" t="s">
        <v>50</v>
      </c>
      <c r="D292" t="s">
        <v>51</v>
      </c>
      <c r="E292" t="s">
        <v>52</v>
      </c>
      <c r="F292">
        <v>10</v>
      </c>
      <c r="G292" t="s">
        <v>53</v>
      </c>
      <c r="H292">
        <v>3</v>
      </c>
      <c r="I292" t="s">
        <v>42</v>
      </c>
      <c r="J292" t="s">
        <v>38</v>
      </c>
      <c r="K292">
        <v>3</v>
      </c>
      <c r="L292" t="s">
        <v>39</v>
      </c>
      <c r="M292">
        <v>5</v>
      </c>
      <c r="N292" t="s">
        <v>72</v>
      </c>
      <c r="O292" t="s">
        <v>76</v>
      </c>
      <c r="P292">
        <v>1</v>
      </c>
      <c r="Q292" t="s">
        <v>57</v>
      </c>
      <c r="R292" t="s">
        <v>43</v>
      </c>
      <c r="S292">
        <v>9</v>
      </c>
      <c r="T292" t="s">
        <v>44</v>
      </c>
      <c r="U292" t="s">
        <v>44</v>
      </c>
      <c r="V292">
        <v>11</v>
      </c>
      <c r="W292" t="s">
        <v>45</v>
      </c>
      <c r="X292">
        <v>22</v>
      </c>
      <c r="Y292">
        <v>3</v>
      </c>
      <c r="Z292" t="s">
        <v>61</v>
      </c>
      <c r="AA292">
        <v>3</v>
      </c>
      <c r="AB292" t="s">
        <v>48</v>
      </c>
      <c r="AC292">
        <v>2</v>
      </c>
      <c r="AD292" t="s">
        <v>48</v>
      </c>
      <c r="AE292">
        <v>1</v>
      </c>
      <c r="AF292" t="s">
        <v>49</v>
      </c>
    </row>
    <row r="293" spans="1:32" x14ac:dyDescent="0.25">
      <c r="A293">
        <v>36</v>
      </c>
      <c r="B293" t="s">
        <v>32</v>
      </c>
      <c r="C293" t="s">
        <v>50</v>
      </c>
      <c r="D293" t="s">
        <v>34</v>
      </c>
      <c r="E293" t="s">
        <v>52</v>
      </c>
      <c r="F293">
        <v>3</v>
      </c>
      <c r="G293" t="s">
        <v>36</v>
      </c>
      <c r="H293">
        <v>3</v>
      </c>
      <c r="I293" t="s">
        <v>42</v>
      </c>
      <c r="J293" t="s">
        <v>54</v>
      </c>
      <c r="K293">
        <v>3</v>
      </c>
      <c r="L293" t="s">
        <v>39</v>
      </c>
      <c r="M293">
        <v>2</v>
      </c>
      <c r="N293" t="s">
        <v>40</v>
      </c>
      <c r="O293" t="s">
        <v>56</v>
      </c>
      <c r="P293">
        <v>2</v>
      </c>
      <c r="Q293" t="s">
        <v>57</v>
      </c>
      <c r="R293" t="s">
        <v>43</v>
      </c>
      <c r="S293">
        <v>4</v>
      </c>
      <c r="T293" t="s">
        <v>44</v>
      </c>
      <c r="U293" t="s">
        <v>59</v>
      </c>
      <c r="V293">
        <v>12</v>
      </c>
      <c r="W293" t="s">
        <v>45</v>
      </c>
      <c r="X293">
        <v>10</v>
      </c>
      <c r="Y293">
        <v>3</v>
      </c>
      <c r="Z293" t="s">
        <v>61</v>
      </c>
      <c r="AA293">
        <v>8</v>
      </c>
      <c r="AB293" t="s">
        <v>47</v>
      </c>
      <c r="AC293">
        <v>0</v>
      </c>
      <c r="AD293" t="s">
        <v>48</v>
      </c>
      <c r="AE293">
        <v>7</v>
      </c>
      <c r="AF293" t="s">
        <v>71</v>
      </c>
    </row>
    <row r="294" spans="1:32" x14ac:dyDescent="0.25">
      <c r="A294">
        <v>31</v>
      </c>
      <c r="B294" t="s">
        <v>32</v>
      </c>
      <c r="C294" t="s">
        <v>50</v>
      </c>
      <c r="D294" t="s">
        <v>51</v>
      </c>
      <c r="E294" t="s">
        <v>35</v>
      </c>
      <c r="F294">
        <v>5</v>
      </c>
      <c r="G294" t="s">
        <v>36</v>
      </c>
      <c r="H294">
        <v>4</v>
      </c>
      <c r="I294" t="s">
        <v>42</v>
      </c>
      <c r="J294" t="s">
        <v>38</v>
      </c>
      <c r="K294">
        <v>3</v>
      </c>
      <c r="L294" t="s">
        <v>39</v>
      </c>
      <c r="M294">
        <v>1</v>
      </c>
      <c r="N294" t="s">
        <v>40</v>
      </c>
      <c r="O294" t="s">
        <v>75</v>
      </c>
      <c r="P294">
        <v>2</v>
      </c>
      <c r="Q294" t="s">
        <v>57</v>
      </c>
      <c r="R294" t="s">
        <v>67</v>
      </c>
      <c r="S294">
        <v>1</v>
      </c>
      <c r="T294" t="s">
        <v>44</v>
      </c>
      <c r="U294" t="s">
        <v>59</v>
      </c>
      <c r="V294">
        <v>11</v>
      </c>
      <c r="W294" t="s">
        <v>45</v>
      </c>
      <c r="X294">
        <v>2</v>
      </c>
      <c r="Y294">
        <v>2</v>
      </c>
      <c r="Z294" t="s">
        <v>46</v>
      </c>
      <c r="AA294">
        <v>2</v>
      </c>
      <c r="AB294" t="s">
        <v>48</v>
      </c>
      <c r="AC294">
        <v>2</v>
      </c>
      <c r="AD294" t="s">
        <v>48</v>
      </c>
      <c r="AE294">
        <v>2</v>
      </c>
      <c r="AF294" t="s">
        <v>49</v>
      </c>
    </row>
    <row r="295" spans="1:32" x14ac:dyDescent="0.25">
      <c r="A295">
        <v>26</v>
      </c>
      <c r="B295" t="s">
        <v>63</v>
      </c>
      <c r="C295" t="s">
        <v>33</v>
      </c>
      <c r="D295" t="s">
        <v>34</v>
      </c>
      <c r="E295" t="s">
        <v>35</v>
      </c>
      <c r="F295">
        <v>4</v>
      </c>
      <c r="G295" t="s">
        <v>36</v>
      </c>
      <c r="H295">
        <v>4</v>
      </c>
      <c r="I295" t="s">
        <v>42</v>
      </c>
      <c r="J295" t="s">
        <v>54</v>
      </c>
      <c r="K295">
        <v>2</v>
      </c>
      <c r="L295" t="s">
        <v>55</v>
      </c>
      <c r="M295">
        <v>2</v>
      </c>
      <c r="N295" t="s">
        <v>40</v>
      </c>
      <c r="O295" t="s">
        <v>41</v>
      </c>
      <c r="P295">
        <v>4</v>
      </c>
      <c r="Q295" t="s">
        <v>42</v>
      </c>
      <c r="R295" t="s">
        <v>43</v>
      </c>
      <c r="S295">
        <v>1</v>
      </c>
      <c r="T295" t="s">
        <v>44</v>
      </c>
      <c r="U295" t="s">
        <v>44</v>
      </c>
      <c r="V295">
        <v>12</v>
      </c>
      <c r="W295" t="s">
        <v>45</v>
      </c>
      <c r="X295">
        <v>8</v>
      </c>
      <c r="Y295">
        <v>3</v>
      </c>
      <c r="Z295" t="s">
        <v>61</v>
      </c>
      <c r="AA295">
        <v>8</v>
      </c>
      <c r="AB295" t="s">
        <v>47</v>
      </c>
      <c r="AC295">
        <v>7</v>
      </c>
      <c r="AD295" t="s">
        <v>47</v>
      </c>
      <c r="AE295">
        <v>7</v>
      </c>
      <c r="AF295" t="s">
        <v>71</v>
      </c>
    </row>
    <row r="296" spans="1:32" x14ac:dyDescent="0.25">
      <c r="A296">
        <v>37</v>
      </c>
      <c r="B296" t="s">
        <v>32</v>
      </c>
      <c r="C296" t="s">
        <v>50</v>
      </c>
      <c r="D296" t="s">
        <v>51</v>
      </c>
      <c r="E296" t="s">
        <v>52</v>
      </c>
      <c r="F296">
        <v>9</v>
      </c>
      <c r="G296" t="s">
        <v>53</v>
      </c>
      <c r="H296">
        <v>2</v>
      </c>
      <c r="I296" t="s">
        <v>37</v>
      </c>
      <c r="J296" t="s">
        <v>54</v>
      </c>
      <c r="K296">
        <v>3</v>
      </c>
      <c r="L296" t="s">
        <v>39</v>
      </c>
      <c r="M296">
        <v>1</v>
      </c>
      <c r="N296" t="s">
        <v>40</v>
      </c>
      <c r="O296" t="s">
        <v>56</v>
      </c>
      <c r="P296">
        <v>4</v>
      </c>
      <c r="Q296" t="s">
        <v>42</v>
      </c>
      <c r="R296" t="s">
        <v>58</v>
      </c>
      <c r="S296">
        <v>1</v>
      </c>
      <c r="T296" t="s">
        <v>44</v>
      </c>
      <c r="U296" t="s">
        <v>44</v>
      </c>
      <c r="V296">
        <v>12</v>
      </c>
      <c r="W296" t="s">
        <v>45</v>
      </c>
      <c r="X296">
        <v>4</v>
      </c>
      <c r="Y296">
        <v>2</v>
      </c>
      <c r="Z296" t="s">
        <v>46</v>
      </c>
      <c r="AA296">
        <v>4</v>
      </c>
      <c r="AB296" t="s">
        <v>48</v>
      </c>
      <c r="AC296">
        <v>2</v>
      </c>
      <c r="AD296" t="s">
        <v>48</v>
      </c>
      <c r="AE296">
        <v>1</v>
      </c>
      <c r="AF296" t="s">
        <v>49</v>
      </c>
    </row>
    <row r="297" spans="1:32" x14ac:dyDescent="0.25">
      <c r="A297">
        <v>42</v>
      </c>
      <c r="B297" t="s">
        <v>32</v>
      </c>
      <c r="C297" t="s">
        <v>50</v>
      </c>
      <c r="D297" t="s">
        <v>51</v>
      </c>
      <c r="E297" t="s">
        <v>35</v>
      </c>
      <c r="F297">
        <v>26</v>
      </c>
      <c r="G297" t="s">
        <v>66</v>
      </c>
      <c r="H297">
        <v>3</v>
      </c>
      <c r="I297" t="s">
        <v>42</v>
      </c>
      <c r="J297" t="s">
        <v>38</v>
      </c>
      <c r="K297">
        <v>3</v>
      </c>
      <c r="L297" t="s">
        <v>39</v>
      </c>
      <c r="M297">
        <v>4</v>
      </c>
      <c r="N297" t="s">
        <v>72</v>
      </c>
      <c r="O297" t="s">
        <v>41</v>
      </c>
      <c r="P297">
        <v>2</v>
      </c>
      <c r="Q297" t="s">
        <v>57</v>
      </c>
      <c r="R297" t="s">
        <v>58</v>
      </c>
      <c r="S297">
        <v>5</v>
      </c>
      <c r="T297" t="s">
        <v>44</v>
      </c>
      <c r="U297" t="s">
        <v>59</v>
      </c>
      <c r="V297">
        <v>14</v>
      </c>
      <c r="W297" t="s">
        <v>45</v>
      </c>
      <c r="X297">
        <v>23</v>
      </c>
      <c r="Y297">
        <v>4</v>
      </c>
      <c r="Z297" t="s">
        <v>61</v>
      </c>
      <c r="AA297">
        <v>20</v>
      </c>
      <c r="AB297" t="s">
        <v>74</v>
      </c>
      <c r="AC297">
        <v>4</v>
      </c>
      <c r="AD297" t="s">
        <v>48</v>
      </c>
      <c r="AE297">
        <v>4</v>
      </c>
      <c r="AF297" t="s">
        <v>71</v>
      </c>
    </row>
    <row r="298" spans="1:32" x14ac:dyDescent="0.25">
      <c r="A298">
        <v>18</v>
      </c>
      <c r="B298" t="s">
        <v>63</v>
      </c>
      <c r="C298" t="s">
        <v>33</v>
      </c>
      <c r="D298" t="s">
        <v>34</v>
      </c>
      <c r="E298" t="s">
        <v>52</v>
      </c>
      <c r="F298">
        <v>3</v>
      </c>
      <c r="G298" t="s">
        <v>36</v>
      </c>
      <c r="H298">
        <v>3</v>
      </c>
      <c r="I298" t="s">
        <v>42</v>
      </c>
      <c r="J298" t="s">
        <v>54</v>
      </c>
      <c r="K298">
        <v>3</v>
      </c>
      <c r="L298" t="s">
        <v>39</v>
      </c>
      <c r="M298">
        <v>1</v>
      </c>
      <c r="N298" t="s">
        <v>40</v>
      </c>
      <c r="O298" t="s">
        <v>62</v>
      </c>
      <c r="P298">
        <v>3</v>
      </c>
      <c r="Q298" t="s">
        <v>42</v>
      </c>
      <c r="R298" t="s">
        <v>43</v>
      </c>
      <c r="S298">
        <v>1</v>
      </c>
      <c r="T298" t="s">
        <v>44</v>
      </c>
      <c r="U298" t="s">
        <v>59</v>
      </c>
      <c r="V298">
        <v>13</v>
      </c>
      <c r="W298" t="s">
        <v>45</v>
      </c>
      <c r="X298">
        <v>0</v>
      </c>
      <c r="Y298">
        <v>3</v>
      </c>
      <c r="Z298" t="s">
        <v>61</v>
      </c>
      <c r="AA298">
        <v>0</v>
      </c>
      <c r="AB298" t="s">
        <v>48</v>
      </c>
      <c r="AC298">
        <v>0</v>
      </c>
      <c r="AD298" t="s">
        <v>48</v>
      </c>
      <c r="AE298">
        <v>0</v>
      </c>
      <c r="AF298" t="s">
        <v>49</v>
      </c>
    </row>
    <row r="299" spans="1:32" x14ac:dyDescent="0.25">
      <c r="A299">
        <v>35</v>
      </c>
      <c r="B299" t="s">
        <v>32</v>
      </c>
      <c r="C299" t="s">
        <v>50</v>
      </c>
      <c r="D299" t="s">
        <v>34</v>
      </c>
      <c r="E299" t="s">
        <v>35</v>
      </c>
      <c r="F299">
        <v>16</v>
      </c>
      <c r="G299" t="s">
        <v>66</v>
      </c>
      <c r="H299">
        <v>3</v>
      </c>
      <c r="I299" t="s">
        <v>42</v>
      </c>
      <c r="J299" t="s">
        <v>54</v>
      </c>
      <c r="K299">
        <v>3</v>
      </c>
      <c r="L299" t="s">
        <v>39</v>
      </c>
      <c r="M299">
        <v>3</v>
      </c>
      <c r="N299" t="s">
        <v>68</v>
      </c>
      <c r="O299" t="s">
        <v>41</v>
      </c>
      <c r="P299">
        <v>2</v>
      </c>
      <c r="Q299" t="s">
        <v>57</v>
      </c>
      <c r="R299" t="s">
        <v>58</v>
      </c>
      <c r="S299">
        <v>0</v>
      </c>
      <c r="T299" t="s">
        <v>44</v>
      </c>
      <c r="U299" t="s">
        <v>59</v>
      </c>
      <c r="V299">
        <v>15</v>
      </c>
      <c r="W299" t="s">
        <v>45</v>
      </c>
      <c r="X299">
        <v>12</v>
      </c>
      <c r="Y299">
        <v>2</v>
      </c>
      <c r="Z299" t="s">
        <v>46</v>
      </c>
      <c r="AA299">
        <v>11</v>
      </c>
      <c r="AB299" t="s">
        <v>74</v>
      </c>
      <c r="AC299">
        <v>9</v>
      </c>
      <c r="AD299" t="s">
        <v>47</v>
      </c>
      <c r="AE299">
        <v>6</v>
      </c>
      <c r="AF299" t="s">
        <v>71</v>
      </c>
    </row>
    <row r="300" spans="1:32" x14ac:dyDescent="0.25">
      <c r="A300">
        <v>36</v>
      </c>
      <c r="B300" t="s">
        <v>32</v>
      </c>
      <c r="C300" t="s">
        <v>50</v>
      </c>
      <c r="D300" t="s">
        <v>51</v>
      </c>
      <c r="E300" t="s">
        <v>52</v>
      </c>
      <c r="F300">
        <v>18</v>
      </c>
      <c r="G300" t="s">
        <v>66</v>
      </c>
      <c r="H300">
        <v>3</v>
      </c>
      <c r="I300" t="s">
        <v>42</v>
      </c>
      <c r="J300" t="s">
        <v>54</v>
      </c>
      <c r="K300">
        <v>4</v>
      </c>
      <c r="L300" t="s">
        <v>65</v>
      </c>
      <c r="M300">
        <v>1</v>
      </c>
      <c r="N300" t="s">
        <v>40</v>
      </c>
      <c r="O300" t="s">
        <v>62</v>
      </c>
      <c r="P300">
        <v>4</v>
      </c>
      <c r="Q300" t="s">
        <v>42</v>
      </c>
      <c r="R300" t="s">
        <v>58</v>
      </c>
      <c r="S300">
        <v>4</v>
      </c>
      <c r="T300" t="s">
        <v>44</v>
      </c>
      <c r="U300" t="s">
        <v>59</v>
      </c>
      <c r="V300">
        <v>18</v>
      </c>
      <c r="W300" t="s">
        <v>45</v>
      </c>
      <c r="X300">
        <v>4</v>
      </c>
      <c r="Y300">
        <v>3</v>
      </c>
      <c r="Z300" t="s">
        <v>61</v>
      </c>
      <c r="AA300">
        <v>1</v>
      </c>
      <c r="AB300" t="s">
        <v>48</v>
      </c>
      <c r="AC300">
        <v>0</v>
      </c>
      <c r="AD300" t="s">
        <v>48</v>
      </c>
      <c r="AE300">
        <v>0</v>
      </c>
      <c r="AF300" t="s">
        <v>49</v>
      </c>
    </row>
    <row r="301" spans="1:32" x14ac:dyDescent="0.25">
      <c r="A301">
        <v>51</v>
      </c>
      <c r="B301" t="s">
        <v>64</v>
      </c>
      <c r="C301" t="s">
        <v>50</v>
      </c>
      <c r="D301" t="s">
        <v>34</v>
      </c>
      <c r="E301" t="s">
        <v>52</v>
      </c>
      <c r="F301">
        <v>2</v>
      </c>
      <c r="G301" t="s">
        <v>36</v>
      </c>
      <c r="H301">
        <v>4</v>
      </c>
      <c r="I301" t="s">
        <v>42</v>
      </c>
      <c r="J301" t="s">
        <v>54</v>
      </c>
      <c r="K301">
        <v>1</v>
      </c>
      <c r="L301" t="s">
        <v>55</v>
      </c>
      <c r="M301">
        <v>2</v>
      </c>
      <c r="N301" t="s">
        <v>40</v>
      </c>
      <c r="O301" t="s">
        <v>69</v>
      </c>
      <c r="P301">
        <v>2</v>
      </c>
      <c r="Q301" t="s">
        <v>57</v>
      </c>
      <c r="R301" t="s">
        <v>67</v>
      </c>
      <c r="S301">
        <v>5</v>
      </c>
      <c r="T301" t="s">
        <v>44</v>
      </c>
      <c r="U301" t="s">
        <v>59</v>
      </c>
      <c r="V301">
        <v>18</v>
      </c>
      <c r="W301" t="s">
        <v>45</v>
      </c>
      <c r="X301">
        <v>13</v>
      </c>
      <c r="Y301">
        <v>3</v>
      </c>
      <c r="Z301" t="s">
        <v>61</v>
      </c>
      <c r="AA301">
        <v>4</v>
      </c>
      <c r="AB301" t="s">
        <v>48</v>
      </c>
      <c r="AC301">
        <v>1</v>
      </c>
      <c r="AD301" t="s">
        <v>48</v>
      </c>
      <c r="AE301">
        <v>1</v>
      </c>
      <c r="AF301" t="s">
        <v>49</v>
      </c>
    </row>
    <row r="302" spans="1:32" x14ac:dyDescent="0.25">
      <c r="A302">
        <v>41</v>
      </c>
      <c r="B302" t="s">
        <v>32</v>
      </c>
      <c r="C302" t="s">
        <v>50</v>
      </c>
      <c r="D302" t="s">
        <v>34</v>
      </c>
      <c r="E302" t="s">
        <v>35</v>
      </c>
      <c r="F302">
        <v>2</v>
      </c>
      <c r="G302" t="s">
        <v>36</v>
      </c>
      <c r="H302">
        <v>4</v>
      </c>
      <c r="I302" t="s">
        <v>42</v>
      </c>
      <c r="J302" t="s">
        <v>54</v>
      </c>
      <c r="K302">
        <v>3</v>
      </c>
      <c r="L302" t="s">
        <v>39</v>
      </c>
      <c r="M302">
        <v>4</v>
      </c>
      <c r="N302" t="s">
        <v>72</v>
      </c>
      <c r="O302" t="s">
        <v>73</v>
      </c>
      <c r="P302">
        <v>2</v>
      </c>
      <c r="Q302" t="s">
        <v>57</v>
      </c>
      <c r="R302" t="s">
        <v>43</v>
      </c>
      <c r="S302">
        <v>1</v>
      </c>
      <c r="T302" t="s">
        <v>44</v>
      </c>
      <c r="U302" t="s">
        <v>59</v>
      </c>
      <c r="V302">
        <v>19</v>
      </c>
      <c r="W302" t="s">
        <v>45</v>
      </c>
      <c r="X302">
        <v>22</v>
      </c>
      <c r="Y302">
        <v>3</v>
      </c>
      <c r="Z302" t="s">
        <v>61</v>
      </c>
      <c r="AA302">
        <v>22</v>
      </c>
      <c r="AB302" t="s">
        <v>74</v>
      </c>
      <c r="AC302">
        <v>10</v>
      </c>
      <c r="AD302" t="s">
        <v>47</v>
      </c>
      <c r="AE302">
        <v>0</v>
      </c>
      <c r="AF302" t="s">
        <v>49</v>
      </c>
    </row>
    <row r="303" spans="1:32" x14ac:dyDescent="0.25">
      <c r="A303">
        <v>18</v>
      </c>
      <c r="B303" t="s">
        <v>63</v>
      </c>
      <c r="C303" t="s">
        <v>50</v>
      </c>
      <c r="D303" t="s">
        <v>34</v>
      </c>
      <c r="E303" t="s">
        <v>35</v>
      </c>
      <c r="F303">
        <v>10</v>
      </c>
      <c r="G303" t="s">
        <v>53</v>
      </c>
      <c r="H303">
        <v>4</v>
      </c>
      <c r="I303" t="s">
        <v>42</v>
      </c>
      <c r="J303" t="s">
        <v>38</v>
      </c>
      <c r="K303">
        <v>2</v>
      </c>
      <c r="L303" t="s">
        <v>55</v>
      </c>
      <c r="M303">
        <v>1</v>
      </c>
      <c r="N303" t="s">
        <v>40</v>
      </c>
      <c r="O303" t="s">
        <v>75</v>
      </c>
      <c r="P303">
        <v>3</v>
      </c>
      <c r="Q303" t="s">
        <v>42</v>
      </c>
      <c r="R303" t="s">
        <v>43</v>
      </c>
      <c r="S303">
        <v>1</v>
      </c>
      <c r="T303" t="s">
        <v>44</v>
      </c>
      <c r="U303" t="s">
        <v>59</v>
      </c>
      <c r="V303">
        <v>12</v>
      </c>
      <c r="W303" t="s">
        <v>45</v>
      </c>
      <c r="X303">
        <v>0</v>
      </c>
      <c r="Y303">
        <v>3</v>
      </c>
      <c r="Z303" t="s">
        <v>61</v>
      </c>
      <c r="AA303">
        <v>0</v>
      </c>
      <c r="AB303" t="s">
        <v>48</v>
      </c>
      <c r="AC303">
        <v>0</v>
      </c>
      <c r="AD303" t="s">
        <v>48</v>
      </c>
      <c r="AE303">
        <v>0</v>
      </c>
      <c r="AF303" t="s">
        <v>49</v>
      </c>
    </row>
    <row r="304" spans="1:32" x14ac:dyDescent="0.25">
      <c r="A304">
        <v>28</v>
      </c>
      <c r="B304" t="s">
        <v>63</v>
      </c>
      <c r="C304" t="s">
        <v>50</v>
      </c>
      <c r="D304" t="s">
        <v>34</v>
      </c>
      <c r="E304" t="s">
        <v>52</v>
      </c>
      <c r="F304">
        <v>16</v>
      </c>
      <c r="G304" t="s">
        <v>66</v>
      </c>
      <c r="H304">
        <v>2</v>
      </c>
      <c r="I304" t="s">
        <v>37</v>
      </c>
      <c r="J304" t="s">
        <v>54</v>
      </c>
      <c r="K304">
        <v>4</v>
      </c>
      <c r="L304" t="s">
        <v>65</v>
      </c>
      <c r="M304">
        <v>2</v>
      </c>
      <c r="N304" t="s">
        <v>40</v>
      </c>
      <c r="O304" t="s">
        <v>70</v>
      </c>
      <c r="P304">
        <v>1</v>
      </c>
      <c r="Q304" t="s">
        <v>57</v>
      </c>
      <c r="R304" t="s">
        <v>43</v>
      </c>
      <c r="S304">
        <v>0</v>
      </c>
      <c r="T304" t="s">
        <v>44</v>
      </c>
      <c r="U304" t="s">
        <v>59</v>
      </c>
      <c r="V304">
        <v>19</v>
      </c>
      <c r="W304" t="s">
        <v>45</v>
      </c>
      <c r="X304">
        <v>9</v>
      </c>
      <c r="Y304">
        <v>3</v>
      </c>
      <c r="Z304" t="s">
        <v>61</v>
      </c>
      <c r="AA304">
        <v>8</v>
      </c>
      <c r="AB304" t="s">
        <v>47</v>
      </c>
      <c r="AC304">
        <v>3</v>
      </c>
      <c r="AD304" t="s">
        <v>48</v>
      </c>
      <c r="AE304">
        <v>0</v>
      </c>
      <c r="AF304" t="s">
        <v>49</v>
      </c>
    </row>
    <row r="305" spans="1:32" x14ac:dyDescent="0.25">
      <c r="A305">
        <v>31</v>
      </c>
      <c r="B305" t="s">
        <v>32</v>
      </c>
      <c r="C305" t="s">
        <v>50</v>
      </c>
      <c r="D305" t="s">
        <v>34</v>
      </c>
      <c r="E305" t="s">
        <v>35</v>
      </c>
      <c r="F305">
        <v>7</v>
      </c>
      <c r="G305" t="s">
        <v>53</v>
      </c>
      <c r="H305">
        <v>2</v>
      </c>
      <c r="I305" t="s">
        <v>37</v>
      </c>
      <c r="J305" t="s">
        <v>54</v>
      </c>
      <c r="K305">
        <v>4</v>
      </c>
      <c r="L305" t="s">
        <v>65</v>
      </c>
      <c r="M305">
        <v>2</v>
      </c>
      <c r="N305" t="s">
        <v>40</v>
      </c>
      <c r="O305" t="s">
        <v>41</v>
      </c>
      <c r="P305">
        <v>4</v>
      </c>
      <c r="Q305" t="s">
        <v>42</v>
      </c>
      <c r="R305" t="s">
        <v>58</v>
      </c>
      <c r="S305">
        <v>4</v>
      </c>
      <c r="T305" t="s">
        <v>44</v>
      </c>
      <c r="U305" t="s">
        <v>59</v>
      </c>
      <c r="V305">
        <v>11</v>
      </c>
      <c r="W305" t="s">
        <v>45</v>
      </c>
      <c r="X305">
        <v>10</v>
      </c>
      <c r="Y305">
        <v>2</v>
      </c>
      <c r="Z305" t="s">
        <v>46</v>
      </c>
      <c r="AA305">
        <v>8</v>
      </c>
      <c r="AB305" t="s">
        <v>47</v>
      </c>
      <c r="AC305">
        <v>7</v>
      </c>
      <c r="AD305" t="s">
        <v>47</v>
      </c>
      <c r="AE305">
        <v>7</v>
      </c>
      <c r="AF305" t="s">
        <v>71</v>
      </c>
    </row>
    <row r="306" spans="1:32" x14ac:dyDescent="0.25">
      <c r="A306">
        <v>39</v>
      </c>
      <c r="B306" t="s">
        <v>32</v>
      </c>
      <c r="C306" t="s">
        <v>50</v>
      </c>
      <c r="D306" t="s">
        <v>34</v>
      </c>
      <c r="E306" t="s">
        <v>52</v>
      </c>
      <c r="F306">
        <v>1</v>
      </c>
      <c r="G306" t="s">
        <v>36</v>
      </c>
      <c r="H306">
        <v>3</v>
      </c>
      <c r="I306" t="s">
        <v>42</v>
      </c>
      <c r="J306" t="s">
        <v>54</v>
      </c>
      <c r="K306">
        <v>4</v>
      </c>
      <c r="L306" t="s">
        <v>65</v>
      </c>
      <c r="M306">
        <v>3</v>
      </c>
      <c r="N306" t="s">
        <v>68</v>
      </c>
      <c r="O306" t="s">
        <v>70</v>
      </c>
      <c r="P306">
        <v>4</v>
      </c>
      <c r="Q306" t="s">
        <v>42</v>
      </c>
      <c r="R306" t="s">
        <v>67</v>
      </c>
      <c r="S306">
        <v>0</v>
      </c>
      <c r="T306" t="s">
        <v>44</v>
      </c>
      <c r="U306" t="s">
        <v>59</v>
      </c>
      <c r="V306">
        <v>17</v>
      </c>
      <c r="W306" t="s">
        <v>45</v>
      </c>
      <c r="X306">
        <v>19</v>
      </c>
      <c r="Y306">
        <v>2</v>
      </c>
      <c r="Z306" t="s">
        <v>46</v>
      </c>
      <c r="AA306">
        <v>18</v>
      </c>
      <c r="AB306" t="s">
        <v>74</v>
      </c>
      <c r="AC306">
        <v>10</v>
      </c>
      <c r="AD306" t="s">
        <v>47</v>
      </c>
      <c r="AE306">
        <v>3</v>
      </c>
      <c r="AF306" t="s">
        <v>49</v>
      </c>
    </row>
    <row r="307" spans="1:32" x14ac:dyDescent="0.25">
      <c r="A307">
        <v>36</v>
      </c>
      <c r="B307" t="s">
        <v>32</v>
      </c>
      <c r="C307" t="s">
        <v>50</v>
      </c>
      <c r="D307" t="s">
        <v>34</v>
      </c>
      <c r="E307" t="s">
        <v>52</v>
      </c>
      <c r="F307">
        <v>24</v>
      </c>
      <c r="G307" t="s">
        <v>66</v>
      </c>
      <c r="H307">
        <v>2</v>
      </c>
      <c r="I307" t="s">
        <v>37</v>
      </c>
      <c r="J307" t="s">
        <v>38</v>
      </c>
      <c r="K307">
        <v>3</v>
      </c>
      <c r="L307" t="s">
        <v>39</v>
      </c>
      <c r="M307">
        <v>2</v>
      </c>
      <c r="N307" t="s">
        <v>40</v>
      </c>
      <c r="O307" t="s">
        <v>62</v>
      </c>
      <c r="P307">
        <v>2</v>
      </c>
      <c r="Q307" t="s">
        <v>57</v>
      </c>
      <c r="R307" t="s">
        <v>58</v>
      </c>
      <c r="S307">
        <v>7</v>
      </c>
      <c r="T307" t="s">
        <v>44</v>
      </c>
      <c r="U307" t="s">
        <v>59</v>
      </c>
      <c r="V307">
        <v>15</v>
      </c>
      <c r="W307" t="s">
        <v>45</v>
      </c>
      <c r="X307">
        <v>11</v>
      </c>
      <c r="Y307">
        <v>3</v>
      </c>
      <c r="Z307" t="s">
        <v>61</v>
      </c>
      <c r="AA307">
        <v>9</v>
      </c>
      <c r="AB307" t="s">
        <v>47</v>
      </c>
      <c r="AC307">
        <v>8</v>
      </c>
      <c r="AD307" t="s">
        <v>47</v>
      </c>
      <c r="AE307">
        <v>0</v>
      </c>
      <c r="AF307" t="s">
        <v>49</v>
      </c>
    </row>
    <row r="308" spans="1:32" x14ac:dyDescent="0.25">
      <c r="A308">
        <v>32</v>
      </c>
      <c r="B308" t="s">
        <v>32</v>
      </c>
      <c r="C308" t="s">
        <v>50</v>
      </c>
      <c r="D308" t="s">
        <v>34</v>
      </c>
      <c r="E308" t="s">
        <v>35</v>
      </c>
      <c r="F308">
        <v>7</v>
      </c>
      <c r="G308" t="s">
        <v>53</v>
      </c>
      <c r="H308">
        <v>4</v>
      </c>
      <c r="I308" t="s">
        <v>42</v>
      </c>
      <c r="J308" t="s">
        <v>54</v>
      </c>
      <c r="K308">
        <v>2</v>
      </c>
      <c r="L308" t="s">
        <v>55</v>
      </c>
      <c r="M308">
        <v>2</v>
      </c>
      <c r="N308" t="s">
        <v>40</v>
      </c>
      <c r="O308" t="s">
        <v>41</v>
      </c>
      <c r="P308">
        <v>3</v>
      </c>
      <c r="Q308" t="s">
        <v>42</v>
      </c>
      <c r="R308" t="s">
        <v>58</v>
      </c>
      <c r="S308">
        <v>1</v>
      </c>
      <c r="T308" t="s">
        <v>44</v>
      </c>
      <c r="U308" t="s">
        <v>59</v>
      </c>
      <c r="V308">
        <v>14</v>
      </c>
      <c r="W308" t="s">
        <v>45</v>
      </c>
      <c r="X308">
        <v>13</v>
      </c>
      <c r="Y308">
        <v>2</v>
      </c>
      <c r="Z308" t="s">
        <v>46</v>
      </c>
      <c r="AA308">
        <v>13</v>
      </c>
      <c r="AB308" t="s">
        <v>74</v>
      </c>
      <c r="AC308">
        <v>8</v>
      </c>
      <c r="AD308" t="s">
        <v>47</v>
      </c>
      <c r="AE308">
        <v>4</v>
      </c>
      <c r="AF308" t="s">
        <v>71</v>
      </c>
    </row>
    <row r="309" spans="1:32" x14ac:dyDescent="0.25">
      <c r="A309">
        <v>38</v>
      </c>
      <c r="B309" t="s">
        <v>32</v>
      </c>
      <c r="C309" t="s">
        <v>50</v>
      </c>
      <c r="D309" t="s">
        <v>34</v>
      </c>
      <c r="E309" t="s">
        <v>52</v>
      </c>
      <c r="F309">
        <v>25</v>
      </c>
      <c r="G309" t="s">
        <v>66</v>
      </c>
      <c r="H309">
        <v>1</v>
      </c>
      <c r="I309" t="s">
        <v>37</v>
      </c>
      <c r="J309" t="s">
        <v>38</v>
      </c>
      <c r="K309">
        <v>2</v>
      </c>
      <c r="L309" t="s">
        <v>55</v>
      </c>
      <c r="M309">
        <v>3</v>
      </c>
      <c r="N309" t="s">
        <v>68</v>
      </c>
      <c r="O309" t="s">
        <v>76</v>
      </c>
      <c r="P309">
        <v>2</v>
      </c>
      <c r="Q309" t="s">
        <v>57</v>
      </c>
      <c r="R309" t="s">
        <v>58</v>
      </c>
      <c r="S309">
        <v>3</v>
      </c>
      <c r="T309" t="s">
        <v>44</v>
      </c>
      <c r="U309" t="s">
        <v>59</v>
      </c>
      <c r="V309">
        <v>17</v>
      </c>
      <c r="W309" t="s">
        <v>45</v>
      </c>
      <c r="X309">
        <v>19</v>
      </c>
      <c r="Y309">
        <v>3</v>
      </c>
      <c r="Z309" t="s">
        <v>61</v>
      </c>
      <c r="AA309">
        <v>10</v>
      </c>
      <c r="AB309" t="s">
        <v>47</v>
      </c>
      <c r="AC309">
        <v>8</v>
      </c>
      <c r="AD309" t="s">
        <v>47</v>
      </c>
      <c r="AE309">
        <v>0</v>
      </c>
      <c r="AF309" t="s">
        <v>49</v>
      </c>
    </row>
    <row r="310" spans="1:32" x14ac:dyDescent="0.25">
      <c r="A310">
        <v>58</v>
      </c>
      <c r="B310" t="s">
        <v>64</v>
      </c>
      <c r="C310" t="s">
        <v>50</v>
      </c>
      <c r="D310" t="s">
        <v>34</v>
      </c>
      <c r="E310" t="s">
        <v>52</v>
      </c>
      <c r="F310">
        <v>1</v>
      </c>
      <c r="G310" t="s">
        <v>36</v>
      </c>
      <c r="H310">
        <v>4</v>
      </c>
      <c r="I310" t="s">
        <v>42</v>
      </c>
      <c r="J310" t="s">
        <v>54</v>
      </c>
      <c r="K310">
        <v>1</v>
      </c>
      <c r="L310" t="s">
        <v>55</v>
      </c>
      <c r="M310">
        <v>2</v>
      </c>
      <c r="N310" t="s">
        <v>40</v>
      </c>
      <c r="O310" t="s">
        <v>70</v>
      </c>
      <c r="P310">
        <v>3</v>
      </c>
      <c r="Q310" t="s">
        <v>42</v>
      </c>
      <c r="R310" t="s">
        <v>67</v>
      </c>
      <c r="S310">
        <v>2</v>
      </c>
      <c r="T310" t="s">
        <v>44</v>
      </c>
      <c r="U310" t="s">
        <v>44</v>
      </c>
      <c r="V310">
        <v>13</v>
      </c>
      <c r="W310" t="s">
        <v>45</v>
      </c>
      <c r="X310">
        <v>12</v>
      </c>
      <c r="Y310">
        <v>3</v>
      </c>
      <c r="Z310" t="s">
        <v>61</v>
      </c>
      <c r="AA310">
        <v>5</v>
      </c>
      <c r="AB310" t="s">
        <v>47</v>
      </c>
      <c r="AC310">
        <v>3</v>
      </c>
      <c r="AD310" t="s">
        <v>48</v>
      </c>
      <c r="AE310">
        <v>1</v>
      </c>
      <c r="AF310" t="s">
        <v>49</v>
      </c>
    </row>
    <row r="311" spans="1:32" x14ac:dyDescent="0.25">
      <c r="A311">
        <v>31</v>
      </c>
      <c r="B311" t="s">
        <v>32</v>
      </c>
      <c r="C311" t="s">
        <v>50</v>
      </c>
      <c r="D311" t="s">
        <v>34</v>
      </c>
      <c r="E311" t="s">
        <v>52</v>
      </c>
      <c r="F311">
        <v>5</v>
      </c>
      <c r="G311" t="s">
        <v>36</v>
      </c>
      <c r="H311">
        <v>3</v>
      </c>
      <c r="I311" t="s">
        <v>42</v>
      </c>
      <c r="J311" t="s">
        <v>54</v>
      </c>
      <c r="K311">
        <v>3</v>
      </c>
      <c r="L311" t="s">
        <v>39</v>
      </c>
      <c r="M311">
        <v>1</v>
      </c>
      <c r="N311" t="s">
        <v>40</v>
      </c>
      <c r="O311" t="s">
        <v>56</v>
      </c>
      <c r="P311">
        <v>4</v>
      </c>
      <c r="Q311" t="s">
        <v>42</v>
      </c>
      <c r="R311" t="s">
        <v>58</v>
      </c>
      <c r="S311">
        <v>0</v>
      </c>
      <c r="T311" t="s">
        <v>44</v>
      </c>
      <c r="U311" t="s">
        <v>44</v>
      </c>
      <c r="V311">
        <v>12</v>
      </c>
      <c r="W311" t="s">
        <v>45</v>
      </c>
      <c r="X311">
        <v>6</v>
      </c>
      <c r="Y311">
        <v>3</v>
      </c>
      <c r="Z311" t="s">
        <v>61</v>
      </c>
      <c r="AA311">
        <v>5</v>
      </c>
      <c r="AB311" t="s">
        <v>47</v>
      </c>
      <c r="AC311">
        <v>2</v>
      </c>
      <c r="AD311" t="s">
        <v>48</v>
      </c>
      <c r="AE311">
        <v>0</v>
      </c>
      <c r="AF311" t="s">
        <v>49</v>
      </c>
    </row>
    <row r="312" spans="1:32" x14ac:dyDescent="0.25">
      <c r="A312">
        <v>31</v>
      </c>
      <c r="B312" t="s">
        <v>32</v>
      </c>
      <c r="C312" t="s">
        <v>50</v>
      </c>
      <c r="D312" t="s">
        <v>34</v>
      </c>
      <c r="E312" t="s">
        <v>77</v>
      </c>
      <c r="F312">
        <v>2</v>
      </c>
      <c r="G312" t="s">
        <v>36</v>
      </c>
      <c r="H312">
        <v>1</v>
      </c>
      <c r="I312" t="s">
        <v>37</v>
      </c>
      <c r="J312" t="s">
        <v>54</v>
      </c>
      <c r="K312">
        <v>2</v>
      </c>
      <c r="L312" t="s">
        <v>55</v>
      </c>
      <c r="M312">
        <v>2</v>
      </c>
      <c r="N312" t="s">
        <v>40</v>
      </c>
      <c r="O312" t="s">
        <v>77</v>
      </c>
      <c r="P312">
        <v>1</v>
      </c>
      <c r="Q312" t="s">
        <v>57</v>
      </c>
      <c r="R312" t="s">
        <v>58</v>
      </c>
      <c r="S312">
        <v>3</v>
      </c>
      <c r="T312" t="s">
        <v>44</v>
      </c>
      <c r="U312" t="s">
        <v>59</v>
      </c>
      <c r="V312">
        <v>12</v>
      </c>
      <c r="W312" t="s">
        <v>45</v>
      </c>
      <c r="X312">
        <v>9</v>
      </c>
      <c r="Y312">
        <v>3</v>
      </c>
      <c r="Z312" t="s">
        <v>61</v>
      </c>
      <c r="AA312">
        <v>2</v>
      </c>
      <c r="AB312" t="s">
        <v>48</v>
      </c>
      <c r="AC312">
        <v>2</v>
      </c>
      <c r="AD312" t="s">
        <v>48</v>
      </c>
      <c r="AE312">
        <v>1</v>
      </c>
      <c r="AF312" t="s">
        <v>49</v>
      </c>
    </row>
    <row r="313" spans="1:32" x14ac:dyDescent="0.25">
      <c r="A313">
        <v>45</v>
      </c>
      <c r="B313" t="s">
        <v>32</v>
      </c>
      <c r="C313" t="s">
        <v>50</v>
      </c>
      <c r="D313" t="s">
        <v>51</v>
      </c>
      <c r="E313" t="s">
        <v>52</v>
      </c>
      <c r="F313">
        <v>7</v>
      </c>
      <c r="G313" t="s">
        <v>53</v>
      </c>
      <c r="H313">
        <v>1</v>
      </c>
      <c r="I313" t="s">
        <v>37</v>
      </c>
      <c r="J313" t="s">
        <v>54</v>
      </c>
      <c r="K313">
        <v>3</v>
      </c>
      <c r="L313" t="s">
        <v>39</v>
      </c>
      <c r="M313">
        <v>3</v>
      </c>
      <c r="N313" t="s">
        <v>68</v>
      </c>
      <c r="O313" t="s">
        <v>62</v>
      </c>
      <c r="P313">
        <v>1</v>
      </c>
      <c r="Q313" t="s">
        <v>57</v>
      </c>
      <c r="R313" t="s">
        <v>67</v>
      </c>
      <c r="S313">
        <v>1</v>
      </c>
      <c r="T313" t="s">
        <v>44</v>
      </c>
      <c r="U313" t="s">
        <v>59</v>
      </c>
      <c r="V313">
        <v>18</v>
      </c>
      <c r="W313" t="s">
        <v>45</v>
      </c>
      <c r="X313">
        <v>24</v>
      </c>
      <c r="Y313">
        <v>3</v>
      </c>
      <c r="Z313" t="s">
        <v>61</v>
      </c>
      <c r="AA313">
        <v>24</v>
      </c>
      <c r="AB313" t="s">
        <v>74</v>
      </c>
      <c r="AC313">
        <v>9</v>
      </c>
      <c r="AD313" t="s">
        <v>47</v>
      </c>
      <c r="AE313">
        <v>9</v>
      </c>
      <c r="AF313" t="s">
        <v>71</v>
      </c>
    </row>
    <row r="314" spans="1:32" x14ac:dyDescent="0.25">
      <c r="A314">
        <v>31</v>
      </c>
      <c r="B314" t="s">
        <v>32</v>
      </c>
      <c r="C314" t="s">
        <v>50</v>
      </c>
      <c r="D314" t="s">
        <v>34</v>
      </c>
      <c r="E314" t="s">
        <v>52</v>
      </c>
      <c r="F314">
        <v>2</v>
      </c>
      <c r="G314" t="s">
        <v>36</v>
      </c>
      <c r="H314">
        <v>3</v>
      </c>
      <c r="I314" t="s">
        <v>42</v>
      </c>
      <c r="J314" t="s">
        <v>54</v>
      </c>
      <c r="K314">
        <v>3</v>
      </c>
      <c r="L314" t="s">
        <v>39</v>
      </c>
      <c r="M314">
        <v>1</v>
      </c>
      <c r="N314" t="s">
        <v>40</v>
      </c>
      <c r="O314" t="s">
        <v>56</v>
      </c>
      <c r="P314">
        <v>4</v>
      </c>
      <c r="Q314" t="s">
        <v>42</v>
      </c>
      <c r="R314" t="s">
        <v>67</v>
      </c>
      <c r="S314">
        <v>0</v>
      </c>
      <c r="T314" t="s">
        <v>44</v>
      </c>
      <c r="U314" t="s">
        <v>44</v>
      </c>
      <c r="V314">
        <v>18</v>
      </c>
      <c r="W314" t="s">
        <v>45</v>
      </c>
      <c r="X314">
        <v>3</v>
      </c>
      <c r="Y314">
        <v>1</v>
      </c>
      <c r="Z314" t="s">
        <v>46</v>
      </c>
      <c r="AA314">
        <v>2</v>
      </c>
      <c r="AB314" t="s">
        <v>48</v>
      </c>
      <c r="AC314">
        <v>2</v>
      </c>
      <c r="AD314" t="s">
        <v>48</v>
      </c>
      <c r="AE314">
        <v>2</v>
      </c>
      <c r="AF314" t="s">
        <v>49</v>
      </c>
    </row>
    <row r="315" spans="1:32" x14ac:dyDescent="0.25">
      <c r="A315">
        <v>33</v>
      </c>
      <c r="B315" t="s">
        <v>32</v>
      </c>
      <c r="C315" t="s">
        <v>50</v>
      </c>
      <c r="D315" t="s">
        <v>51</v>
      </c>
      <c r="E315" t="s">
        <v>52</v>
      </c>
      <c r="F315">
        <v>5</v>
      </c>
      <c r="G315" t="s">
        <v>36</v>
      </c>
      <c r="H315">
        <v>4</v>
      </c>
      <c r="I315" t="s">
        <v>42</v>
      </c>
      <c r="J315" t="s">
        <v>38</v>
      </c>
      <c r="K315">
        <v>3</v>
      </c>
      <c r="L315" t="s">
        <v>39</v>
      </c>
      <c r="M315">
        <v>3</v>
      </c>
      <c r="N315" t="s">
        <v>68</v>
      </c>
      <c r="O315" t="s">
        <v>73</v>
      </c>
      <c r="P315">
        <v>2</v>
      </c>
      <c r="Q315" t="s">
        <v>57</v>
      </c>
      <c r="R315" t="s">
        <v>58</v>
      </c>
      <c r="S315">
        <v>6</v>
      </c>
      <c r="T315" t="s">
        <v>44</v>
      </c>
      <c r="U315" t="s">
        <v>59</v>
      </c>
      <c r="V315">
        <v>11</v>
      </c>
      <c r="W315" t="s">
        <v>45</v>
      </c>
      <c r="X315">
        <v>12</v>
      </c>
      <c r="Y315">
        <v>3</v>
      </c>
      <c r="Z315" t="s">
        <v>61</v>
      </c>
      <c r="AA315">
        <v>10</v>
      </c>
      <c r="AB315" t="s">
        <v>47</v>
      </c>
      <c r="AC315">
        <v>6</v>
      </c>
      <c r="AD315" t="s">
        <v>47</v>
      </c>
      <c r="AE315">
        <v>8</v>
      </c>
      <c r="AF315" t="s">
        <v>71</v>
      </c>
    </row>
    <row r="316" spans="1:32" x14ac:dyDescent="0.25">
      <c r="A316">
        <v>39</v>
      </c>
      <c r="B316" t="s">
        <v>32</v>
      </c>
      <c r="C316" t="s">
        <v>50</v>
      </c>
      <c r="D316" t="s">
        <v>34</v>
      </c>
      <c r="E316" t="s">
        <v>52</v>
      </c>
      <c r="F316">
        <v>10</v>
      </c>
      <c r="G316" t="s">
        <v>53</v>
      </c>
      <c r="H316">
        <v>3</v>
      </c>
      <c r="I316" t="s">
        <v>42</v>
      </c>
      <c r="J316" t="s">
        <v>54</v>
      </c>
      <c r="K316">
        <v>3</v>
      </c>
      <c r="L316" t="s">
        <v>39</v>
      </c>
      <c r="M316">
        <v>4</v>
      </c>
      <c r="N316" t="s">
        <v>72</v>
      </c>
      <c r="O316" t="s">
        <v>73</v>
      </c>
      <c r="P316">
        <v>1</v>
      </c>
      <c r="Q316" t="s">
        <v>57</v>
      </c>
      <c r="R316" t="s">
        <v>58</v>
      </c>
      <c r="S316">
        <v>1</v>
      </c>
      <c r="T316" t="s">
        <v>44</v>
      </c>
      <c r="U316" t="s">
        <v>44</v>
      </c>
      <c r="V316">
        <v>14</v>
      </c>
      <c r="W316" t="s">
        <v>45</v>
      </c>
      <c r="X316">
        <v>21</v>
      </c>
      <c r="Y316">
        <v>3</v>
      </c>
      <c r="Z316" t="s">
        <v>61</v>
      </c>
      <c r="AA316">
        <v>21</v>
      </c>
      <c r="AB316" t="s">
        <v>74</v>
      </c>
      <c r="AC316">
        <v>9</v>
      </c>
      <c r="AD316" t="s">
        <v>47</v>
      </c>
      <c r="AE316">
        <v>11</v>
      </c>
      <c r="AF316" t="s">
        <v>71</v>
      </c>
    </row>
    <row r="317" spans="1:32" x14ac:dyDescent="0.25">
      <c r="A317">
        <v>43</v>
      </c>
      <c r="B317" t="s">
        <v>32</v>
      </c>
      <c r="C317" t="s">
        <v>50</v>
      </c>
      <c r="D317" t="s">
        <v>51</v>
      </c>
      <c r="E317" t="s">
        <v>52</v>
      </c>
      <c r="F317">
        <v>10</v>
      </c>
      <c r="G317" t="s">
        <v>53</v>
      </c>
      <c r="H317">
        <v>3</v>
      </c>
      <c r="I317" t="s">
        <v>42</v>
      </c>
      <c r="J317" t="s">
        <v>38</v>
      </c>
      <c r="K317">
        <v>3</v>
      </c>
      <c r="L317" t="s">
        <v>39</v>
      </c>
      <c r="M317">
        <v>1</v>
      </c>
      <c r="N317" t="s">
        <v>40</v>
      </c>
      <c r="O317" t="s">
        <v>62</v>
      </c>
      <c r="P317">
        <v>4</v>
      </c>
      <c r="Q317" t="s">
        <v>42</v>
      </c>
      <c r="R317" t="s">
        <v>43</v>
      </c>
      <c r="S317">
        <v>0</v>
      </c>
      <c r="T317" t="s">
        <v>44</v>
      </c>
      <c r="U317" t="s">
        <v>59</v>
      </c>
      <c r="V317">
        <v>19</v>
      </c>
      <c r="W317" t="s">
        <v>45</v>
      </c>
      <c r="X317">
        <v>9</v>
      </c>
      <c r="Y317">
        <v>3</v>
      </c>
      <c r="Z317" t="s">
        <v>61</v>
      </c>
      <c r="AA317">
        <v>8</v>
      </c>
      <c r="AB317" t="s">
        <v>47</v>
      </c>
      <c r="AC317">
        <v>7</v>
      </c>
      <c r="AD317" t="s">
        <v>47</v>
      </c>
      <c r="AE317">
        <v>1</v>
      </c>
      <c r="AF317" t="s">
        <v>49</v>
      </c>
    </row>
    <row r="318" spans="1:32" x14ac:dyDescent="0.25">
      <c r="A318">
        <v>49</v>
      </c>
      <c r="B318" t="s">
        <v>32</v>
      </c>
      <c r="C318" t="s">
        <v>50</v>
      </c>
      <c r="D318" t="s">
        <v>34</v>
      </c>
      <c r="E318" t="s">
        <v>52</v>
      </c>
      <c r="F318">
        <v>1</v>
      </c>
      <c r="G318" t="s">
        <v>36</v>
      </c>
      <c r="H318">
        <v>3</v>
      </c>
      <c r="I318" t="s">
        <v>42</v>
      </c>
      <c r="J318" t="s">
        <v>38</v>
      </c>
      <c r="K318">
        <v>2</v>
      </c>
      <c r="L318" t="s">
        <v>55</v>
      </c>
      <c r="M318">
        <v>4</v>
      </c>
      <c r="N318" t="s">
        <v>72</v>
      </c>
      <c r="O318" t="s">
        <v>70</v>
      </c>
      <c r="P318">
        <v>3</v>
      </c>
      <c r="Q318" t="s">
        <v>42</v>
      </c>
      <c r="R318" t="s">
        <v>43</v>
      </c>
      <c r="S318">
        <v>7</v>
      </c>
      <c r="T318" t="s">
        <v>44</v>
      </c>
      <c r="U318" t="s">
        <v>44</v>
      </c>
      <c r="V318">
        <v>12</v>
      </c>
      <c r="W318" t="s">
        <v>45</v>
      </c>
      <c r="X318">
        <v>25</v>
      </c>
      <c r="Y318">
        <v>3</v>
      </c>
      <c r="Z318" t="s">
        <v>61</v>
      </c>
      <c r="AA318">
        <v>7</v>
      </c>
      <c r="AB318" t="s">
        <v>47</v>
      </c>
      <c r="AC318">
        <v>1</v>
      </c>
      <c r="AD318" t="s">
        <v>48</v>
      </c>
      <c r="AE318">
        <v>0</v>
      </c>
      <c r="AF318" t="s">
        <v>49</v>
      </c>
    </row>
    <row r="319" spans="1:32" x14ac:dyDescent="0.25">
      <c r="A319">
        <v>52</v>
      </c>
      <c r="B319" t="s">
        <v>64</v>
      </c>
      <c r="C319" t="s">
        <v>33</v>
      </c>
      <c r="D319" t="s">
        <v>34</v>
      </c>
      <c r="E319" t="s">
        <v>52</v>
      </c>
      <c r="F319">
        <v>8</v>
      </c>
      <c r="G319" t="s">
        <v>53</v>
      </c>
      <c r="H319">
        <v>3</v>
      </c>
      <c r="I319" t="s">
        <v>42</v>
      </c>
      <c r="J319" t="s">
        <v>54</v>
      </c>
      <c r="K319">
        <v>2</v>
      </c>
      <c r="L319" t="s">
        <v>55</v>
      </c>
      <c r="M319">
        <v>2</v>
      </c>
      <c r="N319" t="s">
        <v>40</v>
      </c>
      <c r="O319" t="s">
        <v>56</v>
      </c>
      <c r="P319">
        <v>2</v>
      </c>
      <c r="Q319" t="s">
        <v>57</v>
      </c>
      <c r="R319" t="s">
        <v>58</v>
      </c>
      <c r="S319">
        <v>2</v>
      </c>
      <c r="T319" t="s">
        <v>44</v>
      </c>
      <c r="U319" t="s">
        <v>59</v>
      </c>
      <c r="V319">
        <v>15</v>
      </c>
      <c r="W319" t="s">
        <v>45</v>
      </c>
      <c r="X319">
        <v>11</v>
      </c>
      <c r="Y319">
        <v>2</v>
      </c>
      <c r="Z319" t="s">
        <v>46</v>
      </c>
      <c r="AA319">
        <v>8</v>
      </c>
      <c r="AB319" t="s">
        <v>47</v>
      </c>
      <c r="AC319">
        <v>2</v>
      </c>
      <c r="AD319" t="s">
        <v>48</v>
      </c>
      <c r="AE319">
        <v>7</v>
      </c>
      <c r="AF319" t="s">
        <v>71</v>
      </c>
    </row>
    <row r="320" spans="1:32" x14ac:dyDescent="0.25">
      <c r="A320">
        <v>27</v>
      </c>
      <c r="B320" t="s">
        <v>63</v>
      </c>
      <c r="C320" t="s">
        <v>50</v>
      </c>
      <c r="D320" t="s">
        <v>34</v>
      </c>
      <c r="E320" t="s">
        <v>52</v>
      </c>
      <c r="F320">
        <v>5</v>
      </c>
      <c r="G320" t="s">
        <v>36</v>
      </c>
      <c r="H320">
        <v>3</v>
      </c>
      <c r="I320" t="s">
        <v>42</v>
      </c>
      <c r="J320" t="s">
        <v>38</v>
      </c>
      <c r="K320">
        <v>3</v>
      </c>
      <c r="L320" t="s">
        <v>39</v>
      </c>
      <c r="M320">
        <v>1</v>
      </c>
      <c r="N320" t="s">
        <v>40</v>
      </c>
      <c r="O320" t="s">
        <v>56</v>
      </c>
      <c r="P320">
        <v>2</v>
      </c>
      <c r="Q320" t="s">
        <v>57</v>
      </c>
      <c r="R320" t="s">
        <v>43</v>
      </c>
      <c r="S320">
        <v>1</v>
      </c>
      <c r="T320" t="s">
        <v>44</v>
      </c>
      <c r="U320" t="s">
        <v>44</v>
      </c>
      <c r="V320">
        <v>12</v>
      </c>
      <c r="W320" t="s">
        <v>45</v>
      </c>
      <c r="X320">
        <v>4</v>
      </c>
      <c r="Y320">
        <v>2</v>
      </c>
      <c r="Z320" t="s">
        <v>46</v>
      </c>
      <c r="AA320">
        <v>4</v>
      </c>
      <c r="AB320" t="s">
        <v>48</v>
      </c>
      <c r="AC320">
        <v>3</v>
      </c>
      <c r="AD320" t="s">
        <v>48</v>
      </c>
      <c r="AE320">
        <v>1</v>
      </c>
      <c r="AF320" t="s">
        <v>49</v>
      </c>
    </row>
    <row r="321" spans="1:32" x14ac:dyDescent="0.25">
      <c r="A321">
        <v>32</v>
      </c>
      <c r="B321" t="s">
        <v>32</v>
      </c>
      <c r="C321" t="s">
        <v>50</v>
      </c>
      <c r="D321" t="s">
        <v>34</v>
      </c>
      <c r="E321" t="s">
        <v>35</v>
      </c>
      <c r="F321">
        <v>8</v>
      </c>
      <c r="G321" t="s">
        <v>53</v>
      </c>
      <c r="H321">
        <v>3</v>
      </c>
      <c r="I321" t="s">
        <v>42</v>
      </c>
      <c r="J321" t="s">
        <v>38</v>
      </c>
      <c r="K321">
        <v>2</v>
      </c>
      <c r="L321" t="s">
        <v>55</v>
      </c>
      <c r="M321">
        <v>2</v>
      </c>
      <c r="N321" t="s">
        <v>40</v>
      </c>
      <c r="O321" t="s">
        <v>41</v>
      </c>
      <c r="P321">
        <v>2</v>
      </c>
      <c r="Q321" t="s">
        <v>57</v>
      </c>
      <c r="R321" t="s">
        <v>58</v>
      </c>
      <c r="S321">
        <v>1</v>
      </c>
      <c r="T321" t="s">
        <v>44</v>
      </c>
      <c r="U321" t="s">
        <v>44</v>
      </c>
      <c r="V321">
        <v>11</v>
      </c>
      <c r="W321" t="s">
        <v>45</v>
      </c>
      <c r="X321">
        <v>13</v>
      </c>
      <c r="Y321">
        <v>3</v>
      </c>
      <c r="Z321" t="s">
        <v>61</v>
      </c>
      <c r="AA321">
        <v>13</v>
      </c>
      <c r="AB321" t="s">
        <v>74</v>
      </c>
      <c r="AC321">
        <v>12</v>
      </c>
      <c r="AD321" t="s">
        <v>74</v>
      </c>
      <c r="AE321">
        <v>11</v>
      </c>
      <c r="AF321" t="s">
        <v>71</v>
      </c>
    </row>
    <row r="322" spans="1:32" x14ac:dyDescent="0.25">
      <c r="A322">
        <v>27</v>
      </c>
      <c r="B322" t="s">
        <v>63</v>
      </c>
      <c r="C322" t="s">
        <v>50</v>
      </c>
      <c r="D322" t="s">
        <v>34</v>
      </c>
      <c r="E322" t="s">
        <v>35</v>
      </c>
      <c r="F322">
        <v>2</v>
      </c>
      <c r="G322" t="s">
        <v>36</v>
      </c>
      <c r="H322">
        <v>4</v>
      </c>
      <c r="I322" t="s">
        <v>42</v>
      </c>
      <c r="J322" t="s">
        <v>54</v>
      </c>
      <c r="K322">
        <v>3</v>
      </c>
      <c r="L322" t="s">
        <v>39</v>
      </c>
      <c r="M322">
        <v>2</v>
      </c>
      <c r="N322" t="s">
        <v>40</v>
      </c>
      <c r="O322" t="s">
        <v>41</v>
      </c>
      <c r="P322">
        <v>3</v>
      </c>
      <c r="Q322" t="s">
        <v>42</v>
      </c>
      <c r="R322" t="s">
        <v>43</v>
      </c>
      <c r="S322">
        <v>1</v>
      </c>
      <c r="T322" t="s">
        <v>44</v>
      </c>
      <c r="U322" t="s">
        <v>44</v>
      </c>
      <c r="V322">
        <v>11</v>
      </c>
      <c r="W322" t="s">
        <v>45</v>
      </c>
      <c r="X322">
        <v>5</v>
      </c>
      <c r="Y322">
        <v>3</v>
      </c>
      <c r="Z322" t="s">
        <v>61</v>
      </c>
      <c r="AA322">
        <v>5</v>
      </c>
      <c r="AB322" t="s">
        <v>47</v>
      </c>
      <c r="AC322">
        <v>4</v>
      </c>
      <c r="AD322" t="s">
        <v>48</v>
      </c>
      <c r="AE322">
        <v>0</v>
      </c>
      <c r="AF322" t="s">
        <v>49</v>
      </c>
    </row>
    <row r="323" spans="1:32" x14ac:dyDescent="0.25">
      <c r="A323">
        <v>31</v>
      </c>
      <c r="B323" t="s">
        <v>32</v>
      </c>
      <c r="C323" t="s">
        <v>50</v>
      </c>
      <c r="D323" t="s">
        <v>34</v>
      </c>
      <c r="E323" t="s">
        <v>35</v>
      </c>
      <c r="F323">
        <v>7</v>
      </c>
      <c r="G323" t="s">
        <v>53</v>
      </c>
      <c r="H323">
        <v>4</v>
      </c>
      <c r="I323" t="s">
        <v>42</v>
      </c>
      <c r="J323" t="s">
        <v>54</v>
      </c>
      <c r="K323">
        <v>3</v>
      </c>
      <c r="L323" t="s">
        <v>39</v>
      </c>
      <c r="M323">
        <v>2</v>
      </c>
      <c r="N323" t="s">
        <v>40</v>
      </c>
      <c r="O323" t="s">
        <v>41</v>
      </c>
      <c r="P323">
        <v>4</v>
      </c>
      <c r="Q323" t="s">
        <v>42</v>
      </c>
      <c r="R323" t="s">
        <v>67</v>
      </c>
      <c r="S323">
        <v>4</v>
      </c>
      <c r="T323" t="s">
        <v>44</v>
      </c>
      <c r="U323" t="s">
        <v>59</v>
      </c>
      <c r="V323">
        <v>12</v>
      </c>
      <c r="W323" t="s">
        <v>45</v>
      </c>
      <c r="X323">
        <v>13</v>
      </c>
      <c r="Y323">
        <v>3</v>
      </c>
      <c r="Z323" t="s">
        <v>61</v>
      </c>
      <c r="AA323">
        <v>7</v>
      </c>
      <c r="AB323" t="s">
        <v>47</v>
      </c>
      <c r="AC323">
        <v>7</v>
      </c>
      <c r="AD323" t="s">
        <v>47</v>
      </c>
      <c r="AE323">
        <v>1</v>
      </c>
      <c r="AF323" t="s">
        <v>49</v>
      </c>
    </row>
    <row r="324" spans="1:32" x14ac:dyDescent="0.25">
      <c r="A324">
        <v>32</v>
      </c>
      <c r="B324" t="s">
        <v>32</v>
      </c>
      <c r="C324" t="s">
        <v>50</v>
      </c>
      <c r="D324" t="s">
        <v>34</v>
      </c>
      <c r="E324" t="s">
        <v>52</v>
      </c>
      <c r="F324">
        <v>2</v>
      </c>
      <c r="G324" t="s">
        <v>36</v>
      </c>
      <c r="H324">
        <v>1</v>
      </c>
      <c r="I324" t="s">
        <v>37</v>
      </c>
      <c r="J324" t="s">
        <v>38</v>
      </c>
      <c r="K324">
        <v>4</v>
      </c>
      <c r="L324" t="s">
        <v>65</v>
      </c>
      <c r="M324">
        <v>2</v>
      </c>
      <c r="N324" t="s">
        <v>40</v>
      </c>
      <c r="O324" t="s">
        <v>56</v>
      </c>
      <c r="P324">
        <v>4</v>
      </c>
      <c r="Q324" t="s">
        <v>42</v>
      </c>
      <c r="R324" t="s">
        <v>43</v>
      </c>
      <c r="S324">
        <v>7</v>
      </c>
      <c r="T324" t="s">
        <v>44</v>
      </c>
      <c r="U324" t="s">
        <v>59</v>
      </c>
      <c r="V324">
        <v>16</v>
      </c>
      <c r="W324" t="s">
        <v>45</v>
      </c>
      <c r="X324">
        <v>10</v>
      </c>
      <c r="Y324">
        <v>2</v>
      </c>
      <c r="Z324" t="s">
        <v>46</v>
      </c>
      <c r="AA324">
        <v>7</v>
      </c>
      <c r="AB324" t="s">
        <v>47</v>
      </c>
      <c r="AC324">
        <v>7</v>
      </c>
      <c r="AD324" t="s">
        <v>47</v>
      </c>
      <c r="AE324">
        <v>0</v>
      </c>
      <c r="AF324" t="s">
        <v>49</v>
      </c>
    </row>
    <row r="325" spans="1:32" x14ac:dyDescent="0.25">
      <c r="A325">
        <v>28</v>
      </c>
      <c r="B325" t="s">
        <v>63</v>
      </c>
      <c r="C325" t="s">
        <v>33</v>
      </c>
      <c r="D325" t="s">
        <v>34</v>
      </c>
      <c r="E325" t="s">
        <v>52</v>
      </c>
      <c r="F325">
        <v>2</v>
      </c>
      <c r="G325" t="s">
        <v>36</v>
      </c>
      <c r="H325">
        <v>1</v>
      </c>
      <c r="I325" t="s">
        <v>37</v>
      </c>
      <c r="J325" t="s">
        <v>54</v>
      </c>
      <c r="K325">
        <v>1</v>
      </c>
      <c r="L325" t="s">
        <v>55</v>
      </c>
      <c r="M325">
        <v>1</v>
      </c>
      <c r="N325" t="s">
        <v>40</v>
      </c>
      <c r="O325" t="s">
        <v>56</v>
      </c>
      <c r="P325">
        <v>4</v>
      </c>
      <c r="Q325" t="s">
        <v>42</v>
      </c>
      <c r="R325" t="s">
        <v>58</v>
      </c>
      <c r="S325">
        <v>5</v>
      </c>
      <c r="T325" t="s">
        <v>44</v>
      </c>
      <c r="U325" t="s">
        <v>44</v>
      </c>
      <c r="V325">
        <v>13</v>
      </c>
      <c r="W325" t="s">
        <v>45</v>
      </c>
      <c r="X325">
        <v>5</v>
      </c>
      <c r="Y325">
        <v>2</v>
      </c>
      <c r="Z325" t="s">
        <v>46</v>
      </c>
      <c r="AA325">
        <v>3</v>
      </c>
      <c r="AB325" t="s">
        <v>48</v>
      </c>
      <c r="AC325">
        <v>2</v>
      </c>
      <c r="AD325" t="s">
        <v>48</v>
      </c>
      <c r="AE325">
        <v>2</v>
      </c>
      <c r="AF325" t="s">
        <v>49</v>
      </c>
    </row>
    <row r="326" spans="1:32" x14ac:dyDescent="0.25">
      <c r="A326">
        <v>30</v>
      </c>
      <c r="B326" t="s">
        <v>32</v>
      </c>
      <c r="C326" t="s">
        <v>50</v>
      </c>
      <c r="D326" t="s">
        <v>34</v>
      </c>
      <c r="E326" t="s">
        <v>52</v>
      </c>
      <c r="F326">
        <v>28</v>
      </c>
      <c r="G326" t="s">
        <v>66</v>
      </c>
      <c r="H326">
        <v>4</v>
      </c>
      <c r="I326" t="s">
        <v>42</v>
      </c>
      <c r="J326" t="s">
        <v>38</v>
      </c>
      <c r="K326">
        <v>3</v>
      </c>
      <c r="L326" t="s">
        <v>39</v>
      </c>
      <c r="M326">
        <v>2</v>
      </c>
      <c r="N326" t="s">
        <v>40</v>
      </c>
      <c r="O326" t="s">
        <v>56</v>
      </c>
      <c r="P326">
        <v>4</v>
      </c>
      <c r="Q326" t="s">
        <v>42</v>
      </c>
      <c r="R326" t="s">
        <v>58</v>
      </c>
      <c r="S326">
        <v>1</v>
      </c>
      <c r="T326" t="s">
        <v>44</v>
      </c>
      <c r="U326" t="s">
        <v>59</v>
      </c>
      <c r="V326">
        <v>13</v>
      </c>
      <c r="W326" t="s">
        <v>45</v>
      </c>
      <c r="X326">
        <v>11</v>
      </c>
      <c r="Y326">
        <v>3</v>
      </c>
      <c r="Z326" t="s">
        <v>61</v>
      </c>
      <c r="AA326">
        <v>10</v>
      </c>
      <c r="AB326" t="s">
        <v>47</v>
      </c>
      <c r="AC326">
        <v>8</v>
      </c>
      <c r="AD326" t="s">
        <v>47</v>
      </c>
      <c r="AE326">
        <v>1</v>
      </c>
      <c r="AF326" t="s">
        <v>49</v>
      </c>
    </row>
    <row r="327" spans="1:32" x14ac:dyDescent="0.25">
      <c r="A327">
        <v>31</v>
      </c>
      <c r="B327" t="s">
        <v>32</v>
      </c>
      <c r="C327" t="s">
        <v>50</v>
      </c>
      <c r="D327" t="s">
        <v>51</v>
      </c>
      <c r="E327" t="s">
        <v>52</v>
      </c>
      <c r="F327">
        <v>7</v>
      </c>
      <c r="G327" t="s">
        <v>53</v>
      </c>
      <c r="H327">
        <v>3</v>
      </c>
      <c r="I327" t="s">
        <v>42</v>
      </c>
      <c r="J327" t="s">
        <v>38</v>
      </c>
      <c r="K327">
        <v>2</v>
      </c>
      <c r="L327" t="s">
        <v>55</v>
      </c>
      <c r="M327">
        <v>3</v>
      </c>
      <c r="N327" t="s">
        <v>68</v>
      </c>
      <c r="O327" t="s">
        <v>69</v>
      </c>
      <c r="P327">
        <v>3</v>
      </c>
      <c r="Q327" t="s">
        <v>42</v>
      </c>
      <c r="R327" t="s">
        <v>58</v>
      </c>
      <c r="S327">
        <v>1</v>
      </c>
      <c r="T327" t="s">
        <v>44</v>
      </c>
      <c r="U327" t="s">
        <v>59</v>
      </c>
      <c r="V327">
        <v>24</v>
      </c>
      <c r="W327" t="s">
        <v>60</v>
      </c>
      <c r="X327">
        <v>10</v>
      </c>
      <c r="Y327">
        <v>3</v>
      </c>
      <c r="Z327" t="s">
        <v>61</v>
      </c>
      <c r="AA327">
        <v>10</v>
      </c>
      <c r="AB327" t="s">
        <v>47</v>
      </c>
      <c r="AC327">
        <v>9</v>
      </c>
      <c r="AD327" t="s">
        <v>47</v>
      </c>
      <c r="AE327">
        <v>8</v>
      </c>
      <c r="AF327" t="s">
        <v>71</v>
      </c>
    </row>
    <row r="328" spans="1:32" x14ac:dyDescent="0.25">
      <c r="A328">
        <v>39</v>
      </c>
      <c r="B328" t="s">
        <v>32</v>
      </c>
      <c r="C328" t="s">
        <v>50</v>
      </c>
      <c r="D328" t="s">
        <v>51</v>
      </c>
      <c r="E328" t="s">
        <v>52</v>
      </c>
      <c r="F328">
        <v>7</v>
      </c>
      <c r="G328" t="s">
        <v>53</v>
      </c>
      <c r="H328">
        <v>3</v>
      </c>
      <c r="I328" t="s">
        <v>42</v>
      </c>
      <c r="J328" t="s">
        <v>54</v>
      </c>
      <c r="K328">
        <v>2</v>
      </c>
      <c r="L328" t="s">
        <v>55</v>
      </c>
      <c r="M328">
        <v>5</v>
      </c>
      <c r="N328" t="s">
        <v>72</v>
      </c>
      <c r="O328" t="s">
        <v>73</v>
      </c>
      <c r="P328">
        <v>4</v>
      </c>
      <c r="Q328" t="s">
        <v>42</v>
      </c>
      <c r="R328" t="s">
        <v>58</v>
      </c>
      <c r="S328">
        <v>1</v>
      </c>
      <c r="T328" t="s">
        <v>44</v>
      </c>
      <c r="U328" t="s">
        <v>59</v>
      </c>
      <c r="V328">
        <v>15</v>
      </c>
      <c r="W328" t="s">
        <v>45</v>
      </c>
      <c r="X328">
        <v>21</v>
      </c>
      <c r="Y328">
        <v>3</v>
      </c>
      <c r="Z328" t="s">
        <v>61</v>
      </c>
      <c r="AA328">
        <v>21</v>
      </c>
      <c r="AB328" t="s">
        <v>74</v>
      </c>
      <c r="AC328">
        <v>9</v>
      </c>
      <c r="AD328" t="s">
        <v>47</v>
      </c>
      <c r="AE328">
        <v>13</v>
      </c>
      <c r="AF328" t="s">
        <v>71</v>
      </c>
    </row>
    <row r="329" spans="1:32" x14ac:dyDescent="0.25">
      <c r="A329">
        <v>39</v>
      </c>
      <c r="B329" t="s">
        <v>32</v>
      </c>
      <c r="C329" t="s">
        <v>33</v>
      </c>
      <c r="D329" t="s">
        <v>34</v>
      </c>
      <c r="E329" t="s">
        <v>35</v>
      </c>
      <c r="F329">
        <v>3</v>
      </c>
      <c r="G329" t="s">
        <v>36</v>
      </c>
      <c r="H329">
        <v>4</v>
      </c>
      <c r="I329" t="s">
        <v>42</v>
      </c>
      <c r="J329" t="s">
        <v>38</v>
      </c>
      <c r="K329">
        <v>3</v>
      </c>
      <c r="L329" t="s">
        <v>39</v>
      </c>
      <c r="M329">
        <v>2</v>
      </c>
      <c r="N329" t="s">
        <v>40</v>
      </c>
      <c r="O329" t="s">
        <v>41</v>
      </c>
      <c r="P329">
        <v>3</v>
      </c>
      <c r="Q329" t="s">
        <v>42</v>
      </c>
      <c r="R329" t="s">
        <v>58</v>
      </c>
      <c r="S329">
        <v>4</v>
      </c>
      <c r="T329" t="s">
        <v>44</v>
      </c>
      <c r="U329" t="s">
        <v>44</v>
      </c>
      <c r="V329">
        <v>18</v>
      </c>
      <c r="W329" t="s">
        <v>45</v>
      </c>
      <c r="X329">
        <v>12</v>
      </c>
      <c r="Y329">
        <v>2</v>
      </c>
      <c r="Z329" t="s">
        <v>46</v>
      </c>
      <c r="AA329">
        <v>1</v>
      </c>
      <c r="AB329" t="s">
        <v>48</v>
      </c>
      <c r="AC329">
        <v>0</v>
      </c>
      <c r="AD329" t="s">
        <v>48</v>
      </c>
      <c r="AE329">
        <v>0</v>
      </c>
      <c r="AF329" t="s">
        <v>49</v>
      </c>
    </row>
    <row r="330" spans="1:32" x14ac:dyDescent="0.25">
      <c r="A330">
        <v>33</v>
      </c>
      <c r="B330" t="s">
        <v>32</v>
      </c>
      <c r="C330" t="s">
        <v>50</v>
      </c>
      <c r="D330" t="s">
        <v>51</v>
      </c>
      <c r="E330" t="s">
        <v>35</v>
      </c>
      <c r="F330">
        <v>10</v>
      </c>
      <c r="G330" t="s">
        <v>53</v>
      </c>
      <c r="H330">
        <v>2</v>
      </c>
      <c r="I330" t="s">
        <v>37</v>
      </c>
      <c r="J330" t="s">
        <v>54</v>
      </c>
      <c r="K330">
        <v>2</v>
      </c>
      <c r="L330" t="s">
        <v>55</v>
      </c>
      <c r="M330">
        <v>2</v>
      </c>
      <c r="N330" t="s">
        <v>40</v>
      </c>
      <c r="O330" t="s">
        <v>41</v>
      </c>
      <c r="P330">
        <v>4</v>
      </c>
      <c r="Q330" t="s">
        <v>42</v>
      </c>
      <c r="R330" t="s">
        <v>43</v>
      </c>
      <c r="S330">
        <v>3</v>
      </c>
      <c r="T330" t="s">
        <v>44</v>
      </c>
      <c r="U330" t="s">
        <v>59</v>
      </c>
      <c r="V330">
        <v>14</v>
      </c>
      <c r="W330" t="s">
        <v>45</v>
      </c>
      <c r="X330">
        <v>9</v>
      </c>
      <c r="Y330">
        <v>2</v>
      </c>
      <c r="Z330" t="s">
        <v>46</v>
      </c>
      <c r="AA330">
        <v>7</v>
      </c>
      <c r="AB330" t="s">
        <v>47</v>
      </c>
      <c r="AC330">
        <v>7</v>
      </c>
      <c r="AD330" t="s">
        <v>47</v>
      </c>
      <c r="AE330">
        <v>0</v>
      </c>
      <c r="AF330" t="s">
        <v>49</v>
      </c>
    </row>
    <row r="331" spans="1:32" x14ac:dyDescent="0.25">
      <c r="A331">
        <v>47</v>
      </c>
      <c r="B331" t="s">
        <v>32</v>
      </c>
      <c r="C331" t="s">
        <v>50</v>
      </c>
      <c r="D331" t="s">
        <v>34</v>
      </c>
      <c r="E331" t="s">
        <v>52</v>
      </c>
      <c r="F331">
        <v>5</v>
      </c>
      <c r="G331" t="s">
        <v>36</v>
      </c>
      <c r="H331">
        <v>4</v>
      </c>
      <c r="I331" t="s">
        <v>42</v>
      </c>
      <c r="J331" t="s">
        <v>54</v>
      </c>
      <c r="K331">
        <v>3</v>
      </c>
      <c r="L331" t="s">
        <v>39</v>
      </c>
      <c r="M331">
        <v>5</v>
      </c>
      <c r="N331" t="s">
        <v>72</v>
      </c>
      <c r="O331" t="s">
        <v>76</v>
      </c>
      <c r="P331">
        <v>3</v>
      </c>
      <c r="Q331" t="s">
        <v>42</v>
      </c>
      <c r="R331" t="s">
        <v>58</v>
      </c>
      <c r="S331">
        <v>4</v>
      </c>
      <c r="T331" t="s">
        <v>44</v>
      </c>
      <c r="U331" t="s">
        <v>59</v>
      </c>
      <c r="V331">
        <v>11</v>
      </c>
      <c r="W331" t="s">
        <v>45</v>
      </c>
      <c r="X331">
        <v>21</v>
      </c>
      <c r="Y331">
        <v>3</v>
      </c>
      <c r="Z331" t="s">
        <v>61</v>
      </c>
      <c r="AA331">
        <v>3</v>
      </c>
      <c r="AB331" t="s">
        <v>48</v>
      </c>
      <c r="AC331">
        <v>2</v>
      </c>
      <c r="AD331" t="s">
        <v>48</v>
      </c>
      <c r="AE331">
        <v>1</v>
      </c>
      <c r="AF331" t="s">
        <v>49</v>
      </c>
    </row>
    <row r="332" spans="1:32" x14ac:dyDescent="0.25">
      <c r="A332">
        <v>43</v>
      </c>
      <c r="B332" t="s">
        <v>32</v>
      </c>
      <c r="C332" t="s">
        <v>50</v>
      </c>
      <c r="D332" t="s">
        <v>51</v>
      </c>
      <c r="E332" t="s">
        <v>52</v>
      </c>
      <c r="F332">
        <v>10</v>
      </c>
      <c r="G332" t="s">
        <v>53</v>
      </c>
      <c r="H332">
        <v>3</v>
      </c>
      <c r="I332" t="s">
        <v>42</v>
      </c>
      <c r="J332" t="s">
        <v>38</v>
      </c>
      <c r="K332">
        <v>2</v>
      </c>
      <c r="L332" t="s">
        <v>55</v>
      </c>
      <c r="M332">
        <v>2</v>
      </c>
      <c r="N332" t="s">
        <v>40</v>
      </c>
      <c r="O332" t="s">
        <v>62</v>
      </c>
      <c r="P332">
        <v>3</v>
      </c>
      <c r="Q332" t="s">
        <v>42</v>
      </c>
      <c r="R332" t="s">
        <v>67</v>
      </c>
      <c r="S332">
        <v>1</v>
      </c>
      <c r="T332" t="s">
        <v>44</v>
      </c>
      <c r="U332" t="s">
        <v>59</v>
      </c>
      <c r="V332">
        <v>11</v>
      </c>
      <c r="W332" t="s">
        <v>45</v>
      </c>
      <c r="X332">
        <v>9</v>
      </c>
      <c r="Y332">
        <v>4</v>
      </c>
      <c r="Z332" t="s">
        <v>61</v>
      </c>
      <c r="AA332">
        <v>9</v>
      </c>
      <c r="AB332" t="s">
        <v>47</v>
      </c>
      <c r="AC332">
        <v>7</v>
      </c>
      <c r="AD332" t="s">
        <v>47</v>
      </c>
      <c r="AE332">
        <v>0</v>
      </c>
      <c r="AF332" t="s">
        <v>49</v>
      </c>
    </row>
    <row r="333" spans="1:32" x14ac:dyDescent="0.25">
      <c r="A333">
        <v>27</v>
      </c>
      <c r="B333" t="s">
        <v>63</v>
      </c>
      <c r="C333" t="s">
        <v>50</v>
      </c>
      <c r="D333" t="s">
        <v>34</v>
      </c>
      <c r="E333" t="s">
        <v>35</v>
      </c>
      <c r="F333">
        <v>1</v>
      </c>
      <c r="G333" t="s">
        <v>36</v>
      </c>
      <c r="H333">
        <v>3</v>
      </c>
      <c r="I333" t="s">
        <v>42</v>
      </c>
      <c r="J333" t="s">
        <v>54</v>
      </c>
      <c r="K333">
        <v>3</v>
      </c>
      <c r="L333" t="s">
        <v>39</v>
      </c>
      <c r="M333">
        <v>2</v>
      </c>
      <c r="N333" t="s">
        <v>40</v>
      </c>
      <c r="O333" t="s">
        <v>41</v>
      </c>
      <c r="P333">
        <v>2</v>
      </c>
      <c r="Q333" t="s">
        <v>57</v>
      </c>
      <c r="R333" t="s">
        <v>58</v>
      </c>
      <c r="S333">
        <v>0</v>
      </c>
      <c r="T333" t="s">
        <v>44</v>
      </c>
      <c r="U333" t="s">
        <v>44</v>
      </c>
      <c r="V333">
        <v>13</v>
      </c>
      <c r="W333" t="s">
        <v>45</v>
      </c>
      <c r="X333">
        <v>6</v>
      </c>
      <c r="Y333">
        <v>3</v>
      </c>
      <c r="Z333" t="s">
        <v>61</v>
      </c>
      <c r="AA333">
        <v>5</v>
      </c>
      <c r="AB333" t="s">
        <v>47</v>
      </c>
      <c r="AC333">
        <v>4</v>
      </c>
      <c r="AD333" t="s">
        <v>48</v>
      </c>
      <c r="AE333">
        <v>1</v>
      </c>
      <c r="AF333" t="s">
        <v>49</v>
      </c>
    </row>
    <row r="334" spans="1:32" x14ac:dyDescent="0.25">
      <c r="A334">
        <v>54</v>
      </c>
      <c r="B334" t="s">
        <v>64</v>
      </c>
      <c r="C334" t="s">
        <v>50</v>
      </c>
      <c r="D334" t="s">
        <v>51</v>
      </c>
      <c r="E334" t="s">
        <v>52</v>
      </c>
      <c r="F334">
        <v>20</v>
      </c>
      <c r="G334" t="s">
        <v>66</v>
      </c>
      <c r="H334">
        <v>4</v>
      </c>
      <c r="I334" t="s">
        <v>42</v>
      </c>
      <c r="J334" t="s">
        <v>38</v>
      </c>
      <c r="K334">
        <v>3</v>
      </c>
      <c r="L334" t="s">
        <v>39</v>
      </c>
      <c r="M334">
        <v>2</v>
      </c>
      <c r="N334" t="s">
        <v>40</v>
      </c>
      <c r="O334" t="s">
        <v>56</v>
      </c>
      <c r="P334">
        <v>3</v>
      </c>
      <c r="Q334" t="s">
        <v>42</v>
      </c>
      <c r="R334" t="s">
        <v>43</v>
      </c>
      <c r="S334">
        <v>3</v>
      </c>
      <c r="T334" t="s">
        <v>44</v>
      </c>
      <c r="U334" t="s">
        <v>59</v>
      </c>
      <c r="V334">
        <v>12</v>
      </c>
      <c r="W334" t="s">
        <v>45</v>
      </c>
      <c r="X334">
        <v>20</v>
      </c>
      <c r="Y334">
        <v>2</v>
      </c>
      <c r="Z334" t="s">
        <v>46</v>
      </c>
      <c r="AA334">
        <v>4</v>
      </c>
      <c r="AB334" t="s">
        <v>48</v>
      </c>
      <c r="AC334">
        <v>3</v>
      </c>
      <c r="AD334" t="s">
        <v>48</v>
      </c>
      <c r="AE334">
        <v>0</v>
      </c>
      <c r="AF334" t="s">
        <v>49</v>
      </c>
    </row>
    <row r="335" spans="1:32" x14ac:dyDescent="0.25">
      <c r="A335">
        <v>43</v>
      </c>
      <c r="B335" t="s">
        <v>32</v>
      </c>
      <c r="C335" t="s">
        <v>50</v>
      </c>
      <c r="D335" t="s">
        <v>34</v>
      </c>
      <c r="E335" t="s">
        <v>52</v>
      </c>
      <c r="F335">
        <v>7</v>
      </c>
      <c r="G335" t="s">
        <v>53</v>
      </c>
      <c r="H335">
        <v>3</v>
      </c>
      <c r="I335" t="s">
        <v>42</v>
      </c>
      <c r="J335" t="s">
        <v>38</v>
      </c>
      <c r="K335">
        <v>3</v>
      </c>
      <c r="L335" t="s">
        <v>39</v>
      </c>
      <c r="M335">
        <v>3</v>
      </c>
      <c r="N335" t="s">
        <v>68</v>
      </c>
      <c r="O335" t="s">
        <v>70</v>
      </c>
      <c r="P335">
        <v>1</v>
      </c>
      <c r="Q335" t="s">
        <v>57</v>
      </c>
      <c r="R335" t="s">
        <v>58</v>
      </c>
      <c r="S335">
        <v>8</v>
      </c>
      <c r="T335" t="s">
        <v>44</v>
      </c>
      <c r="U335" t="s">
        <v>59</v>
      </c>
      <c r="V335">
        <v>16</v>
      </c>
      <c r="W335" t="s">
        <v>45</v>
      </c>
      <c r="X335">
        <v>10</v>
      </c>
      <c r="Y335">
        <v>2</v>
      </c>
      <c r="Z335" t="s">
        <v>46</v>
      </c>
      <c r="AA335">
        <v>1</v>
      </c>
      <c r="AB335" t="s">
        <v>48</v>
      </c>
      <c r="AC335">
        <v>0</v>
      </c>
      <c r="AD335" t="s">
        <v>48</v>
      </c>
      <c r="AE335">
        <v>0</v>
      </c>
      <c r="AF335" t="s">
        <v>49</v>
      </c>
    </row>
    <row r="336" spans="1:32" x14ac:dyDescent="0.25">
      <c r="A336">
        <v>45</v>
      </c>
      <c r="B336" t="s">
        <v>32</v>
      </c>
      <c r="C336" t="s">
        <v>50</v>
      </c>
      <c r="D336" t="s">
        <v>34</v>
      </c>
      <c r="E336" t="s">
        <v>52</v>
      </c>
      <c r="F336">
        <v>8</v>
      </c>
      <c r="G336" t="s">
        <v>53</v>
      </c>
      <c r="H336">
        <v>4</v>
      </c>
      <c r="I336" t="s">
        <v>42</v>
      </c>
      <c r="J336" t="s">
        <v>54</v>
      </c>
      <c r="K336">
        <v>3</v>
      </c>
      <c r="L336" t="s">
        <v>39</v>
      </c>
      <c r="M336">
        <v>2</v>
      </c>
      <c r="N336" t="s">
        <v>40</v>
      </c>
      <c r="O336" t="s">
        <v>56</v>
      </c>
      <c r="P336">
        <v>4</v>
      </c>
      <c r="Q336" t="s">
        <v>42</v>
      </c>
      <c r="R336" t="s">
        <v>58</v>
      </c>
      <c r="S336">
        <v>9</v>
      </c>
      <c r="T336" t="s">
        <v>44</v>
      </c>
      <c r="U336" t="s">
        <v>59</v>
      </c>
      <c r="V336">
        <v>14</v>
      </c>
      <c r="W336" t="s">
        <v>45</v>
      </c>
      <c r="X336">
        <v>12</v>
      </c>
      <c r="Y336">
        <v>3</v>
      </c>
      <c r="Z336" t="s">
        <v>61</v>
      </c>
      <c r="AA336">
        <v>10</v>
      </c>
      <c r="AB336" t="s">
        <v>47</v>
      </c>
      <c r="AC336">
        <v>9</v>
      </c>
      <c r="AD336" t="s">
        <v>47</v>
      </c>
      <c r="AE336">
        <v>9</v>
      </c>
      <c r="AF336" t="s">
        <v>71</v>
      </c>
    </row>
    <row r="337" spans="1:32" x14ac:dyDescent="0.25">
      <c r="A337">
        <v>40</v>
      </c>
      <c r="B337" t="s">
        <v>32</v>
      </c>
      <c r="C337" t="s">
        <v>50</v>
      </c>
      <c r="D337" t="s">
        <v>34</v>
      </c>
      <c r="E337" t="s">
        <v>35</v>
      </c>
      <c r="F337">
        <v>1</v>
      </c>
      <c r="G337" t="s">
        <v>36</v>
      </c>
      <c r="H337">
        <v>2</v>
      </c>
      <c r="I337" t="s">
        <v>37</v>
      </c>
      <c r="J337" t="s">
        <v>54</v>
      </c>
      <c r="K337">
        <v>1</v>
      </c>
      <c r="L337" t="s">
        <v>55</v>
      </c>
      <c r="M337">
        <v>2</v>
      </c>
      <c r="N337" t="s">
        <v>40</v>
      </c>
      <c r="O337" t="s">
        <v>41</v>
      </c>
      <c r="P337">
        <v>4</v>
      </c>
      <c r="Q337" t="s">
        <v>42</v>
      </c>
      <c r="R337" t="s">
        <v>58</v>
      </c>
      <c r="S337">
        <v>2</v>
      </c>
      <c r="T337" t="s">
        <v>44</v>
      </c>
      <c r="U337" t="s">
        <v>44</v>
      </c>
      <c r="V337">
        <v>22</v>
      </c>
      <c r="W337" t="s">
        <v>60</v>
      </c>
      <c r="X337">
        <v>6</v>
      </c>
      <c r="Y337">
        <v>2</v>
      </c>
      <c r="Z337" t="s">
        <v>46</v>
      </c>
      <c r="AA337">
        <v>4</v>
      </c>
      <c r="AB337" t="s">
        <v>48</v>
      </c>
      <c r="AC337">
        <v>3</v>
      </c>
      <c r="AD337" t="s">
        <v>48</v>
      </c>
      <c r="AE337">
        <v>0</v>
      </c>
      <c r="AF337" t="s">
        <v>49</v>
      </c>
    </row>
    <row r="338" spans="1:32" x14ac:dyDescent="0.25">
      <c r="A338">
        <v>29</v>
      </c>
      <c r="B338" t="s">
        <v>63</v>
      </c>
      <c r="C338" t="s">
        <v>33</v>
      </c>
      <c r="D338" t="s">
        <v>34</v>
      </c>
      <c r="E338" t="s">
        <v>52</v>
      </c>
      <c r="F338">
        <v>8</v>
      </c>
      <c r="G338" t="s">
        <v>53</v>
      </c>
      <c r="H338">
        <v>2</v>
      </c>
      <c r="I338" t="s">
        <v>37</v>
      </c>
      <c r="J338" t="s">
        <v>54</v>
      </c>
      <c r="K338">
        <v>1</v>
      </c>
      <c r="L338" t="s">
        <v>55</v>
      </c>
      <c r="M338">
        <v>1</v>
      </c>
      <c r="N338" t="s">
        <v>40</v>
      </c>
      <c r="O338" t="s">
        <v>62</v>
      </c>
      <c r="P338">
        <v>1</v>
      </c>
      <c r="Q338" t="s">
        <v>57</v>
      </c>
      <c r="R338" t="s">
        <v>58</v>
      </c>
      <c r="S338">
        <v>1</v>
      </c>
      <c r="T338" t="s">
        <v>44</v>
      </c>
      <c r="U338" t="s">
        <v>44</v>
      </c>
      <c r="V338">
        <v>11</v>
      </c>
      <c r="W338" t="s">
        <v>45</v>
      </c>
      <c r="X338">
        <v>7</v>
      </c>
      <c r="Y338">
        <v>2</v>
      </c>
      <c r="Z338" t="s">
        <v>46</v>
      </c>
      <c r="AA338">
        <v>7</v>
      </c>
      <c r="AB338" t="s">
        <v>47</v>
      </c>
      <c r="AC338">
        <v>7</v>
      </c>
      <c r="AD338" t="s">
        <v>47</v>
      </c>
      <c r="AE338">
        <v>0</v>
      </c>
      <c r="AF338" t="s">
        <v>49</v>
      </c>
    </row>
    <row r="339" spans="1:32" x14ac:dyDescent="0.25">
      <c r="A339">
        <v>29</v>
      </c>
      <c r="B339" t="s">
        <v>63</v>
      </c>
      <c r="C339" t="s">
        <v>50</v>
      </c>
      <c r="D339" t="s">
        <v>34</v>
      </c>
      <c r="E339" t="s">
        <v>52</v>
      </c>
      <c r="F339">
        <v>9</v>
      </c>
      <c r="G339" t="s">
        <v>53</v>
      </c>
      <c r="H339">
        <v>2</v>
      </c>
      <c r="I339" t="s">
        <v>37</v>
      </c>
      <c r="J339" t="s">
        <v>54</v>
      </c>
      <c r="K339">
        <v>2</v>
      </c>
      <c r="L339" t="s">
        <v>55</v>
      </c>
      <c r="M339">
        <v>1</v>
      </c>
      <c r="N339" t="s">
        <v>40</v>
      </c>
      <c r="O339" t="s">
        <v>62</v>
      </c>
      <c r="P339">
        <v>4</v>
      </c>
      <c r="Q339" t="s">
        <v>42</v>
      </c>
      <c r="R339" t="s">
        <v>43</v>
      </c>
      <c r="S339">
        <v>0</v>
      </c>
      <c r="T339" t="s">
        <v>44</v>
      </c>
      <c r="U339" t="s">
        <v>59</v>
      </c>
      <c r="V339">
        <v>17</v>
      </c>
      <c r="W339" t="s">
        <v>45</v>
      </c>
      <c r="X339">
        <v>4</v>
      </c>
      <c r="Y339">
        <v>3</v>
      </c>
      <c r="Z339" t="s">
        <v>61</v>
      </c>
      <c r="AA339">
        <v>3</v>
      </c>
      <c r="AB339" t="s">
        <v>48</v>
      </c>
      <c r="AC339">
        <v>2</v>
      </c>
      <c r="AD339" t="s">
        <v>48</v>
      </c>
      <c r="AE339">
        <v>2</v>
      </c>
      <c r="AF339" t="s">
        <v>49</v>
      </c>
    </row>
    <row r="340" spans="1:32" x14ac:dyDescent="0.25">
      <c r="A340">
        <v>30</v>
      </c>
      <c r="B340" t="s">
        <v>32</v>
      </c>
      <c r="C340" t="s">
        <v>50</v>
      </c>
      <c r="D340" t="s">
        <v>34</v>
      </c>
      <c r="E340" t="s">
        <v>35</v>
      </c>
      <c r="F340">
        <v>5</v>
      </c>
      <c r="G340" t="s">
        <v>36</v>
      </c>
      <c r="H340">
        <v>4</v>
      </c>
      <c r="I340" t="s">
        <v>42</v>
      </c>
      <c r="J340" t="s">
        <v>38</v>
      </c>
      <c r="K340">
        <v>2</v>
      </c>
      <c r="L340" t="s">
        <v>55</v>
      </c>
      <c r="M340">
        <v>2</v>
      </c>
      <c r="N340" t="s">
        <v>40</v>
      </c>
      <c r="O340" t="s">
        <v>41</v>
      </c>
      <c r="P340">
        <v>3</v>
      </c>
      <c r="Q340" t="s">
        <v>42</v>
      </c>
      <c r="R340" t="s">
        <v>67</v>
      </c>
      <c r="S340">
        <v>1</v>
      </c>
      <c r="T340" t="s">
        <v>44</v>
      </c>
      <c r="U340" t="s">
        <v>59</v>
      </c>
      <c r="V340">
        <v>13</v>
      </c>
      <c r="W340" t="s">
        <v>45</v>
      </c>
      <c r="X340">
        <v>10</v>
      </c>
      <c r="Y340">
        <v>3</v>
      </c>
      <c r="Z340" t="s">
        <v>61</v>
      </c>
      <c r="AA340">
        <v>10</v>
      </c>
      <c r="AB340" t="s">
        <v>47</v>
      </c>
      <c r="AC340">
        <v>9</v>
      </c>
      <c r="AD340" t="s">
        <v>47</v>
      </c>
      <c r="AE340">
        <v>1</v>
      </c>
      <c r="AF340" t="s">
        <v>49</v>
      </c>
    </row>
    <row r="341" spans="1:32" x14ac:dyDescent="0.25">
      <c r="A341">
        <v>27</v>
      </c>
      <c r="B341" t="s">
        <v>63</v>
      </c>
      <c r="C341" t="s">
        <v>50</v>
      </c>
      <c r="D341" t="s">
        <v>34</v>
      </c>
      <c r="E341" t="s">
        <v>35</v>
      </c>
      <c r="F341">
        <v>8</v>
      </c>
      <c r="G341" t="s">
        <v>53</v>
      </c>
      <c r="H341">
        <v>2</v>
      </c>
      <c r="I341" t="s">
        <v>37</v>
      </c>
      <c r="J341" t="s">
        <v>38</v>
      </c>
      <c r="K341">
        <v>3</v>
      </c>
      <c r="L341" t="s">
        <v>39</v>
      </c>
      <c r="M341">
        <v>2</v>
      </c>
      <c r="N341" t="s">
        <v>40</v>
      </c>
      <c r="O341" t="s">
        <v>41</v>
      </c>
      <c r="P341">
        <v>2</v>
      </c>
      <c r="Q341" t="s">
        <v>57</v>
      </c>
      <c r="R341" t="s">
        <v>58</v>
      </c>
      <c r="S341">
        <v>1</v>
      </c>
      <c r="T341" t="s">
        <v>44</v>
      </c>
      <c r="U341" t="s">
        <v>59</v>
      </c>
      <c r="V341">
        <v>18</v>
      </c>
      <c r="W341" t="s">
        <v>45</v>
      </c>
      <c r="X341">
        <v>8</v>
      </c>
      <c r="Y341">
        <v>3</v>
      </c>
      <c r="Z341" t="s">
        <v>61</v>
      </c>
      <c r="AA341">
        <v>8</v>
      </c>
      <c r="AB341" t="s">
        <v>47</v>
      </c>
      <c r="AC341">
        <v>7</v>
      </c>
      <c r="AD341" t="s">
        <v>47</v>
      </c>
      <c r="AE341">
        <v>0</v>
      </c>
      <c r="AF341" t="s">
        <v>49</v>
      </c>
    </row>
    <row r="342" spans="1:32" x14ac:dyDescent="0.25">
      <c r="A342">
        <v>37</v>
      </c>
      <c r="B342" t="s">
        <v>32</v>
      </c>
      <c r="C342" t="s">
        <v>50</v>
      </c>
      <c r="D342" t="s">
        <v>34</v>
      </c>
      <c r="E342" t="s">
        <v>52</v>
      </c>
      <c r="F342">
        <v>5</v>
      </c>
      <c r="G342" t="s">
        <v>36</v>
      </c>
      <c r="H342">
        <v>4</v>
      </c>
      <c r="I342" t="s">
        <v>42</v>
      </c>
      <c r="J342" t="s">
        <v>54</v>
      </c>
      <c r="K342">
        <v>3</v>
      </c>
      <c r="L342" t="s">
        <v>39</v>
      </c>
      <c r="M342">
        <v>2</v>
      </c>
      <c r="N342" t="s">
        <v>40</v>
      </c>
      <c r="O342" t="s">
        <v>69</v>
      </c>
      <c r="P342">
        <v>4</v>
      </c>
      <c r="Q342" t="s">
        <v>42</v>
      </c>
      <c r="R342" t="s">
        <v>67</v>
      </c>
      <c r="S342">
        <v>7</v>
      </c>
      <c r="T342" t="s">
        <v>44</v>
      </c>
      <c r="U342" t="s">
        <v>59</v>
      </c>
      <c r="V342">
        <v>16</v>
      </c>
      <c r="W342" t="s">
        <v>45</v>
      </c>
      <c r="X342">
        <v>8</v>
      </c>
      <c r="Y342">
        <v>2</v>
      </c>
      <c r="Z342" t="s">
        <v>46</v>
      </c>
      <c r="AA342">
        <v>6</v>
      </c>
      <c r="AB342" t="s">
        <v>47</v>
      </c>
      <c r="AC342">
        <v>2</v>
      </c>
      <c r="AD342" t="s">
        <v>48</v>
      </c>
      <c r="AE342">
        <v>0</v>
      </c>
      <c r="AF342" t="s">
        <v>49</v>
      </c>
    </row>
    <row r="343" spans="1:32" x14ac:dyDescent="0.25">
      <c r="A343">
        <v>38</v>
      </c>
      <c r="B343" t="s">
        <v>32</v>
      </c>
      <c r="C343" t="s">
        <v>50</v>
      </c>
      <c r="D343" t="s">
        <v>34</v>
      </c>
      <c r="E343" t="s">
        <v>52</v>
      </c>
      <c r="F343">
        <v>15</v>
      </c>
      <c r="G343" t="s">
        <v>66</v>
      </c>
      <c r="H343">
        <v>3</v>
      </c>
      <c r="I343" t="s">
        <v>42</v>
      </c>
      <c r="J343" t="s">
        <v>54</v>
      </c>
      <c r="K343">
        <v>2</v>
      </c>
      <c r="L343" t="s">
        <v>55</v>
      </c>
      <c r="M343">
        <v>3</v>
      </c>
      <c r="N343" t="s">
        <v>68</v>
      </c>
      <c r="O343" t="s">
        <v>76</v>
      </c>
      <c r="P343">
        <v>4</v>
      </c>
      <c r="Q343" t="s">
        <v>42</v>
      </c>
      <c r="R343" t="s">
        <v>67</v>
      </c>
      <c r="S343">
        <v>0</v>
      </c>
      <c r="T343" t="s">
        <v>44</v>
      </c>
      <c r="U343" t="s">
        <v>44</v>
      </c>
      <c r="V343">
        <v>14</v>
      </c>
      <c r="W343" t="s">
        <v>45</v>
      </c>
      <c r="X343">
        <v>12</v>
      </c>
      <c r="Y343">
        <v>3</v>
      </c>
      <c r="Z343" t="s">
        <v>61</v>
      </c>
      <c r="AA343">
        <v>11</v>
      </c>
      <c r="AB343" t="s">
        <v>74</v>
      </c>
      <c r="AC343">
        <v>10</v>
      </c>
      <c r="AD343" t="s">
        <v>47</v>
      </c>
      <c r="AE343">
        <v>2</v>
      </c>
      <c r="AF343" t="s">
        <v>49</v>
      </c>
    </row>
    <row r="344" spans="1:32" x14ac:dyDescent="0.25">
      <c r="A344">
        <v>31</v>
      </c>
      <c r="B344" t="s">
        <v>32</v>
      </c>
      <c r="C344" t="s">
        <v>50</v>
      </c>
      <c r="D344" t="s">
        <v>34</v>
      </c>
      <c r="E344" t="s">
        <v>52</v>
      </c>
      <c r="F344">
        <v>7</v>
      </c>
      <c r="G344" t="s">
        <v>53</v>
      </c>
      <c r="H344">
        <v>3</v>
      </c>
      <c r="I344" t="s">
        <v>42</v>
      </c>
      <c r="J344" t="s">
        <v>38</v>
      </c>
      <c r="K344">
        <v>3</v>
      </c>
      <c r="L344" t="s">
        <v>39</v>
      </c>
      <c r="M344">
        <v>3</v>
      </c>
      <c r="N344" t="s">
        <v>68</v>
      </c>
      <c r="O344" t="s">
        <v>69</v>
      </c>
      <c r="P344">
        <v>4</v>
      </c>
      <c r="Q344" t="s">
        <v>42</v>
      </c>
      <c r="R344" t="s">
        <v>43</v>
      </c>
      <c r="S344">
        <v>1</v>
      </c>
      <c r="T344" t="s">
        <v>44</v>
      </c>
      <c r="U344" t="s">
        <v>44</v>
      </c>
      <c r="V344">
        <v>14</v>
      </c>
      <c r="W344" t="s">
        <v>45</v>
      </c>
      <c r="X344">
        <v>11</v>
      </c>
      <c r="Y344">
        <v>2</v>
      </c>
      <c r="Z344" t="s">
        <v>46</v>
      </c>
      <c r="AA344">
        <v>11</v>
      </c>
      <c r="AB344" t="s">
        <v>74</v>
      </c>
      <c r="AC344">
        <v>9</v>
      </c>
      <c r="AD344" t="s">
        <v>47</v>
      </c>
      <c r="AE344">
        <v>4</v>
      </c>
      <c r="AF344" t="s">
        <v>71</v>
      </c>
    </row>
    <row r="345" spans="1:32" x14ac:dyDescent="0.25">
      <c r="A345">
        <v>29</v>
      </c>
      <c r="B345" t="s">
        <v>63</v>
      </c>
      <c r="C345" t="s">
        <v>50</v>
      </c>
      <c r="D345" t="s">
        <v>34</v>
      </c>
      <c r="E345" t="s">
        <v>35</v>
      </c>
      <c r="F345">
        <v>10</v>
      </c>
      <c r="G345" t="s">
        <v>53</v>
      </c>
      <c r="H345">
        <v>4</v>
      </c>
      <c r="I345" t="s">
        <v>42</v>
      </c>
      <c r="J345" t="s">
        <v>38</v>
      </c>
      <c r="K345">
        <v>2</v>
      </c>
      <c r="L345" t="s">
        <v>55</v>
      </c>
      <c r="M345">
        <v>2</v>
      </c>
      <c r="N345" t="s">
        <v>40</v>
      </c>
      <c r="O345" t="s">
        <v>41</v>
      </c>
      <c r="P345">
        <v>2</v>
      </c>
      <c r="Q345" t="s">
        <v>57</v>
      </c>
      <c r="R345" t="s">
        <v>67</v>
      </c>
      <c r="S345">
        <v>1</v>
      </c>
      <c r="T345" t="s">
        <v>44</v>
      </c>
      <c r="U345" t="s">
        <v>44</v>
      </c>
      <c r="V345">
        <v>14</v>
      </c>
      <c r="W345" t="s">
        <v>45</v>
      </c>
      <c r="X345">
        <v>7</v>
      </c>
      <c r="Y345">
        <v>3</v>
      </c>
      <c r="Z345" t="s">
        <v>61</v>
      </c>
      <c r="AA345">
        <v>7</v>
      </c>
      <c r="AB345" t="s">
        <v>47</v>
      </c>
      <c r="AC345">
        <v>7</v>
      </c>
      <c r="AD345" t="s">
        <v>47</v>
      </c>
      <c r="AE345">
        <v>1</v>
      </c>
      <c r="AF345" t="s">
        <v>49</v>
      </c>
    </row>
    <row r="346" spans="1:32" x14ac:dyDescent="0.25">
      <c r="A346">
        <v>35</v>
      </c>
      <c r="B346" t="s">
        <v>32</v>
      </c>
      <c r="C346" t="s">
        <v>50</v>
      </c>
      <c r="D346" t="s">
        <v>34</v>
      </c>
      <c r="E346" t="s">
        <v>52</v>
      </c>
      <c r="F346">
        <v>5</v>
      </c>
      <c r="G346" t="s">
        <v>36</v>
      </c>
      <c r="H346">
        <v>3</v>
      </c>
      <c r="I346" t="s">
        <v>42</v>
      </c>
      <c r="J346" t="s">
        <v>54</v>
      </c>
      <c r="K346">
        <v>3</v>
      </c>
      <c r="L346" t="s">
        <v>39</v>
      </c>
      <c r="M346">
        <v>3</v>
      </c>
      <c r="N346" t="s">
        <v>68</v>
      </c>
      <c r="O346" t="s">
        <v>69</v>
      </c>
      <c r="P346">
        <v>2</v>
      </c>
      <c r="Q346" t="s">
        <v>57</v>
      </c>
      <c r="R346" t="s">
        <v>43</v>
      </c>
      <c r="S346">
        <v>0</v>
      </c>
      <c r="T346" t="s">
        <v>44</v>
      </c>
      <c r="U346" t="s">
        <v>59</v>
      </c>
      <c r="V346">
        <v>13</v>
      </c>
      <c r="W346" t="s">
        <v>45</v>
      </c>
      <c r="X346">
        <v>17</v>
      </c>
      <c r="Y346">
        <v>3</v>
      </c>
      <c r="Z346" t="s">
        <v>61</v>
      </c>
      <c r="AA346">
        <v>16</v>
      </c>
      <c r="AB346" t="s">
        <v>74</v>
      </c>
      <c r="AC346">
        <v>6</v>
      </c>
      <c r="AD346" t="s">
        <v>47</v>
      </c>
      <c r="AE346">
        <v>0</v>
      </c>
      <c r="AF346" t="s">
        <v>49</v>
      </c>
    </row>
    <row r="347" spans="1:32" x14ac:dyDescent="0.25">
      <c r="A347">
        <v>23</v>
      </c>
      <c r="B347" t="s">
        <v>63</v>
      </c>
      <c r="C347" t="s">
        <v>50</v>
      </c>
      <c r="D347" t="s">
        <v>34</v>
      </c>
      <c r="E347" t="s">
        <v>52</v>
      </c>
      <c r="F347">
        <v>26</v>
      </c>
      <c r="G347" t="s">
        <v>66</v>
      </c>
      <c r="H347">
        <v>3</v>
      </c>
      <c r="I347" t="s">
        <v>42</v>
      </c>
      <c r="J347" t="s">
        <v>54</v>
      </c>
      <c r="K347">
        <v>3</v>
      </c>
      <c r="L347" t="s">
        <v>39</v>
      </c>
      <c r="M347">
        <v>1</v>
      </c>
      <c r="N347" t="s">
        <v>40</v>
      </c>
      <c r="O347" t="s">
        <v>56</v>
      </c>
      <c r="P347">
        <v>4</v>
      </c>
      <c r="Q347" t="s">
        <v>42</v>
      </c>
      <c r="R347" t="s">
        <v>67</v>
      </c>
      <c r="S347">
        <v>1</v>
      </c>
      <c r="T347" t="s">
        <v>44</v>
      </c>
      <c r="U347" t="s">
        <v>59</v>
      </c>
      <c r="V347">
        <v>12</v>
      </c>
      <c r="W347" t="s">
        <v>45</v>
      </c>
      <c r="X347">
        <v>4</v>
      </c>
      <c r="Y347">
        <v>2</v>
      </c>
      <c r="Z347" t="s">
        <v>46</v>
      </c>
      <c r="AA347">
        <v>4</v>
      </c>
      <c r="AB347" t="s">
        <v>48</v>
      </c>
      <c r="AC347">
        <v>2</v>
      </c>
      <c r="AD347" t="s">
        <v>48</v>
      </c>
      <c r="AE347">
        <v>0</v>
      </c>
      <c r="AF347" t="s">
        <v>49</v>
      </c>
    </row>
    <row r="348" spans="1:32" x14ac:dyDescent="0.25">
      <c r="A348">
        <v>41</v>
      </c>
      <c r="B348" t="s">
        <v>32</v>
      </c>
      <c r="C348" t="s">
        <v>50</v>
      </c>
      <c r="D348" t="s">
        <v>34</v>
      </c>
      <c r="E348" t="s">
        <v>52</v>
      </c>
      <c r="F348">
        <v>6</v>
      </c>
      <c r="G348" t="s">
        <v>53</v>
      </c>
      <c r="H348">
        <v>4</v>
      </c>
      <c r="I348" t="s">
        <v>42</v>
      </c>
      <c r="J348" t="s">
        <v>54</v>
      </c>
      <c r="K348">
        <v>2</v>
      </c>
      <c r="L348" t="s">
        <v>55</v>
      </c>
      <c r="M348">
        <v>2</v>
      </c>
      <c r="N348" t="s">
        <v>40</v>
      </c>
      <c r="O348" t="s">
        <v>69</v>
      </c>
      <c r="P348">
        <v>2</v>
      </c>
      <c r="Q348" t="s">
        <v>57</v>
      </c>
      <c r="R348" t="s">
        <v>43</v>
      </c>
      <c r="S348">
        <v>6</v>
      </c>
      <c r="T348" t="s">
        <v>44</v>
      </c>
      <c r="U348" t="s">
        <v>44</v>
      </c>
      <c r="V348">
        <v>15</v>
      </c>
      <c r="W348" t="s">
        <v>45</v>
      </c>
      <c r="X348">
        <v>8</v>
      </c>
      <c r="Y348">
        <v>3</v>
      </c>
      <c r="Z348" t="s">
        <v>61</v>
      </c>
      <c r="AA348">
        <v>5</v>
      </c>
      <c r="AB348" t="s">
        <v>47</v>
      </c>
      <c r="AC348">
        <v>4</v>
      </c>
      <c r="AD348" t="s">
        <v>48</v>
      </c>
      <c r="AE348">
        <v>1</v>
      </c>
      <c r="AF348" t="s">
        <v>49</v>
      </c>
    </row>
    <row r="349" spans="1:32" x14ac:dyDescent="0.25">
      <c r="A349">
        <v>47</v>
      </c>
      <c r="B349" t="s">
        <v>32</v>
      </c>
      <c r="C349" t="s">
        <v>50</v>
      </c>
      <c r="D349" t="s">
        <v>51</v>
      </c>
      <c r="E349" t="s">
        <v>35</v>
      </c>
      <c r="F349">
        <v>4</v>
      </c>
      <c r="G349" t="s">
        <v>36</v>
      </c>
      <c r="H349">
        <v>2</v>
      </c>
      <c r="I349" t="s">
        <v>37</v>
      </c>
      <c r="J349" t="s">
        <v>54</v>
      </c>
      <c r="K349">
        <v>3</v>
      </c>
      <c r="L349" t="s">
        <v>39</v>
      </c>
      <c r="M349">
        <v>2</v>
      </c>
      <c r="N349" t="s">
        <v>40</v>
      </c>
      <c r="O349" t="s">
        <v>75</v>
      </c>
      <c r="P349">
        <v>3</v>
      </c>
      <c r="Q349" t="s">
        <v>42</v>
      </c>
      <c r="R349" t="s">
        <v>43</v>
      </c>
      <c r="S349">
        <v>3</v>
      </c>
      <c r="T349" t="s">
        <v>44</v>
      </c>
      <c r="U349" t="s">
        <v>59</v>
      </c>
      <c r="V349">
        <v>19</v>
      </c>
      <c r="W349" t="s">
        <v>45</v>
      </c>
      <c r="X349">
        <v>5</v>
      </c>
      <c r="Y349">
        <v>3</v>
      </c>
      <c r="Z349" t="s">
        <v>61</v>
      </c>
      <c r="AA349">
        <v>0</v>
      </c>
      <c r="AB349" t="s">
        <v>48</v>
      </c>
      <c r="AC349">
        <v>0</v>
      </c>
      <c r="AD349" t="s">
        <v>48</v>
      </c>
      <c r="AE349">
        <v>0</v>
      </c>
      <c r="AF349" t="s">
        <v>49</v>
      </c>
    </row>
    <row r="350" spans="1:32" x14ac:dyDescent="0.25">
      <c r="A350">
        <v>42</v>
      </c>
      <c r="B350" t="s">
        <v>32</v>
      </c>
      <c r="C350" t="s">
        <v>50</v>
      </c>
      <c r="D350" t="s">
        <v>34</v>
      </c>
      <c r="E350" t="s">
        <v>52</v>
      </c>
      <c r="F350">
        <v>23</v>
      </c>
      <c r="G350" t="s">
        <v>66</v>
      </c>
      <c r="H350">
        <v>1</v>
      </c>
      <c r="I350" t="s">
        <v>37</v>
      </c>
      <c r="J350" t="s">
        <v>38</v>
      </c>
      <c r="K350">
        <v>3</v>
      </c>
      <c r="L350" t="s">
        <v>39</v>
      </c>
      <c r="M350">
        <v>4</v>
      </c>
      <c r="N350" t="s">
        <v>72</v>
      </c>
      <c r="O350" t="s">
        <v>76</v>
      </c>
      <c r="P350">
        <v>4</v>
      </c>
      <c r="Q350" t="s">
        <v>42</v>
      </c>
      <c r="R350" t="s">
        <v>43</v>
      </c>
      <c r="S350">
        <v>2</v>
      </c>
      <c r="T350" t="s">
        <v>44</v>
      </c>
      <c r="U350" t="s">
        <v>59</v>
      </c>
      <c r="V350">
        <v>14</v>
      </c>
      <c r="W350" t="s">
        <v>45</v>
      </c>
      <c r="X350">
        <v>16</v>
      </c>
      <c r="Y350">
        <v>3</v>
      </c>
      <c r="Z350" t="s">
        <v>61</v>
      </c>
      <c r="AA350">
        <v>1</v>
      </c>
      <c r="AB350" t="s">
        <v>48</v>
      </c>
      <c r="AC350">
        <v>0</v>
      </c>
      <c r="AD350" t="s">
        <v>48</v>
      </c>
      <c r="AE350">
        <v>0</v>
      </c>
      <c r="AF350" t="s">
        <v>49</v>
      </c>
    </row>
    <row r="351" spans="1:32" x14ac:dyDescent="0.25">
      <c r="A351">
        <v>29</v>
      </c>
      <c r="B351" t="s">
        <v>63</v>
      </c>
      <c r="C351" t="s">
        <v>50</v>
      </c>
      <c r="D351" t="s">
        <v>34</v>
      </c>
      <c r="E351" t="s">
        <v>35</v>
      </c>
      <c r="F351">
        <v>2</v>
      </c>
      <c r="G351" t="s">
        <v>36</v>
      </c>
      <c r="H351">
        <v>4</v>
      </c>
      <c r="I351" t="s">
        <v>42</v>
      </c>
      <c r="J351" t="s">
        <v>54</v>
      </c>
      <c r="K351">
        <v>3</v>
      </c>
      <c r="L351" t="s">
        <v>39</v>
      </c>
      <c r="M351">
        <v>2</v>
      </c>
      <c r="N351" t="s">
        <v>40</v>
      </c>
      <c r="O351" t="s">
        <v>41</v>
      </c>
      <c r="P351">
        <v>3</v>
      </c>
      <c r="Q351" t="s">
        <v>42</v>
      </c>
      <c r="R351" t="s">
        <v>58</v>
      </c>
      <c r="S351">
        <v>1</v>
      </c>
      <c r="T351" t="s">
        <v>44</v>
      </c>
      <c r="U351" t="s">
        <v>59</v>
      </c>
      <c r="V351">
        <v>14</v>
      </c>
      <c r="W351" t="s">
        <v>45</v>
      </c>
      <c r="X351">
        <v>4</v>
      </c>
      <c r="Y351">
        <v>2</v>
      </c>
      <c r="Z351" t="s">
        <v>46</v>
      </c>
      <c r="AA351">
        <v>4</v>
      </c>
      <c r="AB351" t="s">
        <v>48</v>
      </c>
      <c r="AC351">
        <v>3</v>
      </c>
      <c r="AD351" t="s">
        <v>48</v>
      </c>
      <c r="AE351">
        <v>0</v>
      </c>
      <c r="AF351" t="s">
        <v>49</v>
      </c>
    </row>
    <row r="352" spans="1:32" x14ac:dyDescent="0.25">
      <c r="A352">
        <v>42</v>
      </c>
      <c r="B352" t="s">
        <v>32</v>
      </c>
      <c r="C352" t="s">
        <v>50</v>
      </c>
      <c r="D352" t="s">
        <v>34</v>
      </c>
      <c r="E352" t="s">
        <v>77</v>
      </c>
      <c r="F352">
        <v>2</v>
      </c>
      <c r="G352" t="s">
        <v>36</v>
      </c>
      <c r="H352">
        <v>3</v>
      </c>
      <c r="I352" t="s">
        <v>42</v>
      </c>
      <c r="J352" t="s">
        <v>54</v>
      </c>
      <c r="K352">
        <v>3</v>
      </c>
      <c r="L352" t="s">
        <v>39</v>
      </c>
      <c r="M352">
        <v>1</v>
      </c>
      <c r="N352" t="s">
        <v>40</v>
      </c>
      <c r="O352" t="s">
        <v>77</v>
      </c>
      <c r="P352">
        <v>3</v>
      </c>
      <c r="Q352" t="s">
        <v>42</v>
      </c>
      <c r="R352" t="s">
        <v>67</v>
      </c>
      <c r="S352">
        <v>0</v>
      </c>
      <c r="T352" t="s">
        <v>44</v>
      </c>
      <c r="U352" t="s">
        <v>44</v>
      </c>
      <c r="V352">
        <v>11</v>
      </c>
      <c r="W352" t="s">
        <v>45</v>
      </c>
      <c r="X352">
        <v>4</v>
      </c>
      <c r="Y352">
        <v>3</v>
      </c>
      <c r="Z352" t="s">
        <v>61</v>
      </c>
      <c r="AA352">
        <v>3</v>
      </c>
      <c r="AB352" t="s">
        <v>48</v>
      </c>
      <c r="AC352">
        <v>2</v>
      </c>
      <c r="AD352" t="s">
        <v>48</v>
      </c>
      <c r="AE352">
        <v>1</v>
      </c>
      <c r="AF352" t="s">
        <v>49</v>
      </c>
    </row>
    <row r="353" spans="1:32" x14ac:dyDescent="0.25">
      <c r="A353">
        <v>32</v>
      </c>
      <c r="B353" t="s">
        <v>32</v>
      </c>
      <c r="C353" t="s">
        <v>50</v>
      </c>
      <c r="D353" t="s">
        <v>34</v>
      </c>
      <c r="E353" t="s">
        <v>52</v>
      </c>
      <c r="F353">
        <v>2</v>
      </c>
      <c r="G353" t="s">
        <v>36</v>
      </c>
      <c r="H353">
        <v>3</v>
      </c>
      <c r="I353" t="s">
        <v>42</v>
      </c>
      <c r="J353" t="s">
        <v>38</v>
      </c>
      <c r="K353">
        <v>3</v>
      </c>
      <c r="L353" t="s">
        <v>39</v>
      </c>
      <c r="M353">
        <v>1</v>
      </c>
      <c r="N353" t="s">
        <v>40</v>
      </c>
      <c r="O353" t="s">
        <v>62</v>
      </c>
      <c r="P353">
        <v>2</v>
      </c>
      <c r="Q353" t="s">
        <v>57</v>
      </c>
      <c r="R353" t="s">
        <v>58</v>
      </c>
      <c r="S353">
        <v>1</v>
      </c>
      <c r="T353" t="s">
        <v>44</v>
      </c>
      <c r="U353" t="s">
        <v>59</v>
      </c>
      <c r="V353">
        <v>13</v>
      </c>
      <c r="W353" t="s">
        <v>45</v>
      </c>
      <c r="X353">
        <v>8</v>
      </c>
      <c r="Y353">
        <v>3</v>
      </c>
      <c r="Z353" t="s">
        <v>61</v>
      </c>
      <c r="AA353">
        <v>8</v>
      </c>
      <c r="AB353" t="s">
        <v>47</v>
      </c>
      <c r="AC353">
        <v>0</v>
      </c>
      <c r="AD353" t="s">
        <v>48</v>
      </c>
      <c r="AE353">
        <v>0</v>
      </c>
      <c r="AF353" t="s">
        <v>49</v>
      </c>
    </row>
    <row r="354" spans="1:32" x14ac:dyDescent="0.25">
      <c r="A354">
        <v>48</v>
      </c>
      <c r="B354" t="s">
        <v>32</v>
      </c>
      <c r="C354" t="s">
        <v>50</v>
      </c>
      <c r="D354" t="s">
        <v>34</v>
      </c>
      <c r="E354" t="s">
        <v>35</v>
      </c>
      <c r="F354">
        <v>29</v>
      </c>
      <c r="G354" t="s">
        <v>66</v>
      </c>
      <c r="H354">
        <v>1</v>
      </c>
      <c r="I354" t="s">
        <v>37</v>
      </c>
      <c r="J354" t="s">
        <v>38</v>
      </c>
      <c r="K354">
        <v>3</v>
      </c>
      <c r="L354" t="s">
        <v>39</v>
      </c>
      <c r="M354">
        <v>3</v>
      </c>
      <c r="N354" t="s">
        <v>68</v>
      </c>
      <c r="O354" t="s">
        <v>73</v>
      </c>
      <c r="P354">
        <v>3</v>
      </c>
      <c r="Q354" t="s">
        <v>42</v>
      </c>
      <c r="R354" t="s">
        <v>58</v>
      </c>
      <c r="S354">
        <v>3</v>
      </c>
      <c r="T354" t="s">
        <v>44</v>
      </c>
      <c r="U354" t="s">
        <v>59</v>
      </c>
      <c r="V354">
        <v>21</v>
      </c>
      <c r="W354" t="s">
        <v>60</v>
      </c>
      <c r="X354">
        <v>15</v>
      </c>
      <c r="Y354">
        <v>1</v>
      </c>
      <c r="Z354" t="s">
        <v>46</v>
      </c>
      <c r="AA354">
        <v>0</v>
      </c>
      <c r="AB354" t="s">
        <v>48</v>
      </c>
      <c r="AC354">
        <v>0</v>
      </c>
      <c r="AD354" t="s">
        <v>48</v>
      </c>
      <c r="AE354">
        <v>0</v>
      </c>
      <c r="AF354" t="s">
        <v>49</v>
      </c>
    </row>
    <row r="355" spans="1:32" x14ac:dyDescent="0.25">
      <c r="A355">
        <v>37</v>
      </c>
      <c r="B355" t="s">
        <v>32</v>
      </c>
      <c r="C355" t="s">
        <v>50</v>
      </c>
      <c r="D355" t="s">
        <v>34</v>
      </c>
      <c r="E355" t="s">
        <v>52</v>
      </c>
      <c r="F355">
        <v>6</v>
      </c>
      <c r="G355" t="s">
        <v>53</v>
      </c>
      <c r="H355">
        <v>3</v>
      </c>
      <c r="I355" t="s">
        <v>42</v>
      </c>
      <c r="J355" t="s">
        <v>54</v>
      </c>
      <c r="K355">
        <v>4</v>
      </c>
      <c r="L355" t="s">
        <v>65</v>
      </c>
      <c r="M355">
        <v>2</v>
      </c>
      <c r="N355" t="s">
        <v>40</v>
      </c>
      <c r="O355" t="s">
        <v>56</v>
      </c>
      <c r="P355">
        <v>1</v>
      </c>
      <c r="Q355" t="s">
        <v>57</v>
      </c>
      <c r="R355" t="s">
        <v>67</v>
      </c>
      <c r="S355">
        <v>4</v>
      </c>
      <c r="T355" t="s">
        <v>44</v>
      </c>
      <c r="U355" t="s">
        <v>44</v>
      </c>
      <c r="V355">
        <v>13</v>
      </c>
      <c r="W355" t="s">
        <v>45</v>
      </c>
      <c r="X355">
        <v>13</v>
      </c>
      <c r="Y355">
        <v>3</v>
      </c>
      <c r="Z355" t="s">
        <v>61</v>
      </c>
      <c r="AA355">
        <v>7</v>
      </c>
      <c r="AB355" t="s">
        <v>47</v>
      </c>
      <c r="AC355">
        <v>7</v>
      </c>
      <c r="AD355" t="s">
        <v>47</v>
      </c>
      <c r="AE355">
        <v>6</v>
      </c>
      <c r="AF355" t="s">
        <v>71</v>
      </c>
    </row>
    <row r="356" spans="1:32" x14ac:dyDescent="0.25">
      <c r="A356">
        <v>30</v>
      </c>
      <c r="B356" t="s">
        <v>32</v>
      </c>
      <c r="C356" t="s">
        <v>50</v>
      </c>
      <c r="D356" t="s">
        <v>34</v>
      </c>
      <c r="E356" t="s">
        <v>35</v>
      </c>
      <c r="F356">
        <v>25</v>
      </c>
      <c r="G356" t="s">
        <v>66</v>
      </c>
      <c r="H356">
        <v>4</v>
      </c>
      <c r="I356" t="s">
        <v>42</v>
      </c>
      <c r="J356" t="s">
        <v>38</v>
      </c>
      <c r="K356">
        <v>3</v>
      </c>
      <c r="L356" t="s">
        <v>39</v>
      </c>
      <c r="M356">
        <v>2</v>
      </c>
      <c r="N356" t="s">
        <v>40</v>
      </c>
      <c r="O356" t="s">
        <v>41</v>
      </c>
      <c r="P356">
        <v>3</v>
      </c>
      <c r="Q356" t="s">
        <v>42</v>
      </c>
      <c r="R356" t="s">
        <v>58</v>
      </c>
      <c r="S356">
        <v>7</v>
      </c>
      <c r="T356" t="s">
        <v>44</v>
      </c>
      <c r="U356" t="s">
        <v>44</v>
      </c>
      <c r="V356">
        <v>12</v>
      </c>
      <c r="W356" t="s">
        <v>45</v>
      </c>
      <c r="X356">
        <v>4</v>
      </c>
      <c r="Y356">
        <v>4</v>
      </c>
      <c r="Z356" t="s">
        <v>61</v>
      </c>
      <c r="AA356">
        <v>2</v>
      </c>
      <c r="AB356" t="s">
        <v>48</v>
      </c>
      <c r="AC356">
        <v>2</v>
      </c>
      <c r="AD356" t="s">
        <v>48</v>
      </c>
      <c r="AE356">
        <v>2</v>
      </c>
      <c r="AF356" t="s">
        <v>49</v>
      </c>
    </row>
    <row r="357" spans="1:32" x14ac:dyDescent="0.25">
      <c r="A357">
        <v>26</v>
      </c>
      <c r="B357" t="s">
        <v>63</v>
      </c>
      <c r="C357" t="s">
        <v>50</v>
      </c>
      <c r="D357" t="s">
        <v>34</v>
      </c>
      <c r="E357" t="s">
        <v>35</v>
      </c>
      <c r="F357">
        <v>1</v>
      </c>
      <c r="G357" t="s">
        <v>36</v>
      </c>
      <c r="H357">
        <v>3</v>
      </c>
      <c r="I357" t="s">
        <v>42</v>
      </c>
      <c r="J357" t="s">
        <v>54</v>
      </c>
      <c r="K357">
        <v>3</v>
      </c>
      <c r="L357" t="s">
        <v>39</v>
      </c>
      <c r="M357">
        <v>2</v>
      </c>
      <c r="N357" t="s">
        <v>40</v>
      </c>
      <c r="O357" t="s">
        <v>41</v>
      </c>
      <c r="P357">
        <v>3</v>
      </c>
      <c r="Q357" t="s">
        <v>42</v>
      </c>
      <c r="R357" t="s">
        <v>58</v>
      </c>
      <c r="S357">
        <v>1</v>
      </c>
      <c r="T357" t="s">
        <v>44</v>
      </c>
      <c r="U357" t="s">
        <v>59</v>
      </c>
      <c r="V357">
        <v>17</v>
      </c>
      <c r="W357" t="s">
        <v>45</v>
      </c>
      <c r="X357">
        <v>8</v>
      </c>
      <c r="Y357">
        <v>3</v>
      </c>
      <c r="Z357" t="s">
        <v>61</v>
      </c>
      <c r="AA357">
        <v>8</v>
      </c>
      <c r="AB357" t="s">
        <v>47</v>
      </c>
      <c r="AC357">
        <v>7</v>
      </c>
      <c r="AD357" t="s">
        <v>47</v>
      </c>
      <c r="AE357">
        <v>7</v>
      </c>
      <c r="AF357" t="s">
        <v>71</v>
      </c>
    </row>
    <row r="358" spans="1:32" x14ac:dyDescent="0.25">
      <c r="A358">
        <v>42</v>
      </c>
      <c r="B358" t="s">
        <v>32</v>
      </c>
      <c r="C358" t="s">
        <v>50</v>
      </c>
      <c r="D358" t="s">
        <v>34</v>
      </c>
      <c r="E358" t="s">
        <v>52</v>
      </c>
      <c r="F358">
        <v>2</v>
      </c>
      <c r="G358" t="s">
        <v>36</v>
      </c>
      <c r="H358">
        <v>1</v>
      </c>
      <c r="I358" t="s">
        <v>37</v>
      </c>
      <c r="J358" t="s">
        <v>54</v>
      </c>
      <c r="K358">
        <v>2</v>
      </c>
      <c r="L358" t="s">
        <v>55</v>
      </c>
      <c r="M358">
        <v>2</v>
      </c>
      <c r="N358" t="s">
        <v>40</v>
      </c>
      <c r="O358" t="s">
        <v>70</v>
      </c>
      <c r="P358">
        <v>4</v>
      </c>
      <c r="Q358" t="s">
        <v>42</v>
      </c>
      <c r="R358" t="s">
        <v>43</v>
      </c>
      <c r="S358">
        <v>3</v>
      </c>
      <c r="T358" t="s">
        <v>44</v>
      </c>
      <c r="U358" t="s">
        <v>59</v>
      </c>
      <c r="V358">
        <v>23</v>
      </c>
      <c r="W358" t="s">
        <v>60</v>
      </c>
      <c r="X358">
        <v>14</v>
      </c>
      <c r="Y358">
        <v>3</v>
      </c>
      <c r="Z358" t="s">
        <v>61</v>
      </c>
      <c r="AA358">
        <v>1</v>
      </c>
      <c r="AB358" t="s">
        <v>48</v>
      </c>
      <c r="AC358">
        <v>0</v>
      </c>
      <c r="AD358" t="s">
        <v>48</v>
      </c>
      <c r="AE358">
        <v>0</v>
      </c>
      <c r="AF358" t="s">
        <v>49</v>
      </c>
    </row>
    <row r="359" spans="1:32" x14ac:dyDescent="0.25">
      <c r="A359">
        <v>21</v>
      </c>
      <c r="B359" t="s">
        <v>63</v>
      </c>
      <c r="C359" t="s">
        <v>33</v>
      </c>
      <c r="D359" t="s">
        <v>51</v>
      </c>
      <c r="E359" t="s">
        <v>35</v>
      </c>
      <c r="F359">
        <v>1</v>
      </c>
      <c r="G359" t="s">
        <v>36</v>
      </c>
      <c r="H359">
        <v>1</v>
      </c>
      <c r="I359" t="s">
        <v>37</v>
      </c>
      <c r="J359" t="s">
        <v>38</v>
      </c>
      <c r="K359">
        <v>2</v>
      </c>
      <c r="L359" t="s">
        <v>55</v>
      </c>
      <c r="M359">
        <v>1</v>
      </c>
      <c r="N359" t="s">
        <v>40</v>
      </c>
      <c r="O359" t="s">
        <v>75</v>
      </c>
      <c r="P359">
        <v>2</v>
      </c>
      <c r="Q359" t="s">
        <v>57</v>
      </c>
      <c r="R359" t="s">
        <v>43</v>
      </c>
      <c r="S359">
        <v>1</v>
      </c>
      <c r="T359" t="s">
        <v>44</v>
      </c>
      <c r="U359" t="s">
        <v>44</v>
      </c>
      <c r="V359">
        <v>11</v>
      </c>
      <c r="W359" t="s">
        <v>45</v>
      </c>
      <c r="X359">
        <v>3</v>
      </c>
      <c r="Y359">
        <v>3</v>
      </c>
      <c r="Z359" t="s">
        <v>61</v>
      </c>
      <c r="AA359">
        <v>3</v>
      </c>
      <c r="AB359" t="s">
        <v>48</v>
      </c>
      <c r="AC359">
        <v>2</v>
      </c>
      <c r="AD359" t="s">
        <v>48</v>
      </c>
      <c r="AE359">
        <v>1</v>
      </c>
      <c r="AF359" t="s">
        <v>49</v>
      </c>
    </row>
    <row r="360" spans="1:32" x14ac:dyDescent="0.25">
      <c r="A360">
        <v>36</v>
      </c>
      <c r="B360" t="s">
        <v>32</v>
      </c>
      <c r="C360" t="s">
        <v>50</v>
      </c>
      <c r="D360" t="s">
        <v>34</v>
      </c>
      <c r="E360" t="s">
        <v>35</v>
      </c>
      <c r="F360">
        <v>1</v>
      </c>
      <c r="G360" t="s">
        <v>36</v>
      </c>
      <c r="H360">
        <v>4</v>
      </c>
      <c r="I360" t="s">
        <v>42</v>
      </c>
      <c r="J360" t="s">
        <v>38</v>
      </c>
      <c r="K360">
        <v>3</v>
      </c>
      <c r="L360" t="s">
        <v>39</v>
      </c>
      <c r="M360">
        <v>2</v>
      </c>
      <c r="N360" t="s">
        <v>40</v>
      </c>
      <c r="O360" t="s">
        <v>41</v>
      </c>
      <c r="P360">
        <v>4</v>
      </c>
      <c r="Q360" t="s">
        <v>42</v>
      </c>
      <c r="R360" t="s">
        <v>43</v>
      </c>
      <c r="S360">
        <v>4</v>
      </c>
      <c r="T360" t="s">
        <v>44</v>
      </c>
      <c r="U360" t="s">
        <v>59</v>
      </c>
      <c r="V360">
        <v>15</v>
      </c>
      <c r="W360" t="s">
        <v>45</v>
      </c>
      <c r="X360">
        <v>7</v>
      </c>
      <c r="Y360">
        <v>3</v>
      </c>
      <c r="Z360" t="s">
        <v>61</v>
      </c>
      <c r="AA360">
        <v>1</v>
      </c>
      <c r="AB360" t="s">
        <v>48</v>
      </c>
      <c r="AC360">
        <v>0</v>
      </c>
      <c r="AD360" t="s">
        <v>48</v>
      </c>
      <c r="AE360">
        <v>0</v>
      </c>
      <c r="AF360" t="s">
        <v>49</v>
      </c>
    </row>
    <row r="361" spans="1:32" x14ac:dyDescent="0.25">
      <c r="A361">
        <v>36</v>
      </c>
      <c r="B361" t="s">
        <v>32</v>
      </c>
      <c r="C361" t="s">
        <v>50</v>
      </c>
      <c r="D361" t="s">
        <v>51</v>
      </c>
      <c r="E361" t="s">
        <v>35</v>
      </c>
      <c r="F361">
        <v>3</v>
      </c>
      <c r="G361" t="s">
        <v>36</v>
      </c>
      <c r="H361">
        <v>1</v>
      </c>
      <c r="I361" t="s">
        <v>37</v>
      </c>
      <c r="J361" t="s">
        <v>54</v>
      </c>
      <c r="K361">
        <v>2</v>
      </c>
      <c r="L361" t="s">
        <v>55</v>
      </c>
      <c r="M361">
        <v>3</v>
      </c>
      <c r="N361" t="s">
        <v>68</v>
      </c>
      <c r="O361" t="s">
        <v>41</v>
      </c>
      <c r="P361">
        <v>4</v>
      </c>
      <c r="Q361" t="s">
        <v>42</v>
      </c>
      <c r="R361" t="s">
        <v>58</v>
      </c>
      <c r="S361">
        <v>4</v>
      </c>
      <c r="T361" t="s">
        <v>44</v>
      </c>
      <c r="U361" t="s">
        <v>59</v>
      </c>
      <c r="V361">
        <v>11</v>
      </c>
      <c r="W361" t="s">
        <v>45</v>
      </c>
      <c r="X361">
        <v>16</v>
      </c>
      <c r="Y361">
        <v>3</v>
      </c>
      <c r="Z361" t="s">
        <v>61</v>
      </c>
      <c r="AA361">
        <v>13</v>
      </c>
      <c r="AB361" t="s">
        <v>74</v>
      </c>
      <c r="AC361">
        <v>9</v>
      </c>
      <c r="AD361" t="s">
        <v>47</v>
      </c>
      <c r="AE361">
        <v>1</v>
      </c>
      <c r="AF361" t="s">
        <v>49</v>
      </c>
    </row>
    <row r="362" spans="1:32" x14ac:dyDescent="0.25">
      <c r="A362">
        <v>57</v>
      </c>
      <c r="B362" t="s">
        <v>64</v>
      </c>
      <c r="C362" t="s">
        <v>50</v>
      </c>
      <c r="D362" t="s">
        <v>34</v>
      </c>
      <c r="E362" t="s">
        <v>52</v>
      </c>
      <c r="F362">
        <v>1</v>
      </c>
      <c r="G362" t="s">
        <v>36</v>
      </c>
      <c r="H362">
        <v>4</v>
      </c>
      <c r="I362" t="s">
        <v>42</v>
      </c>
      <c r="J362" t="s">
        <v>54</v>
      </c>
      <c r="K362">
        <v>3</v>
      </c>
      <c r="L362" t="s">
        <v>39</v>
      </c>
      <c r="M362">
        <v>2</v>
      </c>
      <c r="N362" t="s">
        <v>40</v>
      </c>
      <c r="O362" t="s">
        <v>70</v>
      </c>
      <c r="P362">
        <v>3</v>
      </c>
      <c r="Q362" t="s">
        <v>42</v>
      </c>
      <c r="R362" t="s">
        <v>58</v>
      </c>
      <c r="S362">
        <v>2</v>
      </c>
      <c r="T362" t="s">
        <v>44</v>
      </c>
      <c r="U362" t="s">
        <v>59</v>
      </c>
      <c r="V362">
        <v>11</v>
      </c>
      <c r="W362" t="s">
        <v>45</v>
      </c>
      <c r="X362">
        <v>15</v>
      </c>
      <c r="Y362">
        <v>3</v>
      </c>
      <c r="Z362" t="s">
        <v>61</v>
      </c>
      <c r="AA362">
        <v>3</v>
      </c>
      <c r="AB362" t="s">
        <v>48</v>
      </c>
      <c r="AC362">
        <v>2</v>
      </c>
      <c r="AD362" t="s">
        <v>48</v>
      </c>
      <c r="AE362">
        <v>1</v>
      </c>
      <c r="AF362" t="s">
        <v>49</v>
      </c>
    </row>
    <row r="363" spans="1:32" x14ac:dyDescent="0.25">
      <c r="A363">
        <v>40</v>
      </c>
      <c r="B363" t="s">
        <v>32</v>
      </c>
      <c r="C363" t="s">
        <v>50</v>
      </c>
      <c r="D363" t="s">
        <v>34</v>
      </c>
      <c r="E363" t="s">
        <v>52</v>
      </c>
      <c r="F363">
        <v>10</v>
      </c>
      <c r="G363" t="s">
        <v>53</v>
      </c>
      <c r="H363">
        <v>4</v>
      </c>
      <c r="I363" t="s">
        <v>42</v>
      </c>
      <c r="J363" t="s">
        <v>38</v>
      </c>
      <c r="K363">
        <v>4</v>
      </c>
      <c r="L363" t="s">
        <v>65</v>
      </c>
      <c r="M363">
        <v>1</v>
      </c>
      <c r="N363" t="s">
        <v>40</v>
      </c>
      <c r="O363" t="s">
        <v>62</v>
      </c>
      <c r="P363">
        <v>3</v>
      </c>
      <c r="Q363" t="s">
        <v>42</v>
      </c>
      <c r="R363" t="s">
        <v>58</v>
      </c>
      <c r="S363">
        <v>3</v>
      </c>
      <c r="T363" t="s">
        <v>44</v>
      </c>
      <c r="U363" t="s">
        <v>44</v>
      </c>
      <c r="V363">
        <v>13</v>
      </c>
      <c r="W363" t="s">
        <v>45</v>
      </c>
      <c r="X363">
        <v>10</v>
      </c>
      <c r="Y363">
        <v>3</v>
      </c>
      <c r="Z363" t="s">
        <v>61</v>
      </c>
      <c r="AA363">
        <v>7</v>
      </c>
      <c r="AB363" t="s">
        <v>47</v>
      </c>
      <c r="AC363">
        <v>7</v>
      </c>
      <c r="AD363" t="s">
        <v>47</v>
      </c>
      <c r="AE363">
        <v>1</v>
      </c>
      <c r="AF363" t="s">
        <v>49</v>
      </c>
    </row>
    <row r="364" spans="1:32" x14ac:dyDescent="0.25">
      <c r="A364">
        <v>21</v>
      </c>
      <c r="B364" t="s">
        <v>63</v>
      </c>
      <c r="C364" t="s">
        <v>50</v>
      </c>
      <c r="D364" t="s">
        <v>34</v>
      </c>
      <c r="E364" t="s">
        <v>35</v>
      </c>
      <c r="F364">
        <v>9</v>
      </c>
      <c r="G364" t="s">
        <v>53</v>
      </c>
      <c r="H364">
        <v>1</v>
      </c>
      <c r="I364" t="s">
        <v>37</v>
      </c>
      <c r="J364" t="s">
        <v>54</v>
      </c>
      <c r="K364">
        <v>3</v>
      </c>
      <c r="L364" t="s">
        <v>39</v>
      </c>
      <c r="M364">
        <v>1</v>
      </c>
      <c r="N364" t="s">
        <v>40</v>
      </c>
      <c r="O364" t="s">
        <v>75</v>
      </c>
      <c r="P364">
        <v>4</v>
      </c>
      <c r="Q364" t="s">
        <v>42</v>
      </c>
      <c r="R364" t="s">
        <v>43</v>
      </c>
      <c r="S364">
        <v>1</v>
      </c>
      <c r="T364" t="s">
        <v>44</v>
      </c>
      <c r="U364" t="s">
        <v>59</v>
      </c>
      <c r="V364">
        <v>24</v>
      </c>
      <c r="W364" t="s">
        <v>60</v>
      </c>
      <c r="X364">
        <v>3</v>
      </c>
      <c r="Y364">
        <v>2</v>
      </c>
      <c r="Z364" t="s">
        <v>46</v>
      </c>
      <c r="AA364">
        <v>3</v>
      </c>
      <c r="AB364" t="s">
        <v>48</v>
      </c>
      <c r="AC364">
        <v>2</v>
      </c>
      <c r="AD364" t="s">
        <v>48</v>
      </c>
      <c r="AE364">
        <v>2</v>
      </c>
      <c r="AF364" t="s">
        <v>49</v>
      </c>
    </row>
    <row r="365" spans="1:32" x14ac:dyDescent="0.25">
      <c r="A365">
        <v>33</v>
      </c>
      <c r="B365" t="s">
        <v>32</v>
      </c>
      <c r="C365" t="s">
        <v>33</v>
      </c>
      <c r="D365" t="s">
        <v>34</v>
      </c>
      <c r="E365" t="s">
        <v>35</v>
      </c>
      <c r="F365">
        <v>5</v>
      </c>
      <c r="G365" t="s">
        <v>36</v>
      </c>
      <c r="H365">
        <v>4</v>
      </c>
      <c r="I365" t="s">
        <v>42</v>
      </c>
      <c r="J365" t="s">
        <v>38</v>
      </c>
      <c r="K365">
        <v>3</v>
      </c>
      <c r="L365" t="s">
        <v>39</v>
      </c>
      <c r="M365">
        <v>1</v>
      </c>
      <c r="N365" t="s">
        <v>40</v>
      </c>
      <c r="O365" t="s">
        <v>75</v>
      </c>
      <c r="P365">
        <v>3</v>
      </c>
      <c r="Q365" t="s">
        <v>42</v>
      </c>
      <c r="R365" t="s">
        <v>43</v>
      </c>
      <c r="S365">
        <v>1</v>
      </c>
      <c r="T365" t="s">
        <v>44</v>
      </c>
      <c r="U365" t="s">
        <v>44</v>
      </c>
      <c r="V365">
        <v>13</v>
      </c>
      <c r="W365" t="s">
        <v>45</v>
      </c>
      <c r="X365">
        <v>1</v>
      </c>
      <c r="Y365">
        <v>3</v>
      </c>
      <c r="Z365" t="s">
        <v>61</v>
      </c>
      <c r="AA365">
        <v>1</v>
      </c>
      <c r="AB365" t="s">
        <v>48</v>
      </c>
      <c r="AC365">
        <v>0</v>
      </c>
      <c r="AD365" t="s">
        <v>48</v>
      </c>
      <c r="AE365">
        <v>0</v>
      </c>
      <c r="AF365" t="s">
        <v>49</v>
      </c>
    </row>
    <row r="366" spans="1:32" x14ac:dyDescent="0.25">
      <c r="A366">
        <v>37</v>
      </c>
      <c r="B366" t="s">
        <v>32</v>
      </c>
      <c r="C366" t="s">
        <v>50</v>
      </c>
      <c r="D366" t="s">
        <v>34</v>
      </c>
      <c r="E366" t="s">
        <v>52</v>
      </c>
      <c r="F366">
        <v>10</v>
      </c>
      <c r="G366" t="s">
        <v>53</v>
      </c>
      <c r="H366">
        <v>3</v>
      </c>
      <c r="I366" t="s">
        <v>42</v>
      </c>
      <c r="J366" t="s">
        <v>38</v>
      </c>
      <c r="K366">
        <v>3</v>
      </c>
      <c r="L366" t="s">
        <v>39</v>
      </c>
      <c r="M366">
        <v>1</v>
      </c>
      <c r="N366" t="s">
        <v>40</v>
      </c>
      <c r="O366" t="s">
        <v>62</v>
      </c>
      <c r="P366">
        <v>1</v>
      </c>
      <c r="Q366" t="s">
        <v>57</v>
      </c>
      <c r="R366" t="s">
        <v>58</v>
      </c>
      <c r="S366">
        <v>6</v>
      </c>
      <c r="T366" t="s">
        <v>44</v>
      </c>
      <c r="U366" t="s">
        <v>59</v>
      </c>
      <c r="V366">
        <v>20</v>
      </c>
      <c r="W366" t="s">
        <v>60</v>
      </c>
      <c r="X366">
        <v>17</v>
      </c>
      <c r="Y366">
        <v>3</v>
      </c>
      <c r="Z366" t="s">
        <v>61</v>
      </c>
      <c r="AA366">
        <v>5</v>
      </c>
      <c r="AB366" t="s">
        <v>47</v>
      </c>
      <c r="AC366">
        <v>4</v>
      </c>
      <c r="AD366" t="s">
        <v>48</v>
      </c>
      <c r="AE366">
        <v>0</v>
      </c>
      <c r="AF366" t="s">
        <v>49</v>
      </c>
    </row>
    <row r="367" spans="1:32" x14ac:dyDescent="0.25">
      <c r="A367">
        <v>46</v>
      </c>
      <c r="B367" t="s">
        <v>32</v>
      </c>
      <c r="C367" t="s">
        <v>50</v>
      </c>
      <c r="D367" t="s">
        <v>34</v>
      </c>
      <c r="E367" t="s">
        <v>52</v>
      </c>
      <c r="F367">
        <v>7</v>
      </c>
      <c r="G367" t="s">
        <v>53</v>
      </c>
      <c r="H367">
        <v>3</v>
      </c>
      <c r="I367" t="s">
        <v>42</v>
      </c>
      <c r="J367" t="s">
        <v>38</v>
      </c>
      <c r="K367">
        <v>3</v>
      </c>
      <c r="L367" t="s">
        <v>39</v>
      </c>
      <c r="M367">
        <v>2</v>
      </c>
      <c r="N367" t="s">
        <v>40</v>
      </c>
      <c r="O367" t="s">
        <v>69</v>
      </c>
      <c r="P367">
        <v>3</v>
      </c>
      <c r="Q367" t="s">
        <v>42</v>
      </c>
      <c r="R367" t="s">
        <v>58</v>
      </c>
      <c r="S367">
        <v>2</v>
      </c>
      <c r="T367" t="s">
        <v>44</v>
      </c>
      <c r="U367" t="s">
        <v>59</v>
      </c>
      <c r="V367">
        <v>14</v>
      </c>
      <c r="W367" t="s">
        <v>45</v>
      </c>
      <c r="X367">
        <v>7</v>
      </c>
      <c r="Y367">
        <v>4</v>
      </c>
      <c r="Z367" t="s">
        <v>61</v>
      </c>
      <c r="AA367">
        <v>1</v>
      </c>
      <c r="AB367" t="s">
        <v>48</v>
      </c>
      <c r="AC367">
        <v>0</v>
      </c>
      <c r="AD367" t="s">
        <v>48</v>
      </c>
      <c r="AE367">
        <v>0</v>
      </c>
      <c r="AF367" t="s">
        <v>49</v>
      </c>
    </row>
    <row r="368" spans="1:32" x14ac:dyDescent="0.25">
      <c r="A368">
        <v>41</v>
      </c>
      <c r="B368" t="s">
        <v>32</v>
      </c>
      <c r="C368" t="s">
        <v>33</v>
      </c>
      <c r="D368" t="s">
        <v>51</v>
      </c>
      <c r="E368" t="s">
        <v>35</v>
      </c>
      <c r="F368">
        <v>4</v>
      </c>
      <c r="G368" t="s">
        <v>36</v>
      </c>
      <c r="H368">
        <v>1</v>
      </c>
      <c r="I368" t="s">
        <v>37</v>
      </c>
      <c r="J368" t="s">
        <v>54</v>
      </c>
      <c r="K368">
        <v>3</v>
      </c>
      <c r="L368" t="s">
        <v>39</v>
      </c>
      <c r="M368">
        <v>2</v>
      </c>
      <c r="N368" t="s">
        <v>40</v>
      </c>
      <c r="O368" t="s">
        <v>41</v>
      </c>
      <c r="P368">
        <v>2</v>
      </c>
      <c r="Q368" t="s">
        <v>57</v>
      </c>
      <c r="R368" t="s">
        <v>43</v>
      </c>
      <c r="S368">
        <v>1</v>
      </c>
      <c r="T368" t="s">
        <v>44</v>
      </c>
      <c r="U368" t="s">
        <v>59</v>
      </c>
      <c r="V368">
        <v>18</v>
      </c>
      <c r="W368" t="s">
        <v>45</v>
      </c>
      <c r="X368">
        <v>8</v>
      </c>
      <c r="Y368">
        <v>3</v>
      </c>
      <c r="Z368" t="s">
        <v>61</v>
      </c>
      <c r="AA368">
        <v>8</v>
      </c>
      <c r="AB368" t="s">
        <v>47</v>
      </c>
      <c r="AC368">
        <v>7</v>
      </c>
      <c r="AD368" t="s">
        <v>47</v>
      </c>
      <c r="AE368">
        <v>7</v>
      </c>
      <c r="AF368" t="s">
        <v>71</v>
      </c>
    </row>
    <row r="369" spans="1:32" x14ac:dyDescent="0.25">
      <c r="A369">
        <v>50</v>
      </c>
      <c r="B369" t="s">
        <v>32</v>
      </c>
      <c r="C369" t="s">
        <v>50</v>
      </c>
      <c r="D369" t="s">
        <v>34</v>
      </c>
      <c r="E369" t="s">
        <v>52</v>
      </c>
      <c r="F369">
        <v>10</v>
      </c>
      <c r="G369" t="s">
        <v>53</v>
      </c>
      <c r="H369">
        <v>4</v>
      </c>
      <c r="I369" t="s">
        <v>42</v>
      </c>
      <c r="J369" t="s">
        <v>54</v>
      </c>
      <c r="K369">
        <v>2</v>
      </c>
      <c r="L369" t="s">
        <v>55</v>
      </c>
      <c r="M369">
        <v>3</v>
      </c>
      <c r="N369" t="s">
        <v>68</v>
      </c>
      <c r="O369" t="s">
        <v>70</v>
      </c>
      <c r="P369">
        <v>4</v>
      </c>
      <c r="Q369" t="s">
        <v>42</v>
      </c>
      <c r="R369" t="s">
        <v>43</v>
      </c>
      <c r="S369">
        <v>6</v>
      </c>
      <c r="T369" t="s">
        <v>44</v>
      </c>
      <c r="U369" t="s">
        <v>59</v>
      </c>
      <c r="V369">
        <v>15</v>
      </c>
      <c r="W369" t="s">
        <v>45</v>
      </c>
      <c r="X369">
        <v>20</v>
      </c>
      <c r="Y369">
        <v>3</v>
      </c>
      <c r="Z369" t="s">
        <v>61</v>
      </c>
      <c r="AA369">
        <v>4</v>
      </c>
      <c r="AB369" t="s">
        <v>48</v>
      </c>
      <c r="AC369">
        <v>3</v>
      </c>
      <c r="AD369" t="s">
        <v>48</v>
      </c>
      <c r="AE369">
        <v>1</v>
      </c>
      <c r="AF369" t="s">
        <v>49</v>
      </c>
    </row>
    <row r="370" spans="1:32" x14ac:dyDescent="0.25">
      <c r="A370">
        <v>40</v>
      </c>
      <c r="B370" t="s">
        <v>32</v>
      </c>
      <c r="C370" t="s">
        <v>33</v>
      </c>
      <c r="D370" t="s">
        <v>34</v>
      </c>
      <c r="E370" t="s">
        <v>35</v>
      </c>
      <c r="F370">
        <v>22</v>
      </c>
      <c r="G370" t="s">
        <v>66</v>
      </c>
      <c r="H370">
        <v>3</v>
      </c>
      <c r="I370" t="s">
        <v>42</v>
      </c>
      <c r="J370" t="s">
        <v>54</v>
      </c>
      <c r="K370">
        <v>2</v>
      </c>
      <c r="L370" t="s">
        <v>55</v>
      </c>
      <c r="M370">
        <v>2</v>
      </c>
      <c r="N370" t="s">
        <v>40</v>
      </c>
      <c r="O370" t="s">
        <v>41</v>
      </c>
      <c r="P370">
        <v>3</v>
      </c>
      <c r="Q370" t="s">
        <v>42</v>
      </c>
      <c r="R370" t="s">
        <v>58</v>
      </c>
      <c r="S370">
        <v>2</v>
      </c>
      <c r="T370" t="s">
        <v>44</v>
      </c>
      <c r="U370" t="s">
        <v>44</v>
      </c>
      <c r="V370">
        <v>12</v>
      </c>
      <c r="W370" t="s">
        <v>45</v>
      </c>
      <c r="X370">
        <v>8</v>
      </c>
      <c r="Y370">
        <v>3</v>
      </c>
      <c r="Z370" t="s">
        <v>61</v>
      </c>
      <c r="AA370">
        <v>6</v>
      </c>
      <c r="AB370" t="s">
        <v>47</v>
      </c>
      <c r="AC370">
        <v>4</v>
      </c>
      <c r="AD370" t="s">
        <v>48</v>
      </c>
      <c r="AE370">
        <v>1</v>
      </c>
      <c r="AF370" t="s">
        <v>49</v>
      </c>
    </row>
    <row r="371" spans="1:32" x14ac:dyDescent="0.25">
      <c r="A371">
        <v>31</v>
      </c>
      <c r="B371" t="s">
        <v>32</v>
      </c>
      <c r="C371" t="s">
        <v>50</v>
      </c>
      <c r="D371" t="s">
        <v>34</v>
      </c>
      <c r="E371" t="s">
        <v>52</v>
      </c>
      <c r="F371">
        <v>9</v>
      </c>
      <c r="G371" t="s">
        <v>53</v>
      </c>
      <c r="H371">
        <v>3</v>
      </c>
      <c r="I371" t="s">
        <v>42</v>
      </c>
      <c r="J371" t="s">
        <v>54</v>
      </c>
      <c r="K371">
        <v>2</v>
      </c>
      <c r="L371" t="s">
        <v>55</v>
      </c>
      <c r="M371">
        <v>1</v>
      </c>
      <c r="N371" t="s">
        <v>40</v>
      </c>
      <c r="O371" t="s">
        <v>56</v>
      </c>
      <c r="P371">
        <v>2</v>
      </c>
      <c r="Q371" t="s">
        <v>57</v>
      </c>
      <c r="R371" t="s">
        <v>43</v>
      </c>
      <c r="S371">
        <v>0</v>
      </c>
      <c r="T371" t="s">
        <v>44</v>
      </c>
      <c r="U371" t="s">
        <v>44</v>
      </c>
      <c r="V371">
        <v>16</v>
      </c>
      <c r="W371" t="s">
        <v>45</v>
      </c>
      <c r="X371">
        <v>3</v>
      </c>
      <c r="Y371">
        <v>3</v>
      </c>
      <c r="Z371" t="s">
        <v>61</v>
      </c>
      <c r="AA371">
        <v>2</v>
      </c>
      <c r="AB371" t="s">
        <v>48</v>
      </c>
      <c r="AC371">
        <v>2</v>
      </c>
      <c r="AD371" t="s">
        <v>48</v>
      </c>
      <c r="AE371">
        <v>2</v>
      </c>
      <c r="AF371" t="s">
        <v>49</v>
      </c>
    </row>
    <row r="372" spans="1:32" x14ac:dyDescent="0.25">
      <c r="A372">
        <v>21</v>
      </c>
      <c r="B372" t="s">
        <v>63</v>
      </c>
      <c r="C372" t="s">
        <v>33</v>
      </c>
      <c r="D372" t="s">
        <v>34</v>
      </c>
      <c r="E372" t="s">
        <v>35</v>
      </c>
      <c r="F372">
        <v>12</v>
      </c>
      <c r="G372" t="s">
        <v>53</v>
      </c>
      <c r="H372">
        <v>3</v>
      </c>
      <c r="I372" t="s">
        <v>42</v>
      </c>
      <c r="J372" t="s">
        <v>38</v>
      </c>
      <c r="K372">
        <v>4</v>
      </c>
      <c r="L372" t="s">
        <v>65</v>
      </c>
      <c r="M372">
        <v>1</v>
      </c>
      <c r="N372" t="s">
        <v>40</v>
      </c>
      <c r="O372" t="s">
        <v>75</v>
      </c>
      <c r="P372">
        <v>2</v>
      </c>
      <c r="Q372" t="s">
        <v>57</v>
      </c>
      <c r="R372" t="s">
        <v>43</v>
      </c>
      <c r="S372">
        <v>1</v>
      </c>
      <c r="T372" t="s">
        <v>44</v>
      </c>
      <c r="U372" t="s">
        <v>59</v>
      </c>
      <c r="V372">
        <v>15</v>
      </c>
      <c r="W372" t="s">
        <v>45</v>
      </c>
      <c r="X372">
        <v>1</v>
      </c>
      <c r="Y372">
        <v>3</v>
      </c>
      <c r="Z372" t="s">
        <v>61</v>
      </c>
      <c r="AA372">
        <v>1</v>
      </c>
      <c r="AB372" t="s">
        <v>48</v>
      </c>
      <c r="AC372">
        <v>0</v>
      </c>
      <c r="AD372" t="s">
        <v>48</v>
      </c>
      <c r="AE372">
        <v>0</v>
      </c>
      <c r="AF372" t="s">
        <v>49</v>
      </c>
    </row>
    <row r="373" spans="1:32" x14ac:dyDescent="0.25">
      <c r="A373">
        <v>29</v>
      </c>
      <c r="B373" t="s">
        <v>63</v>
      </c>
      <c r="C373" t="s">
        <v>50</v>
      </c>
      <c r="D373" t="s">
        <v>34</v>
      </c>
      <c r="E373" t="s">
        <v>52</v>
      </c>
      <c r="F373">
        <v>23</v>
      </c>
      <c r="G373" t="s">
        <v>66</v>
      </c>
      <c r="H373">
        <v>4</v>
      </c>
      <c r="I373" t="s">
        <v>42</v>
      </c>
      <c r="J373" t="s">
        <v>54</v>
      </c>
      <c r="K373">
        <v>3</v>
      </c>
      <c r="L373" t="s">
        <v>39</v>
      </c>
      <c r="M373">
        <v>1</v>
      </c>
      <c r="N373" t="s">
        <v>40</v>
      </c>
      <c r="O373" t="s">
        <v>56</v>
      </c>
      <c r="P373">
        <v>4</v>
      </c>
      <c r="Q373" t="s">
        <v>42</v>
      </c>
      <c r="R373" t="s">
        <v>43</v>
      </c>
      <c r="S373">
        <v>9</v>
      </c>
      <c r="T373" t="s">
        <v>44</v>
      </c>
      <c r="U373" t="s">
        <v>59</v>
      </c>
      <c r="V373">
        <v>16</v>
      </c>
      <c r="W373" t="s">
        <v>45</v>
      </c>
      <c r="X373">
        <v>6</v>
      </c>
      <c r="Y373">
        <v>3</v>
      </c>
      <c r="Z373" t="s">
        <v>61</v>
      </c>
      <c r="AA373">
        <v>3</v>
      </c>
      <c r="AB373" t="s">
        <v>48</v>
      </c>
      <c r="AC373">
        <v>2</v>
      </c>
      <c r="AD373" t="s">
        <v>48</v>
      </c>
      <c r="AE373">
        <v>1</v>
      </c>
      <c r="AF373" t="s">
        <v>49</v>
      </c>
    </row>
    <row r="374" spans="1:32" x14ac:dyDescent="0.25">
      <c r="A374">
        <v>35</v>
      </c>
      <c r="B374" t="s">
        <v>32</v>
      </c>
      <c r="C374" t="s">
        <v>50</v>
      </c>
      <c r="D374" t="s">
        <v>34</v>
      </c>
      <c r="E374" t="s">
        <v>52</v>
      </c>
      <c r="F374">
        <v>9</v>
      </c>
      <c r="G374" t="s">
        <v>53</v>
      </c>
      <c r="H374">
        <v>3</v>
      </c>
      <c r="I374" t="s">
        <v>42</v>
      </c>
      <c r="J374" t="s">
        <v>54</v>
      </c>
      <c r="K374">
        <v>2</v>
      </c>
      <c r="L374" t="s">
        <v>55</v>
      </c>
      <c r="M374">
        <v>2</v>
      </c>
      <c r="N374" t="s">
        <v>40</v>
      </c>
      <c r="O374" t="s">
        <v>70</v>
      </c>
      <c r="P374">
        <v>2</v>
      </c>
      <c r="Q374" t="s">
        <v>57</v>
      </c>
      <c r="R374" t="s">
        <v>43</v>
      </c>
      <c r="S374">
        <v>9</v>
      </c>
      <c r="T374" t="s">
        <v>44</v>
      </c>
      <c r="U374" t="s">
        <v>59</v>
      </c>
      <c r="V374">
        <v>19</v>
      </c>
      <c r="W374" t="s">
        <v>45</v>
      </c>
      <c r="X374">
        <v>10</v>
      </c>
      <c r="Y374">
        <v>3</v>
      </c>
      <c r="Z374" t="s">
        <v>61</v>
      </c>
      <c r="AA374">
        <v>1</v>
      </c>
      <c r="AB374" t="s">
        <v>48</v>
      </c>
      <c r="AC374">
        <v>1</v>
      </c>
      <c r="AD374" t="s">
        <v>48</v>
      </c>
      <c r="AE374">
        <v>0</v>
      </c>
      <c r="AF374" t="s">
        <v>49</v>
      </c>
    </row>
    <row r="375" spans="1:32" x14ac:dyDescent="0.25">
      <c r="A375">
        <v>27</v>
      </c>
      <c r="B375" t="s">
        <v>63</v>
      </c>
      <c r="C375" t="s">
        <v>50</v>
      </c>
      <c r="D375" t="s">
        <v>34</v>
      </c>
      <c r="E375" t="s">
        <v>52</v>
      </c>
      <c r="F375">
        <v>1</v>
      </c>
      <c r="G375" t="s">
        <v>36</v>
      </c>
      <c r="H375">
        <v>4</v>
      </c>
      <c r="I375" t="s">
        <v>42</v>
      </c>
      <c r="J375" t="s">
        <v>54</v>
      </c>
      <c r="K375">
        <v>3</v>
      </c>
      <c r="L375" t="s">
        <v>39</v>
      </c>
      <c r="M375">
        <v>1</v>
      </c>
      <c r="N375" t="s">
        <v>40</v>
      </c>
      <c r="O375" t="s">
        <v>62</v>
      </c>
      <c r="P375">
        <v>2</v>
      </c>
      <c r="Q375" t="s">
        <v>57</v>
      </c>
      <c r="R375" t="s">
        <v>67</v>
      </c>
      <c r="S375">
        <v>1</v>
      </c>
      <c r="T375" t="s">
        <v>44</v>
      </c>
      <c r="U375" t="s">
        <v>59</v>
      </c>
      <c r="V375">
        <v>11</v>
      </c>
      <c r="W375" t="s">
        <v>45</v>
      </c>
      <c r="X375">
        <v>5</v>
      </c>
      <c r="Y375">
        <v>3</v>
      </c>
      <c r="Z375" t="s">
        <v>61</v>
      </c>
      <c r="AA375">
        <v>5</v>
      </c>
      <c r="AB375" t="s">
        <v>47</v>
      </c>
      <c r="AC375">
        <v>2</v>
      </c>
      <c r="AD375" t="s">
        <v>48</v>
      </c>
      <c r="AE375">
        <v>0</v>
      </c>
      <c r="AF375" t="s">
        <v>49</v>
      </c>
    </row>
    <row r="376" spans="1:32" x14ac:dyDescent="0.25">
      <c r="A376">
        <v>28</v>
      </c>
      <c r="B376" t="s">
        <v>63</v>
      </c>
      <c r="C376" t="s">
        <v>50</v>
      </c>
      <c r="D376" t="s">
        <v>34</v>
      </c>
      <c r="E376" t="s">
        <v>35</v>
      </c>
      <c r="F376">
        <v>9</v>
      </c>
      <c r="G376" t="s">
        <v>53</v>
      </c>
      <c r="H376">
        <v>2</v>
      </c>
      <c r="I376" t="s">
        <v>37</v>
      </c>
      <c r="J376" t="s">
        <v>54</v>
      </c>
      <c r="K376">
        <v>3</v>
      </c>
      <c r="L376" t="s">
        <v>39</v>
      </c>
      <c r="M376">
        <v>2</v>
      </c>
      <c r="N376" t="s">
        <v>40</v>
      </c>
      <c r="O376" t="s">
        <v>41</v>
      </c>
      <c r="P376">
        <v>4</v>
      </c>
      <c r="Q376" t="s">
        <v>42</v>
      </c>
      <c r="R376" t="s">
        <v>43</v>
      </c>
      <c r="S376">
        <v>1</v>
      </c>
      <c r="T376" t="s">
        <v>44</v>
      </c>
      <c r="U376" t="s">
        <v>59</v>
      </c>
      <c r="V376">
        <v>16</v>
      </c>
      <c r="W376" t="s">
        <v>45</v>
      </c>
      <c r="X376">
        <v>7</v>
      </c>
      <c r="Y376">
        <v>3</v>
      </c>
      <c r="Z376" t="s">
        <v>61</v>
      </c>
      <c r="AA376">
        <v>7</v>
      </c>
      <c r="AB376" t="s">
        <v>47</v>
      </c>
      <c r="AC376">
        <v>5</v>
      </c>
      <c r="AD376" t="s">
        <v>47</v>
      </c>
      <c r="AE376">
        <v>0</v>
      </c>
      <c r="AF376" t="s">
        <v>49</v>
      </c>
    </row>
    <row r="377" spans="1:32" x14ac:dyDescent="0.25">
      <c r="A377">
        <v>49</v>
      </c>
      <c r="B377" t="s">
        <v>32</v>
      </c>
      <c r="C377" t="s">
        <v>50</v>
      </c>
      <c r="D377" t="s">
        <v>34</v>
      </c>
      <c r="E377" t="s">
        <v>52</v>
      </c>
      <c r="F377">
        <v>7</v>
      </c>
      <c r="G377" t="s">
        <v>53</v>
      </c>
      <c r="H377">
        <v>2</v>
      </c>
      <c r="I377" t="s">
        <v>37</v>
      </c>
      <c r="J377" t="s">
        <v>54</v>
      </c>
      <c r="K377">
        <v>2</v>
      </c>
      <c r="L377" t="s">
        <v>55</v>
      </c>
      <c r="M377">
        <v>3</v>
      </c>
      <c r="N377" t="s">
        <v>68</v>
      </c>
      <c r="O377" t="s">
        <v>70</v>
      </c>
      <c r="P377">
        <v>3</v>
      </c>
      <c r="Q377" t="s">
        <v>42</v>
      </c>
      <c r="R377" t="s">
        <v>43</v>
      </c>
      <c r="S377">
        <v>8</v>
      </c>
      <c r="T377" t="s">
        <v>44</v>
      </c>
      <c r="U377" t="s">
        <v>59</v>
      </c>
      <c r="V377">
        <v>24</v>
      </c>
      <c r="W377" t="s">
        <v>60</v>
      </c>
      <c r="X377">
        <v>26</v>
      </c>
      <c r="Y377">
        <v>3</v>
      </c>
      <c r="Z377" t="s">
        <v>61</v>
      </c>
      <c r="AA377">
        <v>5</v>
      </c>
      <c r="AB377" t="s">
        <v>47</v>
      </c>
      <c r="AC377">
        <v>2</v>
      </c>
      <c r="AD377" t="s">
        <v>48</v>
      </c>
      <c r="AE377">
        <v>0</v>
      </c>
      <c r="AF377" t="s">
        <v>49</v>
      </c>
    </row>
    <row r="378" spans="1:32" x14ac:dyDescent="0.25">
      <c r="A378">
        <v>51</v>
      </c>
      <c r="B378" t="s">
        <v>64</v>
      </c>
      <c r="C378" t="s">
        <v>50</v>
      </c>
      <c r="D378" t="s">
        <v>34</v>
      </c>
      <c r="E378" t="s">
        <v>35</v>
      </c>
      <c r="F378">
        <v>14</v>
      </c>
      <c r="G378" t="s">
        <v>53</v>
      </c>
      <c r="H378">
        <v>3</v>
      </c>
      <c r="I378" t="s">
        <v>42</v>
      </c>
      <c r="J378" t="s">
        <v>38</v>
      </c>
      <c r="K378">
        <v>3</v>
      </c>
      <c r="L378" t="s">
        <v>39</v>
      </c>
      <c r="M378">
        <v>2</v>
      </c>
      <c r="N378" t="s">
        <v>40</v>
      </c>
      <c r="O378" t="s">
        <v>41</v>
      </c>
      <c r="P378">
        <v>4</v>
      </c>
      <c r="Q378" t="s">
        <v>42</v>
      </c>
      <c r="R378" t="s">
        <v>58</v>
      </c>
      <c r="S378">
        <v>4</v>
      </c>
      <c r="T378" t="s">
        <v>44</v>
      </c>
      <c r="U378" t="s">
        <v>59</v>
      </c>
      <c r="V378">
        <v>11</v>
      </c>
      <c r="W378" t="s">
        <v>45</v>
      </c>
      <c r="X378">
        <v>18</v>
      </c>
      <c r="Y378">
        <v>2</v>
      </c>
      <c r="Z378" t="s">
        <v>46</v>
      </c>
      <c r="AA378">
        <v>7</v>
      </c>
      <c r="AB378" t="s">
        <v>47</v>
      </c>
      <c r="AC378">
        <v>7</v>
      </c>
      <c r="AD378" t="s">
        <v>47</v>
      </c>
      <c r="AE378">
        <v>0</v>
      </c>
      <c r="AF378" t="s">
        <v>49</v>
      </c>
    </row>
    <row r="379" spans="1:32" x14ac:dyDescent="0.25">
      <c r="A379">
        <v>36</v>
      </c>
      <c r="B379" t="s">
        <v>32</v>
      </c>
      <c r="C379" t="s">
        <v>50</v>
      </c>
      <c r="D379" t="s">
        <v>34</v>
      </c>
      <c r="E379" t="s">
        <v>52</v>
      </c>
      <c r="F379">
        <v>2</v>
      </c>
      <c r="G379" t="s">
        <v>36</v>
      </c>
      <c r="H379">
        <v>4</v>
      </c>
      <c r="I379" t="s">
        <v>42</v>
      </c>
      <c r="J379" t="s">
        <v>38</v>
      </c>
      <c r="K379">
        <v>3</v>
      </c>
      <c r="L379" t="s">
        <v>39</v>
      </c>
      <c r="M379">
        <v>1</v>
      </c>
      <c r="N379" t="s">
        <v>40</v>
      </c>
      <c r="O379" t="s">
        <v>56</v>
      </c>
      <c r="P379">
        <v>3</v>
      </c>
      <c r="Q379" t="s">
        <v>42</v>
      </c>
      <c r="R379" t="s">
        <v>58</v>
      </c>
      <c r="S379">
        <v>4</v>
      </c>
      <c r="T379" t="s">
        <v>44</v>
      </c>
      <c r="U379" t="s">
        <v>59</v>
      </c>
      <c r="V379">
        <v>13</v>
      </c>
      <c r="W379" t="s">
        <v>45</v>
      </c>
      <c r="X379">
        <v>6</v>
      </c>
      <c r="Y379">
        <v>3</v>
      </c>
      <c r="Z379" t="s">
        <v>61</v>
      </c>
      <c r="AA379">
        <v>2</v>
      </c>
      <c r="AB379" t="s">
        <v>48</v>
      </c>
      <c r="AC379">
        <v>2</v>
      </c>
      <c r="AD379" t="s">
        <v>48</v>
      </c>
      <c r="AE379">
        <v>2</v>
      </c>
      <c r="AF379" t="s">
        <v>49</v>
      </c>
    </row>
    <row r="380" spans="1:32" x14ac:dyDescent="0.25">
      <c r="A380">
        <v>34</v>
      </c>
      <c r="B380" t="s">
        <v>32</v>
      </c>
      <c r="C380" t="s">
        <v>33</v>
      </c>
      <c r="D380" t="s">
        <v>34</v>
      </c>
      <c r="E380" t="s">
        <v>35</v>
      </c>
      <c r="F380">
        <v>19</v>
      </c>
      <c r="G380" t="s">
        <v>66</v>
      </c>
      <c r="H380">
        <v>1</v>
      </c>
      <c r="I380" t="s">
        <v>37</v>
      </c>
      <c r="J380" t="s">
        <v>54</v>
      </c>
      <c r="K380">
        <v>4</v>
      </c>
      <c r="L380" t="s">
        <v>65</v>
      </c>
      <c r="M380">
        <v>2</v>
      </c>
      <c r="N380" t="s">
        <v>40</v>
      </c>
      <c r="O380" t="s">
        <v>41</v>
      </c>
      <c r="P380">
        <v>4</v>
      </c>
      <c r="Q380" t="s">
        <v>42</v>
      </c>
      <c r="R380" t="s">
        <v>43</v>
      </c>
      <c r="S380">
        <v>8</v>
      </c>
      <c r="T380" t="s">
        <v>44</v>
      </c>
      <c r="U380" t="s">
        <v>44</v>
      </c>
      <c r="V380">
        <v>13</v>
      </c>
      <c r="W380" t="s">
        <v>45</v>
      </c>
      <c r="X380">
        <v>9</v>
      </c>
      <c r="Y380">
        <v>2</v>
      </c>
      <c r="Z380" t="s">
        <v>46</v>
      </c>
      <c r="AA380">
        <v>5</v>
      </c>
      <c r="AB380" t="s">
        <v>47</v>
      </c>
      <c r="AC380">
        <v>2</v>
      </c>
      <c r="AD380" t="s">
        <v>48</v>
      </c>
      <c r="AE380">
        <v>0</v>
      </c>
      <c r="AF380" t="s">
        <v>49</v>
      </c>
    </row>
    <row r="381" spans="1:32" x14ac:dyDescent="0.25">
      <c r="A381">
        <v>55</v>
      </c>
      <c r="B381" t="s">
        <v>64</v>
      </c>
      <c r="C381" t="s">
        <v>50</v>
      </c>
      <c r="D381" t="s">
        <v>34</v>
      </c>
      <c r="E381" t="s">
        <v>52</v>
      </c>
      <c r="F381">
        <v>2</v>
      </c>
      <c r="G381" t="s">
        <v>36</v>
      </c>
      <c r="H381">
        <v>3</v>
      </c>
      <c r="I381" t="s">
        <v>42</v>
      </c>
      <c r="J381" t="s">
        <v>38</v>
      </c>
      <c r="K381">
        <v>3</v>
      </c>
      <c r="L381" t="s">
        <v>39</v>
      </c>
      <c r="M381">
        <v>4</v>
      </c>
      <c r="N381" t="s">
        <v>72</v>
      </c>
      <c r="O381" t="s">
        <v>73</v>
      </c>
      <c r="P381">
        <v>4</v>
      </c>
      <c r="Q381" t="s">
        <v>42</v>
      </c>
      <c r="R381" t="s">
        <v>43</v>
      </c>
      <c r="S381">
        <v>2</v>
      </c>
      <c r="T381" t="s">
        <v>44</v>
      </c>
      <c r="U381" t="s">
        <v>44</v>
      </c>
      <c r="V381">
        <v>13</v>
      </c>
      <c r="W381" t="s">
        <v>45</v>
      </c>
      <c r="X381">
        <v>30</v>
      </c>
      <c r="Y381">
        <v>3</v>
      </c>
      <c r="Z381" t="s">
        <v>61</v>
      </c>
      <c r="AA381">
        <v>5</v>
      </c>
      <c r="AB381" t="s">
        <v>47</v>
      </c>
      <c r="AC381">
        <v>4</v>
      </c>
      <c r="AD381" t="s">
        <v>48</v>
      </c>
      <c r="AE381">
        <v>1</v>
      </c>
      <c r="AF381" t="s">
        <v>49</v>
      </c>
    </row>
    <row r="382" spans="1:32" x14ac:dyDescent="0.25">
      <c r="A382">
        <v>24</v>
      </c>
      <c r="B382" t="s">
        <v>63</v>
      </c>
      <c r="C382" t="s">
        <v>50</v>
      </c>
      <c r="D382" t="s">
        <v>34</v>
      </c>
      <c r="E382" t="s">
        <v>35</v>
      </c>
      <c r="F382">
        <v>10</v>
      </c>
      <c r="G382" t="s">
        <v>53</v>
      </c>
      <c r="H382">
        <v>4</v>
      </c>
      <c r="I382" t="s">
        <v>42</v>
      </c>
      <c r="J382" t="s">
        <v>38</v>
      </c>
      <c r="K382">
        <v>3</v>
      </c>
      <c r="L382" t="s">
        <v>39</v>
      </c>
      <c r="M382">
        <v>2</v>
      </c>
      <c r="N382" t="s">
        <v>40</v>
      </c>
      <c r="O382" t="s">
        <v>41</v>
      </c>
      <c r="P382">
        <v>3</v>
      </c>
      <c r="Q382" t="s">
        <v>42</v>
      </c>
      <c r="R382" t="s">
        <v>67</v>
      </c>
      <c r="S382">
        <v>1</v>
      </c>
      <c r="T382" t="s">
        <v>44</v>
      </c>
      <c r="U382" t="s">
        <v>44</v>
      </c>
      <c r="V382">
        <v>12</v>
      </c>
      <c r="W382" t="s">
        <v>45</v>
      </c>
      <c r="X382">
        <v>5</v>
      </c>
      <c r="Y382">
        <v>4</v>
      </c>
      <c r="Z382" t="s">
        <v>61</v>
      </c>
      <c r="AA382">
        <v>5</v>
      </c>
      <c r="AB382" t="s">
        <v>47</v>
      </c>
      <c r="AC382">
        <v>2</v>
      </c>
      <c r="AD382" t="s">
        <v>48</v>
      </c>
      <c r="AE382">
        <v>0</v>
      </c>
      <c r="AF382" t="s">
        <v>49</v>
      </c>
    </row>
    <row r="383" spans="1:32" x14ac:dyDescent="0.25">
      <c r="A383">
        <v>30</v>
      </c>
      <c r="B383" t="s">
        <v>32</v>
      </c>
      <c r="C383" t="s">
        <v>50</v>
      </c>
      <c r="D383" t="s">
        <v>34</v>
      </c>
      <c r="E383" t="s">
        <v>35</v>
      </c>
      <c r="F383">
        <v>2</v>
      </c>
      <c r="G383" t="s">
        <v>36</v>
      </c>
      <c r="H383">
        <v>3</v>
      </c>
      <c r="I383" t="s">
        <v>42</v>
      </c>
      <c r="J383" t="s">
        <v>54</v>
      </c>
      <c r="K383">
        <v>3</v>
      </c>
      <c r="L383" t="s">
        <v>39</v>
      </c>
      <c r="M383">
        <v>1</v>
      </c>
      <c r="N383" t="s">
        <v>40</v>
      </c>
      <c r="O383" t="s">
        <v>75</v>
      </c>
      <c r="P383">
        <v>2</v>
      </c>
      <c r="Q383" t="s">
        <v>57</v>
      </c>
      <c r="R383" t="s">
        <v>58</v>
      </c>
      <c r="S383">
        <v>1</v>
      </c>
      <c r="T383" t="s">
        <v>44</v>
      </c>
      <c r="U383" t="s">
        <v>59</v>
      </c>
      <c r="V383">
        <v>18</v>
      </c>
      <c r="W383" t="s">
        <v>45</v>
      </c>
      <c r="X383">
        <v>1</v>
      </c>
      <c r="Y383">
        <v>3</v>
      </c>
      <c r="Z383" t="s">
        <v>61</v>
      </c>
      <c r="AA383">
        <v>1</v>
      </c>
      <c r="AB383" t="s">
        <v>48</v>
      </c>
      <c r="AC383">
        <v>0</v>
      </c>
      <c r="AD383" t="s">
        <v>48</v>
      </c>
      <c r="AE383">
        <v>0</v>
      </c>
      <c r="AF383" t="s">
        <v>49</v>
      </c>
    </row>
    <row r="384" spans="1:32" x14ac:dyDescent="0.25">
      <c r="A384">
        <v>26</v>
      </c>
      <c r="B384" t="s">
        <v>63</v>
      </c>
      <c r="C384" t="s">
        <v>33</v>
      </c>
      <c r="D384" t="s">
        <v>51</v>
      </c>
      <c r="E384" t="s">
        <v>52</v>
      </c>
      <c r="F384">
        <v>3</v>
      </c>
      <c r="G384" t="s">
        <v>36</v>
      </c>
      <c r="H384">
        <v>3</v>
      </c>
      <c r="I384" t="s">
        <v>42</v>
      </c>
      <c r="J384" t="s">
        <v>54</v>
      </c>
      <c r="K384">
        <v>3</v>
      </c>
      <c r="L384" t="s">
        <v>39</v>
      </c>
      <c r="M384">
        <v>1</v>
      </c>
      <c r="N384" t="s">
        <v>40</v>
      </c>
      <c r="O384" t="s">
        <v>56</v>
      </c>
      <c r="P384">
        <v>1</v>
      </c>
      <c r="Q384" t="s">
        <v>57</v>
      </c>
      <c r="R384" t="s">
        <v>43</v>
      </c>
      <c r="S384">
        <v>0</v>
      </c>
      <c r="T384" t="s">
        <v>44</v>
      </c>
      <c r="U384" t="s">
        <v>59</v>
      </c>
      <c r="V384">
        <v>22</v>
      </c>
      <c r="W384" t="s">
        <v>60</v>
      </c>
      <c r="X384">
        <v>7</v>
      </c>
      <c r="Y384">
        <v>3</v>
      </c>
      <c r="Z384" t="s">
        <v>61</v>
      </c>
      <c r="AA384">
        <v>6</v>
      </c>
      <c r="AB384" t="s">
        <v>47</v>
      </c>
      <c r="AC384">
        <v>4</v>
      </c>
      <c r="AD384" t="s">
        <v>48</v>
      </c>
      <c r="AE384">
        <v>0</v>
      </c>
      <c r="AF384" t="s">
        <v>49</v>
      </c>
    </row>
    <row r="385" spans="1:32" x14ac:dyDescent="0.25">
      <c r="A385">
        <v>22</v>
      </c>
      <c r="B385" t="s">
        <v>63</v>
      </c>
      <c r="C385" t="s">
        <v>50</v>
      </c>
      <c r="D385" t="s">
        <v>34</v>
      </c>
      <c r="E385" t="s">
        <v>52</v>
      </c>
      <c r="F385">
        <v>11</v>
      </c>
      <c r="G385" t="s">
        <v>53</v>
      </c>
      <c r="H385">
        <v>1</v>
      </c>
      <c r="I385" t="s">
        <v>37</v>
      </c>
      <c r="J385" t="s">
        <v>38</v>
      </c>
      <c r="K385">
        <v>3</v>
      </c>
      <c r="L385" t="s">
        <v>39</v>
      </c>
      <c r="M385">
        <v>1</v>
      </c>
      <c r="N385" t="s">
        <v>40</v>
      </c>
      <c r="O385" t="s">
        <v>56</v>
      </c>
      <c r="P385">
        <v>2</v>
      </c>
      <c r="Q385" t="s">
        <v>57</v>
      </c>
      <c r="R385" t="s">
        <v>58</v>
      </c>
      <c r="S385">
        <v>1</v>
      </c>
      <c r="T385" t="s">
        <v>44</v>
      </c>
      <c r="U385" t="s">
        <v>59</v>
      </c>
      <c r="V385">
        <v>13</v>
      </c>
      <c r="W385" t="s">
        <v>45</v>
      </c>
      <c r="X385">
        <v>2</v>
      </c>
      <c r="Y385">
        <v>3</v>
      </c>
      <c r="Z385" t="s">
        <v>61</v>
      </c>
      <c r="AA385">
        <v>2</v>
      </c>
      <c r="AB385" t="s">
        <v>48</v>
      </c>
      <c r="AC385">
        <v>1</v>
      </c>
      <c r="AD385" t="s">
        <v>48</v>
      </c>
      <c r="AE385">
        <v>1</v>
      </c>
      <c r="AF385" t="s">
        <v>49</v>
      </c>
    </row>
    <row r="386" spans="1:32" x14ac:dyDescent="0.25">
      <c r="A386">
        <v>36</v>
      </c>
      <c r="B386" t="s">
        <v>32</v>
      </c>
      <c r="C386" t="s">
        <v>50</v>
      </c>
      <c r="D386" t="s">
        <v>34</v>
      </c>
      <c r="E386" t="s">
        <v>35</v>
      </c>
      <c r="F386">
        <v>2</v>
      </c>
      <c r="G386" t="s">
        <v>36</v>
      </c>
      <c r="H386">
        <v>2</v>
      </c>
      <c r="I386" t="s">
        <v>37</v>
      </c>
      <c r="J386" t="s">
        <v>54</v>
      </c>
      <c r="K386">
        <v>2</v>
      </c>
      <c r="L386" t="s">
        <v>55</v>
      </c>
      <c r="M386">
        <v>3</v>
      </c>
      <c r="N386" t="s">
        <v>68</v>
      </c>
      <c r="O386" t="s">
        <v>41</v>
      </c>
      <c r="P386">
        <v>3</v>
      </c>
      <c r="Q386" t="s">
        <v>42</v>
      </c>
      <c r="R386" t="s">
        <v>58</v>
      </c>
      <c r="S386">
        <v>1</v>
      </c>
      <c r="T386" t="s">
        <v>44</v>
      </c>
      <c r="U386" t="s">
        <v>59</v>
      </c>
      <c r="V386">
        <v>13</v>
      </c>
      <c r="W386" t="s">
        <v>45</v>
      </c>
      <c r="X386">
        <v>10</v>
      </c>
      <c r="Y386">
        <v>3</v>
      </c>
      <c r="Z386" t="s">
        <v>61</v>
      </c>
      <c r="AA386">
        <v>10</v>
      </c>
      <c r="AB386" t="s">
        <v>47</v>
      </c>
      <c r="AC386">
        <v>9</v>
      </c>
      <c r="AD386" t="s">
        <v>47</v>
      </c>
      <c r="AE386">
        <v>9</v>
      </c>
      <c r="AF386" t="s">
        <v>71</v>
      </c>
    </row>
    <row r="387" spans="1:32" x14ac:dyDescent="0.25">
      <c r="A387">
        <v>30</v>
      </c>
      <c r="B387" t="s">
        <v>32</v>
      </c>
      <c r="C387" t="s">
        <v>33</v>
      </c>
      <c r="D387" t="s">
        <v>51</v>
      </c>
      <c r="E387" t="s">
        <v>52</v>
      </c>
      <c r="F387">
        <v>4</v>
      </c>
      <c r="G387" t="s">
        <v>36</v>
      </c>
      <c r="H387">
        <v>3</v>
      </c>
      <c r="I387" t="s">
        <v>42</v>
      </c>
      <c r="J387" t="s">
        <v>54</v>
      </c>
      <c r="K387">
        <v>3</v>
      </c>
      <c r="L387" t="s">
        <v>39</v>
      </c>
      <c r="M387">
        <v>1</v>
      </c>
      <c r="N387" t="s">
        <v>40</v>
      </c>
      <c r="O387" t="s">
        <v>56</v>
      </c>
      <c r="P387">
        <v>4</v>
      </c>
      <c r="Q387" t="s">
        <v>42</v>
      </c>
      <c r="R387" t="s">
        <v>43</v>
      </c>
      <c r="S387">
        <v>9</v>
      </c>
      <c r="T387" t="s">
        <v>44</v>
      </c>
      <c r="U387" t="s">
        <v>44</v>
      </c>
      <c r="V387">
        <v>23</v>
      </c>
      <c r="W387" t="s">
        <v>60</v>
      </c>
      <c r="X387">
        <v>3</v>
      </c>
      <c r="Y387">
        <v>3</v>
      </c>
      <c r="Z387" t="s">
        <v>61</v>
      </c>
      <c r="AA387">
        <v>1</v>
      </c>
      <c r="AB387" t="s">
        <v>48</v>
      </c>
      <c r="AC387">
        <v>0</v>
      </c>
      <c r="AD387" t="s">
        <v>48</v>
      </c>
      <c r="AE387">
        <v>0</v>
      </c>
      <c r="AF387" t="s">
        <v>49</v>
      </c>
    </row>
    <row r="388" spans="1:32" x14ac:dyDescent="0.25">
      <c r="A388">
        <v>37</v>
      </c>
      <c r="B388" t="s">
        <v>32</v>
      </c>
      <c r="C388" t="s">
        <v>50</v>
      </c>
      <c r="D388" t="s">
        <v>34</v>
      </c>
      <c r="E388" t="s">
        <v>52</v>
      </c>
      <c r="F388">
        <v>14</v>
      </c>
      <c r="G388" t="s">
        <v>53</v>
      </c>
      <c r="H388">
        <v>4</v>
      </c>
      <c r="I388" t="s">
        <v>42</v>
      </c>
      <c r="J388" t="s">
        <v>38</v>
      </c>
      <c r="K388">
        <v>3</v>
      </c>
      <c r="L388" t="s">
        <v>39</v>
      </c>
      <c r="M388">
        <v>1</v>
      </c>
      <c r="N388" t="s">
        <v>40</v>
      </c>
      <c r="O388" t="s">
        <v>62</v>
      </c>
      <c r="P388">
        <v>1</v>
      </c>
      <c r="Q388" t="s">
        <v>57</v>
      </c>
      <c r="R388" t="s">
        <v>67</v>
      </c>
      <c r="S388">
        <v>1</v>
      </c>
      <c r="T388" t="s">
        <v>44</v>
      </c>
      <c r="U388" t="s">
        <v>59</v>
      </c>
      <c r="V388">
        <v>12</v>
      </c>
      <c r="W388" t="s">
        <v>45</v>
      </c>
      <c r="X388">
        <v>18</v>
      </c>
      <c r="Y388">
        <v>2</v>
      </c>
      <c r="Z388" t="s">
        <v>46</v>
      </c>
      <c r="AA388">
        <v>18</v>
      </c>
      <c r="AB388" t="s">
        <v>74</v>
      </c>
      <c r="AC388">
        <v>7</v>
      </c>
      <c r="AD388" t="s">
        <v>47</v>
      </c>
      <c r="AE388">
        <v>12</v>
      </c>
      <c r="AF388" t="s">
        <v>71</v>
      </c>
    </row>
    <row r="389" spans="1:32" x14ac:dyDescent="0.25">
      <c r="A389">
        <v>40</v>
      </c>
      <c r="B389" t="s">
        <v>32</v>
      </c>
      <c r="C389" t="s">
        <v>50</v>
      </c>
      <c r="D389" t="s">
        <v>34</v>
      </c>
      <c r="E389" t="s">
        <v>35</v>
      </c>
      <c r="F389">
        <v>2</v>
      </c>
      <c r="G389" t="s">
        <v>36</v>
      </c>
      <c r="H389">
        <v>4</v>
      </c>
      <c r="I389" t="s">
        <v>42</v>
      </c>
      <c r="J389" t="s">
        <v>38</v>
      </c>
      <c r="K389">
        <v>3</v>
      </c>
      <c r="L389" t="s">
        <v>39</v>
      </c>
      <c r="M389">
        <v>2</v>
      </c>
      <c r="N389" t="s">
        <v>40</v>
      </c>
      <c r="O389" t="s">
        <v>41</v>
      </c>
      <c r="P389">
        <v>2</v>
      </c>
      <c r="Q389" t="s">
        <v>57</v>
      </c>
      <c r="R389" t="s">
        <v>67</v>
      </c>
      <c r="S389">
        <v>7</v>
      </c>
      <c r="T389" t="s">
        <v>44</v>
      </c>
      <c r="U389" t="s">
        <v>59</v>
      </c>
      <c r="V389">
        <v>12</v>
      </c>
      <c r="W389" t="s">
        <v>45</v>
      </c>
      <c r="X389">
        <v>8</v>
      </c>
      <c r="Y389">
        <v>3</v>
      </c>
      <c r="Z389" t="s">
        <v>61</v>
      </c>
      <c r="AA389">
        <v>5</v>
      </c>
      <c r="AB389" t="s">
        <v>47</v>
      </c>
      <c r="AC389">
        <v>4</v>
      </c>
      <c r="AD389" t="s">
        <v>48</v>
      </c>
      <c r="AE389">
        <v>1</v>
      </c>
      <c r="AF389" t="s">
        <v>49</v>
      </c>
    </row>
    <row r="390" spans="1:32" x14ac:dyDescent="0.25">
      <c r="A390">
        <v>42</v>
      </c>
      <c r="B390" t="s">
        <v>32</v>
      </c>
      <c r="C390" t="s">
        <v>50</v>
      </c>
      <c r="D390" t="s">
        <v>34</v>
      </c>
      <c r="E390" t="s">
        <v>52</v>
      </c>
      <c r="F390">
        <v>1</v>
      </c>
      <c r="G390" t="s">
        <v>36</v>
      </c>
      <c r="H390">
        <v>2</v>
      </c>
      <c r="I390" t="s">
        <v>37</v>
      </c>
      <c r="J390" t="s">
        <v>38</v>
      </c>
      <c r="K390">
        <v>3</v>
      </c>
      <c r="L390" t="s">
        <v>39</v>
      </c>
      <c r="M390">
        <v>1</v>
      </c>
      <c r="N390" t="s">
        <v>40</v>
      </c>
      <c r="O390" t="s">
        <v>62</v>
      </c>
      <c r="P390">
        <v>1</v>
      </c>
      <c r="Q390" t="s">
        <v>57</v>
      </c>
      <c r="R390" t="s">
        <v>67</v>
      </c>
      <c r="S390">
        <v>3</v>
      </c>
      <c r="T390" t="s">
        <v>44</v>
      </c>
      <c r="U390" t="s">
        <v>59</v>
      </c>
      <c r="V390">
        <v>16</v>
      </c>
      <c r="W390" t="s">
        <v>45</v>
      </c>
      <c r="X390">
        <v>8</v>
      </c>
      <c r="Y390">
        <v>3</v>
      </c>
      <c r="Z390" t="s">
        <v>61</v>
      </c>
      <c r="AA390">
        <v>5</v>
      </c>
      <c r="AB390" t="s">
        <v>47</v>
      </c>
      <c r="AC390">
        <v>2</v>
      </c>
      <c r="AD390" t="s">
        <v>48</v>
      </c>
      <c r="AE390">
        <v>1</v>
      </c>
      <c r="AF390" t="s">
        <v>49</v>
      </c>
    </row>
    <row r="391" spans="1:32" x14ac:dyDescent="0.25">
      <c r="A391">
        <v>37</v>
      </c>
      <c r="B391" t="s">
        <v>32</v>
      </c>
      <c r="C391" t="s">
        <v>50</v>
      </c>
      <c r="D391" t="s">
        <v>34</v>
      </c>
      <c r="E391" t="s">
        <v>52</v>
      </c>
      <c r="F391">
        <v>10</v>
      </c>
      <c r="G391" t="s">
        <v>53</v>
      </c>
      <c r="H391">
        <v>3</v>
      </c>
      <c r="I391" t="s">
        <v>42</v>
      </c>
      <c r="J391" t="s">
        <v>54</v>
      </c>
      <c r="K391">
        <v>3</v>
      </c>
      <c r="L391" t="s">
        <v>39</v>
      </c>
      <c r="M391">
        <v>2</v>
      </c>
      <c r="N391" t="s">
        <v>40</v>
      </c>
      <c r="O391" t="s">
        <v>69</v>
      </c>
      <c r="P391">
        <v>2</v>
      </c>
      <c r="Q391" t="s">
        <v>57</v>
      </c>
      <c r="R391" t="s">
        <v>43</v>
      </c>
      <c r="S391">
        <v>2</v>
      </c>
      <c r="T391" t="s">
        <v>44</v>
      </c>
      <c r="U391" t="s">
        <v>44</v>
      </c>
      <c r="V391">
        <v>12</v>
      </c>
      <c r="W391" t="s">
        <v>45</v>
      </c>
      <c r="X391">
        <v>18</v>
      </c>
      <c r="Y391">
        <v>2</v>
      </c>
      <c r="Z391" t="s">
        <v>46</v>
      </c>
      <c r="AA391">
        <v>1</v>
      </c>
      <c r="AB391" t="s">
        <v>48</v>
      </c>
      <c r="AC391">
        <v>0</v>
      </c>
      <c r="AD391" t="s">
        <v>48</v>
      </c>
      <c r="AE391">
        <v>0</v>
      </c>
      <c r="AF391" t="s">
        <v>49</v>
      </c>
    </row>
    <row r="392" spans="1:32" x14ac:dyDescent="0.25">
      <c r="A392">
        <v>43</v>
      </c>
      <c r="B392" t="s">
        <v>32</v>
      </c>
      <c r="C392" t="s">
        <v>50</v>
      </c>
      <c r="D392" t="s">
        <v>34</v>
      </c>
      <c r="E392" t="s">
        <v>52</v>
      </c>
      <c r="F392">
        <v>12</v>
      </c>
      <c r="G392" t="s">
        <v>53</v>
      </c>
      <c r="H392">
        <v>1</v>
      </c>
      <c r="I392" t="s">
        <v>37</v>
      </c>
      <c r="J392" t="s">
        <v>54</v>
      </c>
      <c r="K392">
        <v>2</v>
      </c>
      <c r="L392" t="s">
        <v>55</v>
      </c>
      <c r="M392">
        <v>4</v>
      </c>
      <c r="N392" t="s">
        <v>72</v>
      </c>
      <c r="O392" t="s">
        <v>76</v>
      </c>
      <c r="P392">
        <v>2</v>
      </c>
      <c r="Q392" t="s">
        <v>57</v>
      </c>
      <c r="R392" t="s">
        <v>67</v>
      </c>
      <c r="S392">
        <v>1</v>
      </c>
      <c r="T392" t="s">
        <v>44</v>
      </c>
      <c r="U392" t="s">
        <v>59</v>
      </c>
      <c r="V392">
        <v>11</v>
      </c>
      <c r="W392" t="s">
        <v>45</v>
      </c>
      <c r="X392">
        <v>25</v>
      </c>
      <c r="Y392">
        <v>3</v>
      </c>
      <c r="Z392" t="s">
        <v>61</v>
      </c>
      <c r="AA392">
        <v>25</v>
      </c>
      <c r="AB392" t="s">
        <v>74</v>
      </c>
      <c r="AC392">
        <v>10</v>
      </c>
      <c r="AD392" t="s">
        <v>47</v>
      </c>
      <c r="AE392">
        <v>3</v>
      </c>
      <c r="AF392" t="s">
        <v>49</v>
      </c>
    </row>
    <row r="393" spans="1:32" x14ac:dyDescent="0.25">
      <c r="A393">
        <v>40</v>
      </c>
      <c r="B393" t="s">
        <v>32</v>
      </c>
      <c r="C393" t="s">
        <v>50</v>
      </c>
      <c r="D393" t="s">
        <v>34</v>
      </c>
      <c r="E393" t="s">
        <v>52</v>
      </c>
      <c r="F393">
        <v>2</v>
      </c>
      <c r="G393" t="s">
        <v>36</v>
      </c>
      <c r="H393">
        <v>2</v>
      </c>
      <c r="I393" t="s">
        <v>37</v>
      </c>
      <c r="J393" t="s">
        <v>38</v>
      </c>
      <c r="K393">
        <v>2</v>
      </c>
      <c r="L393" t="s">
        <v>55</v>
      </c>
      <c r="M393">
        <v>2</v>
      </c>
      <c r="N393" t="s">
        <v>40</v>
      </c>
      <c r="O393" t="s">
        <v>62</v>
      </c>
      <c r="P393">
        <v>3</v>
      </c>
      <c r="Q393" t="s">
        <v>42</v>
      </c>
      <c r="R393" t="s">
        <v>58</v>
      </c>
      <c r="S393">
        <v>6</v>
      </c>
      <c r="T393" t="s">
        <v>44</v>
      </c>
      <c r="U393" t="s">
        <v>59</v>
      </c>
      <c r="V393">
        <v>22</v>
      </c>
      <c r="W393" t="s">
        <v>60</v>
      </c>
      <c r="X393">
        <v>20</v>
      </c>
      <c r="Y393">
        <v>3</v>
      </c>
      <c r="Z393" t="s">
        <v>61</v>
      </c>
      <c r="AA393">
        <v>1</v>
      </c>
      <c r="AB393" t="s">
        <v>48</v>
      </c>
      <c r="AC393">
        <v>0</v>
      </c>
      <c r="AD393" t="s">
        <v>48</v>
      </c>
      <c r="AE393">
        <v>0</v>
      </c>
      <c r="AF393" t="s">
        <v>49</v>
      </c>
    </row>
    <row r="394" spans="1:32" x14ac:dyDescent="0.25">
      <c r="A394">
        <v>54</v>
      </c>
      <c r="B394" t="s">
        <v>64</v>
      </c>
      <c r="C394" t="s">
        <v>50</v>
      </c>
      <c r="D394" t="s">
        <v>34</v>
      </c>
      <c r="E394" t="s">
        <v>52</v>
      </c>
      <c r="F394">
        <v>5</v>
      </c>
      <c r="G394" t="s">
        <v>36</v>
      </c>
      <c r="H394">
        <v>1</v>
      </c>
      <c r="I394" t="s">
        <v>37</v>
      </c>
      <c r="J394" t="s">
        <v>54</v>
      </c>
      <c r="K394">
        <v>3</v>
      </c>
      <c r="L394" t="s">
        <v>39</v>
      </c>
      <c r="M394">
        <v>5</v>
      </c>
      <c r="N394" t="s">
        <v>72</v>
      </c>
      <c r="O394" t="s">
        <v>76</v>
      </c>
      <c r="P394">
        <v>1</v>
      </c>
      <c r="Q394" t="s">
        <v>57</v>
      </c>
      <c r="R394" t="s">
        <v>58</v>
      </c>
      <c r="S394">
        <v>4</v>
      </c>
      <c r="T394" t="s">
        <v>44</v>
      </c>
      <c r="U394" t="s">
        <v>59</v>
      </c>
      <c r="V394">
        <v>11</v>
      </c>
      <c r="W394" t="s">
        <v>45</v>
      </c>
      <c r="X394">
        <v>24</v>
      </c>
      <c r="Y394">
        <v>2</v>
      </c>
      <c r="Z394" t="s">
        <v>46</v>
      </c>
      <c r="AA394">
        <v>4</v>
      </c>
      <c r="AB394" t="s">
        <v>48</v>
      </c>
      <c r="AC394">
        <v>2</v>
      </c>
      <c r="AD394" t="s">
        <v>48</v>
      </c>
      <c r="AE394">
        <v>1</v>
      </c>
      <c r="AF394" t="s">
        <v>49</v>
      </c>
    </row>
    <row r="395" spans="1:32" x14ac:dyDescent="0.25">
      <c r="A395">
        <v>34</v>
      </c>
      <c r="B395" t="s">
        <v>32</v>
      </c>
      <c r="C395" t="s">
        <v>50</v>
      </c>
      <c r="D395" t="s">
        <v>34</v>
      </c>
      <c r="E395" t="s">
        <v>35</v>
      </c>
      <c r="F395">
        <v>4</v>
      </c>
      <c r="G395" t="s">
        <v>36</v>
      </c>
      <c r="H395">
        <v>3</v>
      </c>
      <c r="I395" t="s">
        <v>42</v>
      </c>
      <c r="J395" t="s">
        <v>38</v>
      </c>
      <c r="K395">
        <v>3</v>
      </c>
      <c r="L395" t="s">
        <v>39</v>
      </c>
      <c r="M395">
        <v>2</v>
      </c>
      <c r="N395" t="s">
        <v>40</v>
      </c>
      <c r="O395" t="s">
        <v>41</v>
      </c>
      <c r="P395">
        <v>3</v>
      </c>
      <c r="Q395" t="s">
        <v>42</v>
      </c>
      <c r="R395" t="s">
        <v>58</v>
      </c>
      <c r="S395">
        <v>9</v>
      </c>
      <c r="T395" t="s">
        <v>44</v>
      </c>
      <c r="U395" t="s">
        <v>59</v>
      </c>
      <c r="V395">
        <v>15</v>
      </c>
      <c r="W395" t="s">
        <v>45</v>
      </c>
      <c r="X395">
        <v>6</v>
      </c>
      <c r="Y395">
        <v>3</v>
      </c>
      <c r="Z395" t="s">
        <v>61</v>
      </c>
      <c r="AA395">
        <v>3</v>
      </c>
      <c r="AB395" t="s">
        <v>48</v>
      </c>
      <c r="AC395">
        <v>2</v>
      </c>
      <c r="AD395" t="s">
        <v>48</v>
      </c>
      <c r="AE395">
        <v>1</v>
      </c>
      <c r="AF395" t="s">
        <v>49</v>
      </c>
    </row>
    <row r="396" spans="1:32" x14ac:dyDescent="0.25">
      <c r="A396">
        <v>31</v>
      </c>
      <c r="B396" t="s">
        <v>32</v>
      </c>
      <c r="C396" t="s">
        <v>50</v>
      </c>
      <c r="D396" t="s">
        <v>34</v>
      </c>
      <c r="E396" t="s">
        <v>52</v>
      </c>
      <c r="F396">
        <v>7</v>
      </c>
      <c r="G396" t="s">
        <v>53</v>
      </c>
      <c r="H396">
        <v>2</v>
      </c>
      <c r="I396" t="s">
        <v>37</v>
      </c>
      <c r="J396" t="s">
        <v>38</v>
      </c>
      <c r="K396">
        <v>3</v>
      </c>
      <c r="L396" t="s">
        <v>39</v>
      </c>
      <c r="M396">
        <v>2</v>
      </c>
      <c r="N396" t="s">
        <v>40</v>
      </c>
      <c r="O396" t="s">
        <v>69</v>
      </c>
      <c r="P396">
        <v>1</v>
      </c>
      <c r="Q396" t="s">
        <v>57</v>
      </c>
      <c r="R396" t="s">
        <v>58</v>
      </c>
      <c r="S396">
        <v>1</v>
      </c>
      <c r="T396" t="s">
        <v>44</v>
      </c>
      <c r="U396" t="s">
        <v>59</v>
      </c>
      <c r="V396">
        <v>12</v>
      </c>
      <c r="W396" t="s">
        <v>45</v>
      </c>
      <c r="X396">
        <v>13</v>
      </c>
      <c r="Y396">
        <v>1</v>
      </c>
      <c r="Z396" t="s">
        <v>46</v>
      </c>
      <c r="AA396">
        <v>13</v>
      </c>
      <c r="AB396" t="s">
        <v>74</v>
      </c>
      <c r="AC396">
        <v>10</v>
      </c>
      <c r="AD396" t="s">
        <v>47</v>
      </c>
      <c r="AE396">
        <v>3</v>
      </c>
      <c r="AF396" t="s">
        <v>49</v>
      </c>
    </row>
    <row r="397" spans="1:32" x14ac:dyDescent="0.25">
      <c r="A397">
        <v>43</v>
      </c>
      <c r="B397" t="s">
        <v>32</v>
      </c>
      <c r="C397" t="s">
        <v>50</v>
      </c>
      <c r="D397" t="s">
        <v>51</v>
      </c>
      <c r="E397" t="s">
        <v>52</v>
      </c>
      <c r="F397">
        <v>21</v>
      </c>
      <c r="G397" t="s">
        <v>66</v>
      </c>
      <c r="H397">
        <v>4</v>
      </c>
      <c r="I397" t="s">
        <v>42</v>
      </c>
      <c r="J397" t="s">
        <v>54</v>
      </c>
      <c r="K397">
        <v>3</v>
      </c>
      <c r="L397" t="s">
        <v>39</v>
      </c>
      <c r="M397">
        <v>1</v>
      </c>
      <c r="N397" t="s">
        <v>40</v>
      </c>
      <c r="O397" t="s">
        <v>62</v>
      </c>
      <c r="P397">
        <v>4</v>
      </c>
      <c r="Q397" t="s">
        <v>42</v>
      </c>
      <c r="R397" t="s">
        <v>58</v>
      </c>
      <c r="S397">
        <v>7</v>
      </c>
      <c r="T397" t="s">
        <v>44</v>
      </c>
      <c r="U397" t="s">
        <v>59</v>
      </c>
      <c r="V397">
        <v>20</v>
      </c>
      <c r="W397" t="s">
        <v>60</v>
      </c>
      <c r="X397">
        <v>8</v>
      </c>
      <c r="Y397">
        <v>3</v>
      </c>
      <c r="Z397" t="s">
        <v>61</v>
      </c>
      <c r="AA397">
        <v>3</v>
      </c>
      <c r="AB397" t="s">
        <v>48</v>
      </c>
      <c r="AC397">
        <v>2</v>
      </c>
      <c r="AD397" t="s">
        <v>48</v>
      </c>
      <c r="AE397">
        <v>1</v>
      </c>
      <c r="AF397" t="s">
        <v>49</v>
      </c>
    </row>
    <row r="398" spans="1:32" x14ac:dyDescent="0.25">
      <c r="A398">
        <v>43</v>
      </c>
      <c r="B398" t="s">
        <v>32</v>
      </c>
      <c r="C398" t="s">
        <v>50</v>
      </c>
      <c r="D398" t="s">
        <v>34</v>
      </c>
      <c r="E398" t="s">
        <v>52</v>
      </c>
      <c r="F398">
        <v>8</v>
      </c>
      <c r="G398" t="s">
        <v>53</v>
      </c>
      <c r="H398">
        <v>3</v>
      </c>
      <c r="I398" t="s">
        <v>42</v>
      </c>
      <c r="J398" t="s">
        <v>38</v>
      </c>
      <c r="K398">
        <v>3</v>
      </c>
      <c r="L398" t="s">
        <v>39</v>
      </c>
      <c r="M398">
        <v>2</v>
      </c>
      <c r="N398" t="s">
        <v>40</v>
      </c>
      <c r="O398" t="s">
        <v>70</v>
      </c>
      <c r="P398">
        <v>3</v>
      </c>
      <c r="Q398" t="s">
        <v>42</v>
      </c>
      <c r="R398" t="s">
        <v>67</v>
      </c>
      <c r="S398">
        <v>4</v>
      </c>
      <c r="T398" t="s">
        <v>44</v>
      </c>
      <c r="U398" t="s">
        <v>44</v>
      </c>
      <c r="V398">
        <v>14</v>
      </c>
      <c r="W398" t="s">
        <v>45</v>
      </c>
      <c r="X398">
        <v>8</v>
      </c>
      <c r="Y398">
        <v>3</v>
      </c>
      <c r="Z398" t="s">
        <v>61</v>
      </c>
      <c r="AA398">
        <v>5</v>
      </c>
      <c r="AB398" t="s">
        <v>47</v>
      </c>
      <c r="AC398">
        <v>2</v>
      </c>
      <c r="AD398" t="s">
        <v>48</v>
      </c>
      <c r="AE398">
        <v>0</v>
      </c>
      <c r="AF398" t="s">
        <v>49</v>
      </c>
    </row>
    <row r="399" spans="1:32" x14ac:dyDescent="0.25">
      <c r="A399">
        <v>25</v>
      </c>
      <c r="B399" t="s">
        <v>63</v>
      </c>
      <c r="C399" t="s">
        <v>50</v>
      </c>
      <c r="D399" t="s">
        <v>34</v>
      </c>
      <c r="E399" t="s">
        <v>35</v>
      </c>
      <c r="F399">
        <v>4</v>
      </c>
      <c r="G399" t="s">
        <v>36</v>
      </c>
      <c r="H399">
        <v>2</v>
      </c>
      <c r="I399" t="s">
        <v>37</v>
      </c>
      <c r="J399" t="s">
        <v>38</v>
      </c>
      <c r="K399">
        <v>2</v>
      </c>
      <c r="L399" t="s">
        <v>55</v>
      </c>
      <c r="M399">
        <v>2</v>
      </c>
      <c r="N399" t="s">
        <v>40</v>
      </c>
      <c r="O399" t="s">
        <v>41</v>
      </c>
      <c r="P399">
        <v>4</v>
      </c>
      <c r="Q399" t="s">
        <v>42</v>
      </c>
      <c r="R399" t="s">
        <v>43</v>
      </c>
      <c r="S399">
        <v>1</v>
      </c>
      <c r="T399" t="s">
        <v>44</v>
      </c>
      <c r="U399" t="s">
        <v>44</v>
      </c>
      <c r="V399">
        <v>11</v>
      </c>
      <c r="W399" t="s">
        <v>45</v>
      </c>
      <c r="X399">
        <v>5</v>
      </c>
      <c r="Y399">
        <v>3</v>
      </c>
      <c r="Z399" t="s">
        <v>61</v>
      </c>
      <c r="AA399">
        <v>5</v>
      </c>
      <c r="AB399" t="s">
        <v>47</v>
      </c>
      <c r="AC399">
        <v>4</v>
      </c>
      <c r="AD399" t="s">
        <v>48</v>
      </c>
      <c r="AE399">
        <v>1</v>
      </c>
      <c r="AF399" t="s">
        <v>49</v>
      </c>
    </row>
    <row r="400" spans="1:32" x14ac:dyDescent="0.25">
      <c r="A400">
        <v>37</v>
      </c>
      <c r="B400" t="s">
        <v>32</v>
      </c>
      <c r="C400" t="s">
        <v>50</v>
      </c>
      <c r="D400" t="s">
        <v>34</v>
      </c>
      <c r="E400" t="s">
        <v>52</v>
      </c>
      <c r="F400">
        <v>25</v>
      </c>
      <c r="G400" t="s">
        <v>66</v>
      </c>
      <c r="H400">
        <v>2</v>
      </c>
      <c r="I400" t="s">
        <v>37</v>
      </c>
      <c r="J400" t="s">
        <v>38</v>
      </c>
      <c r="K400">
        <v>3</v>
      </c>
      <c r="L400" t="s">
        <v>39</v>
      </c>
      <c r="M400">
        <v>2</v>
      </c>
      <c r="N400" t="s">
        <v>40</v>
      </c>
      <c r="O400" t="s">
        <v>56</v>
      </c>
      <c r="P400">
        <v>3</v>
      </c>
      <c r="Q400" t="s">
        <v>42</v>
      </c>
      <c r="R400" t="s">
        <v>58</v>
      </c>
      <c r="S400">
        <v>3</v>
      </c>
      <c r="T400" t="s">
        <v>44</v>
      </c>
      <c r="U400" t="s">
        <v>44</v>
      </c>
      <c r="V400">
        <v>15</v>
      </c>
      <c r="W400" t="s">
        <v>45</v>
      </c>
      <c r="X400">
        <v>15</v>
      </c>
      <c r="Y400">
        <v>3</v>
      </c>
      <c r="Z400" t="s">
        <v>61</v>
      </c>
      <c r="AA400">
        <v>13</v>
      </c>
      <c r="AB400" t="s">
        <v>74</v>
      </c>
      <c r="AC400">
        <v>11</v>
      </c>
      <c r="AD400" t="s">
        <v>74</v>
      </c>
      <c r="AE400">
        <v>10</v>
      </c>
      <c r="AF400" t="s">
        <v>71</v>
      </c>
    </row>
    <row r="401" spans="1:32" x14ac:dyDescent="0.25">
      <c r="A401">
        <v>31</v>
      </c>
      <c r="B401" t="s">
        <v>32</v>
      </c>
      <c r="C401" t="s">
        <v>50</v>
      </c>
      <c r="D401" t="s">
        <v>34</v>
      </c>
      <c r="E401" t="s">
        <v>52</v>
      </c>
      <c r="F401">
        <v>1</v>
      </c>
      <c r="G401" t="s">
        <v>36</v>
      </c>
      <c r="H401">
        <v>4</v>
      </c>
      <c r="I401" t="s">
        <v>42</v>
      </c>
      <c r="J401" t="s">
        <v>54</v>
      </c>
      <c r="K401">
        <v>2</v>
      </c>
      <c r="L401" t="s">
        <v>55</v>
      </c>
      <c r="M401">
        <v>1</v>
      </c>
      <c r="N401" t="s">
        <v>40</v>
      </c>
      <c r="O401" t="s">
        <v>62</v>
      </c>
      <c r="P401">
        <v>1</v>
      </c>
      <c r="Q401" t="s">
        <v>57</v>
      </c>
      <c r="R401" t="s">
        <v>58</v>
      </c>
      <c r="S401">
        <v>1</v>
      </c>
      <c r="T401" t="s">
        <v>44</v>
      </c>
      <c r="U401" t="s">
        <v>59</v>
      </c>
      <c r="V401">
        <v>12</v>
      </c>
      <c r="W401" t="s">
        <v>45</v>
      </c>
      <c r="X401">
        <v>4</v>
      </c>
      <c r="Y401">
        <v>3</v>
      </c>
      <c r="Z401" t="s">
        <v>61</v>
      </c>
      <c r="AA401">
        <v>4</v>
      </c>
      <c r="AB401" t="s">
        <v>48</v>
      </c>
      <c r="AC401">
        <v>2</v>
      </c>
      <c r="AD401" t="s">
        <v>48</v>
      </c>
      <c r="AE401">
        <v>3</v>
      </c>
      <c r="AF401" t="s">
        <v>49</v>
      </c>
    </row>
    <row r="402" spans="1:32" x14ac:dyDescent="0.25">
      <c r="A402">
        <v>39</v>
      </c>
      <c r="B402" t="s">
        <v>32</v>
      </c>
      <c r="C402" t="s">
        <v>50</v>
      </c>
      <c r="D402" t="s">
        <v>51</v>
      </c>
      <c r="E402" t="s">
        <v>52</v>
      </c>
      <c r="F402">
        <v>1</v>
      </c>
      <c r="G402" t="s">
        <v>36</v>
      </c>
      <c r="H402">
        <v>2</v>
      </c>
      <c r="I402" t="s">
        <v>37</v>
      </c>
      <c r="J402" t="s">
        <v>54</v>
      </c>
      <c r="K402">
        <v>3</v>
      </c>
      <c r="L402" t="s">
        <v>39</v>
      </c>
      <c r="M402">
        <v>5</v>
      </c>
      <c r="N402" t="s">
        <v>72</v>
      </c>
      <c r="O402" t="s">
        <v>73</v>
      </c>
      <c r="P402">
        <v>3</v>
      </c>
      <c r="Q402" t="s">
        <v>42</v>
      </c>
      <c r="R402" t="s">
        <v>67</v>
      </c>
      <c r="S402">
        <v>1</v>
      </c>
      <c r="T402" t="s">
        <v>44</v>
      </c>
      <c r="U402" t="s">
        <v>44</v>
      </c>
      <c r="V402">
        <v>14</v>
      </c>
      <c r="W402" t="s">
        <v>45</v>
      </c>
      <c r="X402">
        <v>21</v>
      </c>
      <c r="Y402">
        <v>3</v>
      </c>
      <c r="Z402" t="s">
        <v>61</v>
      </c>
      <c r="AA402">
        <v>21</v>
      </c>
      <c r="AB402" t="s">
        <v>74</v>
      </c>
      <c r="AC402">
        <v>8</v>
      </c>
      <c r="AD402" t="s">
        <v>47</v>
      </c>
      <c r="AE402">
        <v>1</v>
      </c>
      <c r="AF402" t="s">
        <v>49</v>
      </c>
    </row>
    <row r="403" spans="1:32" x14ac:dyDescent="0.25">
      <c r="A403">
        <v>56</v>
      </c>
      <c r="B403" t="s">
        <v>64</v>
      </c>
      <c r="C403" t="s">
        <v>50</v>
      </c>
      <c r="D403" t="s">
        <v>51</v>
      </c>
      <c r="E403" t="s">
        <v>35</v>
      </c>
      <c r="F403">
        <v>6</v>
      </c>
      <c r="G403" t="s">
        <v>53</v>
      </c>
      <c r="H403">
        <v>3</v>
      </c>
      <c r="I403" t="s">
        <v>42</v>
      </c>
      <c r="J403" t="s">
        <v>38</v>
      </c>
      <c r="K403">
        <v>4</v>
      </c>
      <c r="L403" t="s">
        <v>65</v>
      </c>
      <c r="M403">
        <v>4</v>
      </c>
      <c r="N403" t="s">
        <v>72</v>
      </c>
      <c r="O403" t="s">
        <v>41</v>
      </c>
      <c r="P403">
        <v>1</v>
      </c>
      <c r="Q403" t="s">
        <v>57</v>
      </c>
      <c r="R403" t="s">
        <v>58</v>
      </c>
      <c r="S403">
        <v>9</v>
      </c>
      <c r="T403" t="s">
        <v>44</v>
      </c>
      <c r="U403" t="s">
        <v>59</v>
      </c>
      <c r="V403">
        <v>11</v>
      </c>
      <c r="W403" t="s">
        <v>45</v>
      </c>
      <c r="X403">
        <v>36</v>
      </c>
      <c r="Y403">
        <v>2</v>
      </c>
      <c r="Z403" t="s">
        <v>46</v>
      </c>
      <c r="AA403">
        <v>7</v>
      </c>
      <c r="AB403" t="s">
        <v>47</v>
      </c>
      <c r="AC403">
        <v>7</v>
      </c>
      <c r="AD403" t="s">
        <v>47</v>
      </c>
      <c r="AE403">
        <v>7</v>
      </c>
      <c r="AF403" t="s">
        <v>71</v>
      </c>
    </row>
    <row r="404" spans="1:32" x14ac:dyDescent="0.25">
      <c r="A404">
        <v>30</v>
      </c>
      <c r="B404" t="s">
        <v>32</v>
      </c>
      <c r="C404" t="s">
        <v>50</v>
      </c>
      <c r="D404" t="s">
        <v>34</v>
      </c>
      <c r="E404" t="s">
        <v>35</v>
      </c>
      <c r="F404">
        <v>12</v>
      </c>
      <c r="G404" t="s">
        <v>53</v>
      </c>
      <c r="H404">
        <v>2</v>
      </c>
      <c r="I404" t="s">
        <v>37</v>
      </c>
      <c r="J404" t="s">
        <v>38</v>
      </c>
      <c r="K404">
        <v>3</v>
      </c>
      <c r="L404" t="s">
        <v>39</v>
      </c>
      <c r="M404">
        <v>2</v>
      </c>
      <c r="N404" t="s">
        <v>40</v>
      </c>
      <c r="O404" t="s">
        <v>41</v>
      </c>
      <c r="P404">
        <v>3</v>
      </c>
      <c r="Q404" t="s">
        <v>42</v>
      </c>
      <c r="R404" t="s">
        <v>43</v>
      </c>
      <c r="S404">
        <v>0</v>
      </c>
      <c r="T404" t="s">
        <v>44</v>
      </c>
      <c r="U404" t="s">
        <v>59</v>
      </c>
      <c r="V404">
        <v>11</v>
      </c>
      <c r="W404" t="s">
        <v>45</v>
      </c>
      <c r="X404">
        <v>6</v>
      </c>
      <c r="Y404">
        <v>3</v>
      </c>
      <c r="Z404" t="s">
        <v>61</v>
      </c>
      <c r="AA404">
        <v>5</v>
      </c>
      <c r="AB404" t="s">
        <v>47</v>
      </c>
      <c r="AC404">
        <v>4</v>
      </c>
      <c r="AD404" t="s">
        <v>48</v>
      </c>
      <c r="AE404">
        <v>4</v>
      </c>
      <c r="AF404" t="s">
        <v>71</v>
      </c>
    </row>
    <row r="405" spans="1:32" x14ac:dyDescent="0.25">
      <c r="A405">
        <v>41</v>
      </c>
      <c r="B405" t="s">
        <v>32</v>
      </c>
      <c r="C405" t="s">
        <v>50</v>
      </c>
      <c r="D405" t="s">
        <v>34</v>
      </c>
      <c r="E405" t="s">
        <v>35</v>
      </c>
      <c r="F405">
        <v>1</v>
      </c>
      <c r="G405" t="s">
        <v>36</v>
      </c>
      <c r="H405">
        <v>2</v>
      </c>
      <c r="I405" t="s">
        <v>37</v>
      </c>
      <c r="J405" t="s">
        <v>54</v>
      </c>
      <c r="K405">
        <v>4</v>
      </c>
      <c r="L405" t="s">
        <v>65</v>
      </c>
      <c r="M405">
        <v>3</v>
      </c>
      <c r="N405" t="s">
        <v>68</v>
      </c>
      <c r="O405" t="s">
        <v>41</v>
      </c>
      <c r="P405">
        <v>1</v>
      </c>
      <c r="Q405" t="s">
        <v>57</v>
      </c>
      <c r="R405" t="s">
        <v>58</v>
      </c>
      <c r="S405">
        <v>1</v>
      </c>
      <c r="T405" t="s">
        <v>44</v>
      </c>
      <c r="U405" t="s">
        <v>59</v>
      </c>
      <c r="V405">
        <v>16</v>
      </c>
      <c r="W405" t="s">
        <v>45</v>
      </c>
      <c r="X405">
        <v>10</v>
      </c>
      <c r="Y405">
        <v>3</v>
      </c>
      <c r="Z405" t="s">
        <v>61</v>
      </c>
      <c r="AA405">
        <v>10</v>
      </c>
      <c r="AB405" t="s">
        <v>47</v>
      </c>
      <c r="AC405">
        <v>7</v>
      </c>
      <c r="AD405" t="s">
        <v>47</v>
      </c>
      <c r="AE405">
        <v>0</v>
      </c>
      <c r="AF405" t="s">
        <v>49</v>
      </c>
    </row>
    <row r="406" spans="1:32" x14ac:dyDescent="0.25">
      <c r="A406">
        <v>28</v>
      </c>
      <c r="B406" t="s">
        <v>63</v>
      </c>
      <c r="C406" t="s">
        <v>50</v>
      </c>
      <c r="D406" t="s">
        <v>34</v>
      </c>
      <c r="E406" t="s">
        <v>52</v>
      </c>
      <c r="F406">
        <v>17</v>
      </c>
      <c r="G406" t="s">
        <v>66</v>
      </c>
      <c r="H406">
        <v>3</v>
      </c>
      <c r="I406" t="s">
        <v>42</v>
      </c>
      <c r="J406" t="s">
        <v>54</v>
      </c>
      <c r="K406">
        <v>3</v>
      </c>
      <c r="L406" t="s">
        <v>39</v>
      </c>
      <c r="M406">
        <v>2</v>
      </c>
      <c r="N406" t="s">
        <v>40</v>
      </c>
      <c r="O406" t="s">
        <v>62</v>
      </c>
      <c r="P406">
        <v>1</v>
      </c>
      <c r="Q406" t="s">
        <v>57</v>
      </c>
      <c r="R406" t="s">
        <v>67</v>
      </c>
      <c r="S406">
        <v>1</v>
      </c>
      <c r="T406" t="s">
        <v>44</v>
      </c>
      <c r="U406" t="s">
        <v>59</v>
      </c>
      <c r="V406">
        <v>12</v>
      </c>
      <c r="W406" t="s">
        <v>45</v>
      </c>
      <c r="X406">
        <v>10</v>
      </c>
      <c r="Y406">
        <v>3</v>
      </c>
      <c r="Z406" t="s">
        <v>61</v>
      </c>
      <c r="AA406">
        <v>10</v>
      </c>
      <c r="AB406" t="s">
        <v>47</v>
      </c>
      <c r="AC406">
        <v>0</v>
      </c>
      <c r="AD406" t="s">
        <v>48</v>
      </c>
      <c r="AE406">
        <v>1</v>
      </c>
      <c r="AF406" t="s">
        <v>49</v>
      </c>
    </row>
    <row r="407" spans="1:32" x14ac:dyDescent="0.25">
      <c r="A407">
        <v>25</v>
      </c>
      <c r="B407" t="s">
        <v>63</v>
      </c>
      <c r="C407" t="s">
        <v>33</v>
      </c>
      <c r="D407" t="s">
        <v>34</v>
      </c>
      <c r="E407" t="s">
        <v>52</v>
      </c>
      <c r="F407">
        <v>3</v>
      </c>
      <c r="G407" t="s">
        <v>36</v>
      </c>
      <c r="H407">
        <v>1</v>
      </c>
      <c r="I407" t="s">
        <v>37</v>
      </c>
      <c r="J407" t="s">
        <v>54</v>
      </c>
      <c r="K407">
        <v>3</v>
      </c>
      <c r="L407" t="s">
        <v>39</v>
      </c>
      <c r="M407">
        <v>1</v>
      </c>
      <c r="N407" t="s">
        <v>40</v>
      </c>
      <c r="O407" t="s">
        <v>62</v>
      </c>
      <c r="P407">
        <v>1</v>
      </c>
      <c r="Q407" t="s">
        <v>57</v>
      </c>
      <c r="R407" t="s">
        <v>58</v>
      </c>
      <c r="S407">
        <v>5</v>
      </c>
      <c r="T407" t="s">
        <v>44</v>
      </c>
      <c r="U407" t="s">
        <v>59</v>
      </c>
      <c r="V407">
        <v>13</v>
      </c>
      <c r="W407" t="s">
        <v>45</v>
      </c>
      <c r="X407">
        <v>6</v>
      </c>
      <c r="Y407">
        <v>3</v>
      </c>
      <c r="Z407" t="s">
        <v>61</v>
      </c>
      <c r="AA407">
        <v>2</v>
      </c>
      <c r="AB407" t="s">
        <v>48</v>
      </c>
      <c r="AC407">
        <v>2</v>
      </c>
      <c r="AD407" t="s">
        <v>48</v>
      </c>
      <c r="AE407">
        <v>0</v>
      </c>
      <c r="AF407" t="s">
        <v>49</v>
      </c>
    </row>
    <row r="408" spans="1:32" x14ac:dyDescent="0.25">
      <c r="A408">
        <v>52</v>
      </c>
      <c r="B408" t="s">
        <v>64</v>
      </c>
      <c r="C408" t="s">
        <v>50</v>
      </c>
      <c r="D408" t="s">
        <v>34</v>
      </c>
      <c r="E408" t="s">
        <v>52</v>
      </c>
      <c r="F408">
        <v>3</v>
      </c>
      <c r="G408" t="s">
        <v>36</v>
      </c>
      <c r="H408">
        <v>4</v>
      </c>
      <c r="I408" t="s">
        <v>42</v>
      </c>
      <c r="J408" t="s">
        <v>54</v>
      </c>
      <c r="K408">
        <v>2</v>
      </c>
      <c r="L408" t="s">
        <v>55</v>
      </c>
      <c r="M408">
        <v>3</v>
      </c>
      <c r="N408" t="s">
        <v>68</v>
      </c>
      <c r="O408" t="s">
        <v>69</v>
      </c>
      <c r="P408">
        <v>3</v>
      </c>
      <c r="Q408" t="s">
        <v>42</v>
      </c>
      <c r="R408" t="s">
        <v>58</v>
      </c>
      <c r="S408">
        <v>2</v>
      </c>
      <c r="T408" t="s">
        <v>44</v>
      </c>
      <c r="U408" t="s">
        <v>44</v>
      </c>
      <c r="V408">
        <v>14</v>
      </c>
      <c r="W408" t="s">
        <v>45</v>
      </c>
      <c r="X408">
        <v>28</v>
      </c>
      <c r="Y408">
        <v>3</v>
      </c>
      <c r="Z408" t="s">
        <v>61</v>
      </c>
      <c r="AA408">
        <v>5</v>
      </c>
      <c r="AB408" t="s">
        <v>47</v>
      </c>
      <c r="AC408">
        <v>4</v>
      </c>
      <c r="AD408" t="s">
        <v>48</v>
      </c>
      <c r="AE408">
        <v>0</v>
      </c>
      <c r="AF408" t="s">
        <v>49</v>
      </c>
    </row>
    <row r="409" spans="1:32" x14ac:dyDescent="0.25">
      <c r="A409">
        <v>45</v>
      </c>
      <c r="B409" t="s">
        <v>32</v>
      </c>
      <c r="C409" t="s">
        <v>50</v>
      </c>
      <c r="D409" t="s">
        <v>34</v>
      </c>
      <c r="E409" t="s">
        <v>52</v>
      </c>
      <c r="F409">
        <v>10</v>
      </c>
      <c r="G409" t="s">
        <v>53</v>
      </c>
      <c r="H409">
        <v>1</v>
      </c>
      <c r="I409" t="s">
        <v>37</v>
      </c>
      <c r="J409" t="s">
        <v>54</v>
      </c>
      <c r="K409">
        <v>3</v>
      </c>
      <c r="L409" t="s">
        <v>39</v>
      </c>
      <c r="M409">
        <v>1</v>
      </c>
      <c r="N409" t="s">
        <v>40</v>
      </c>
      <c r="O409" t="s">
        <v>56</v>
      </c>
      <c r="P409">
        <v>4</v>
      </c>
      <c r="Q409" t="s">
        <v>42</v>
      </c>
      <c r="R409" t="s">
        <v>58</v>
      </c>
      <c r="S409">
        <v>3</v>
      </c>
      <c r="T409" t="s">
        <v>44</v>
      </c>
      <c r="U409" t="s">
        <v>59</v>
      </c>
      <c r="V409">
        <v>21</v>
      </c>
      <c r="W409" t="s">
        <v>60</v>
      </c>
      <c r="X409">
        <v>8</v>
      </c>
      <c r="Y409">
        <v>2</v>
      </c>
      <c r="Z409" t="s">
        <v>46</v>
      </c>
      <c r="AA409">
        <v>2</v>
      </c>
      <c r="AB409" t="s">
        <v>48</v>
      </c>
      <c r="AC409">
        <v>2</v>
      </c>
      <c r="AD409" t="s">
        <v>48</v>
      </c>
      <c r="AE409">
        <v>0</v>
      </c>
      <c r="AF409" t="s">
        <v>49</v>
      </c>
    </row>
    <row r="410" spans="1:32" x14ac:dyDescent="0.25">
      <c r="A410">
        <v>52</v>
      </c>
      <c r="B410" t="s">
        <v>64</v>
      </c>
      <c r="C410" t="s">
        <v>50</v>
      </c>
      <c r="D410" t="s">
        <v>34</v>
      </c>
      <c r="E410" t="s">
        <v>52</v>
      </c>
      <c r="F410">
        <v>4</v>
      </c>
      <c r="G410" t="s">
        <v>36</v>
      </c>
      <c r="H410">
        <v>4</v>
      </c>
      <c r="I410" t="s">
        <v>42</v>
      </c>
      <c r="J410" t="s">
        <v>38</v>
      </c>
      <c r="K410">
        <v>3</v>
      </c>
      <c r="L410" t="s">
        <v>39</v>
      </c>
      <c r="M410">
        <v>4</v>
      </c>
      <c r="N410" t="s">
        <v>72</v>
      </c>
      <c r="O410" t="s">
        <v>73</v>
      </c>
      <c r="P410">
        <v>4</v>
      </c>
      <c r="Q410" t="s">
        <v>42</v>
      </c>
      <c r="R410" t="s">
        <v>58</v>
      </c>
      <c r="S410">
        <v>2</v>
      </c>
      <c r="T410" t="s">
        <v>44</v>
      </c>
      <c r="U410" t="s">
        <v>59</v>
      </c>
      <c r="V410">
        <v>13</v>
      </c>
      <c r="W410" t="s">
        <v>45</v>
      </c>
      <c r="X410">
        <v>31</v>
      </c>
      <c r="Y410">
        <v>1</v>
      </c>
      <c r="Z410" t="s">
        <v>46</v>
      </c>
      <c r="AA410">
        <v>5</v>
      </c>
      <c r="AB410" t="s">
        <v>47</v>
      </c>
      <c r="AC410">
        <v>2</v>
      </c>
      <c r="AD410" t="s">
        <v>48</v>
      </c>
      <c r="AE410">
        <v>1</v>
      </c>
      <c r="AF410" t="s">
        <v>49</v>
      </c>
    </row>
    <row r="411" spans="1:32" x14ac:dyDescent="0.25">
      <c r="A411">
        <v>42</v>
      </c>
      <c r="B411" t="s">
        <v>32</v>
      </c>
      <c r="C411" t="s">
        <v>50</v>
      </c>
      <c r="D411" t="s">
        <v>51</v>
      </c>
      <c r="E411" t="s">
        <v>52</v>
      </c>
      <c r="F411">
        <v>29</v>
      </c>
      <c r="G411" t="s">
        <v>66</v>
      </c>
      <c r="H411">
        <v>1</v>
      </c>
      <c r="I411" t="s">
        <v>37</v>
      </c>
      <c r="J411" t="s">
        <v>38</v>
      </c>
      <c r="K411">
        <v>3</v>
      </c>
      <c r="L411" t="s">
        <v>39</v>
      </c>
      <c r="M411">
        <v>2</v>
      </c>
      <c r="N411" t="s">
        <v>40</v>
      </c>
      <c r="O411" t="s">
        <v>56</v>
      </c>
      <c r="P411">
        <v>3</v>
      </c>
      <c r="Q411" t="s">
        <v>42</v>
      </c>
      <c r="R411" t="s">
        <v>67</v>
      </c>
      <c r="S411">
        <v>2</v>
      </c>
      <c r="T411" t="s">
        <v>44</v>
      </c>
      <c r="U411" t="s">
        <v>59</v>
      </c>
      <c r="V411">
        <v>11</v>
      </c>
      <c r="W411" t="s">
        <v>45</v>
      </c>
      <c r="X411">
        <v>19</v>
      </c>
      <c r="Y411">
        <v>3</v>
      </c>
      <c r="Z411" t="s">
        <v>61</v>
      </c>
      <c r="AA411">
        <v>5</v>
      </c>
      <c r="AB411" t="s">
        <v>47</v>
      </c>
      <c r="AC411">
        <v>4</v>
      </c>
      <c r="AD411" t="s">
        <v>48</v>
      </c>
      <c r="AE411">
        <v>0</v>
      </c>
      <c r="AF411" t="s">
        <v>49</v>
      </c>
    </row>
    <row r="412" spans="1:32" x14ac:dyDescent="0.25">
      <c r="A412">
        <v>30</v>
      </c>
      <c r="B412" t="s">
        <v>32</v>
      </c>
      <c r="C412" t="s">
        <v>50</v>
      </c>
      <c r="D412" t="s">
        <v>34</v>
      </c>
      <c r="E412" t="s">
        <v>52</v>
      </c>
      <c r="F412">
        <v>2</v>
      </c>
      <c r="G412" t="s">
        <v>36</v>
      </c>
      <c r="H412">
        <v>3</v>
      </c>
      <c r="I412" t="s">
        <v>42</v>
      </c>
      <c r="J412" t="s">
        <v>38</v>
      </c>
      <c r="K412">
        <v>1</v>
      </c>
      <c r="L412" t="s">
        <v>55</v>
      </c>
      <c r="M412">
        <v>2</v>
      </c>
      <c r="N412" t="s">
        <v>40</v>
      </c>
      <c r="O412" t="s">
        <v>69</v>
      </c>
      <c r="P412">
        <v>4</v>
      </c>
      <c r="Q412" t="s">
        <v>42</v>
      </c>
      <c r="R412" t="s">
        <v>43</v>
      </c>
      <c r="S412">
        <v>2</v>
      </c>
      <c r="T412" t="s">
        <v>44</v>
      </c>
      <c r="U412" t="s">
        <v>59</v>
      </c>
      <c r="V412">
        <v>20</v>
      </c>
      <c r="W412" t="s">
        <v>60</v>
      </c>
      <c r="X412">
        <v>11</v>
      </c>
      <c r="Y412">
        <v>3</v>
      </c>
      <c r="Z412" t="s">
        <v>61</v>
      </c>
      <c r="AA412">
        <v>5</v>
      </c>
      <c r="AB412" t="s">
        <v>47</v>
      </c>
      <c r="AC412">
        <v>4</v>
      </c>
      <c r="AD412" t="s">
        <v>48</v>
      </c>
      <c r="AE412">
        <v>0</v>
      </c>
      <c r="AF412" t="s">
        <v>49</v>
      </c>
    </row>
    <row r="413" spans="1:32" x14ac:dyDescent="0.25">
      <c r="A413">
        <v>60</v>
      </c>
      <c r="B413" t="s">
        <v>64</v>
      </c>
      <c r="C413" t="s">
        <v>50</v>
      </c>
      <c r="D413" t="s">
        <v>34</v>
      </c>
      <c r="E413" t="s">
        <v>52</v>
      </c>
      <c r="F413">
        <v>7</v>
      </c>
      <c r="G413" t="s">
        <v>53</v>
      </c>
      <c r="H413">
        <v>1</v>
      </c>
      <c r="I413" t="s">
        <v>37</v>
      </c>
      <c r="J413" t="s">
        <v>38</v>
      </c>
      <c r="K413">
        <v>3</v>
      </c>
      <c r="L413" t="s">
        <v>39</v>
      </c>
      <c r="M413">
        <v>5</v>
      </c>
      <c r="N413" t="s">
        <v>72</v>
      </c>
      <c r="O413" t="s">
        <v>73</v>
      </c>
      <c r="P413">
        <v>1</v>
      </c>
      <c r="Q413" t="s">
        <v>57</v>
      </c>
      <c r="R413" t="s">
        <v>58</v>
      </c>
      <c r="S413">
        <v>5</v>
      </c>
      <c r="T413" t="s">
        <v>44</v>
      </c>
      <c r="U413" t="s">
        <v>59</v>
      </c>
      <c r="V413">
        <v>11</v>
      </c>
      <c r="W413" t="s">
        <v>45</v>
      </c>
      <c r="X413">
        <v>33</v>
      </c>
      <c r="Y413">
        <v>1</v>
      </c>
      <c r="Z413" t="s">
        <v>46</v>
      </c>
      <c r="AA413">
        <v>29</v>
      </c>
      <c r="AB413" t="s">
        <v>74</v>
      </c>
      <c r="AC413">
        <v>8</v>
      </c>
      <c r="AD413" t="s">
        <v>47</v>
      </c>
      <c r="AE413">
        <v>11</v>
      </c>
      <c r="AF413" t="s">
        <v>71</v>
      </c>
    </row>
    <row r="414" spans="1:32" x14ac:dyDescent="0.25">
      <c r="A414">
        <v>46</v>
      </c>
      <c r="B414" t="s">
        <v>32</v>
      </c>
      <c r="C414" t="s">
        <v>50</v>
      </c>
      <c r="D414" t="s">
        <v>34</v>
      </c>
      <c r="E414" t="s">
        <v>52</v>
      </c>
      <c r="F414">
        <v>18</v>
      </c>
      <c r="G414" t="s">
        <v>66</v>
      </c>
      <c r="H414">
        <v>3</v>
      </c>
      <c r="I414" t="s">
        <v>42</v>
      </c>
      <c r="J414" t="s">
        <v>38</v>
      </c>
      <c r="K414">
        <v>3</v>
      </c>
      <c r="L414" t="s">
        <v>39</v>
      </c>
      <c r="M414">
        <v>2</v>
      </c>
      <c r="N414" t="s">
        <v>40</v>
      </c>
      <c r="O414" t="s">
        <v>69</v>
      </c>
      <c r="P414">
        <v>3</v>
      </c>
      <c r="Q414" t="s">
        <v>42</v>
      </c>
      <c r="R414" t="s">
        <v>67</v>
      </c>
      <c r="S414">
        <v>2</v>
      </c>
      <c r="T414" t="s">
        <v>44</v>
      </c>
      <c r="U414" t="s">
        <v>59</v>
      </c>
      <c r="V414">
        <v>14</v>
      </c>
      <c r="W414" t="s">
        <v>45</v>
      </c>
      <c r="X414">
        <v>19</v>
      </c>
      <c r="Y414">
        <v>2</v>
      </c>
      <c r="Z414" t="s">
        <v>46</v>
      </c>
      <c r="AA414">
        <v>10</v>
      </c>
      <c r="AB414" t="s">
        <v>47</v>
      </c>
      <c r="AC414">
        <v>7</v>
      </c>
      <c r="AD414" t="s">
        <v>47</v>
      </c>
      <c r="AE414">
        <v>0</v>
      </c>
      <c r="AF414" t="s">
        <v>49</v>
      </c>
    </row>
    <row r="415" spans="1:32" x14ac:dyDescent="0.25">
      <c r="A415">
        <v>42</v>
      </c>
      <c r="B415" t="s">
        <v>32</v>
      </c>
      <c r="C415" t="s">
        <v>50</v>
      </c>
      <c r="D415" t="s">
        <v>51</v>
      </c>
      <c r="E415" t="s">
        <v>52</v>
      </c>
      <c r="F415">
        <v>28</v>
      </c>
      <c r="G415" t="s">
        <v>66</v>
      </c>
      <c r="H415">
        <v>4</v>
      </c>
      <c r="I415" t="s">
        <v>42</v>
      </c>
      <c r="J415" t="s">
        <v>38</v>
      </c>
      <c r="K415">
        <v>2</v>
      </c>
      <c r="L415" t="s">
        <v>55</v>
      </c>
      <c r="M415">
        <v>2</v>
      </c>
      <c r="N415" t="s">
        <v>40</v>
      </c>
      <c r="O415" t="s">
        <v>70</v>
      </c>
      <c r="P415">
        <v>4</v>
      </c>
      <c r="Q415" t="s">
        <v>42</v>
      </c>
      <c r="R415" t="s">
        <v>58</v>
      </c>
      <c r="S415">
        <v>0</v>
      </c>
      <c r="T415" t="s">
        <v>44</v>
      </c>
      <c r="U415" t="s">
        <v>59</v>
      </c>
      <c r="V415">
        <v>11</v>
      </c>
      <c r="W415" t="s">
        <v>45</v>
      </c>
      <c r="X415">
        <v>7</v>
      </c>
      <c r="Y415">
        <v>4</v>
      </c>
      <c r="Z415" t="s">
        <v>61</v>
      </c>
      <c r="AA415">
        <v>6</v>
      </c>
      <c r="AB415" t="s">
        <v>47</v>
      </c>
      <c r="AC415">
        <v>5</v>
      </c>
      <c r="AD415" t="s">
        <v>47</v>
      </c>
      <c r="AE415">
        <v>0</v>
      </c>
      <c r="AF415" t="s">
        <v>49</v>
      </c>
    </row>
    <row r="416" spans="1:32" x14ac:dyDescent="0.25">
      <c r="A416">
        <v>24</v>
      </c>
      <c r="B416" t="s">
        <v>63</v>
      </c>
      <c r="C416" t="s">
        <v>33</v>
      </c>
      <c r="D416" t="s">
        <v>34</v>
      </c>
      <c r="E416" t="s">
        <v>35</v>
      </c>
      <c r="F416">
        <v>1</v>
      </c>
      <c r="G416" t="s">
        <v>36</v>
      </c>
      <c r="H416">
        <v>1</v>
      </c>
      <c r="I416" t="s">
        <v>37</v>
      </c>
      <c r="J416" t="s">
        <v>38</v>
      </c>
      <c r="K416">
        <v>3</v>
      </c>
      <c r="L416" t="s">
        <v>39</v>
      </c>
      <c r="M416">
        <v>1</v>
      </c>
      <c r="N416" t="s">
        <v>40</v>
      </c>
      <c r="O416" t="s">
        <v>75</v>
      </c>
      <c r="P416">
        <v>2</v>
      </c>
      <c r="Q416" t="s">
        <v>57</v>
      </c>
      <c r="R416" t="s">
        <v>43</v>
      </c>
      <c r="S416">
        <v>1</v>
      </c>
      <c r="T416" t="s">
        <v>44</v>
      </c>
      <c r="U416" t="s">
        <v>44</v>
      </c>
      <c r="V416">
        <v>16</v>
      </c>
      <c r="W416" t="s">
        <v>45</v>
      </c>
      <c r="X416">
        <v>6</v>
      </c>
      <c r="Y416">
        <v>3</v>
      </c>
      <c r="Z416" t="s">
        <v>61</v>
      </c>
      <c r="AA416">
        <v>5</v>
      </c>
      <c r="AB416" t="s">
        <v>47</v>
      </c>
      <c r="AC416">
        <v>3</v>
      </c>
      <c r="AD416" t="s">
        <v>48</v>
      </c>
      <c r="AE416">
        <v>1</v>
      </c>
      <c r="AF416" t="s">
        <v>49</v>
      </c>
    </row>
    <row r="417" spans="1:32" x14ac:dyDescent="0.25">
      <c r="A417">
        <v>34</v>
      </c>
      <c r="B417" t="s">
        <v>32</v>
      </c>
      <c r="C417" t="s">
        <v>33</v>
      </c>
      <c r="D417" t="s">
        <v>51</v>
      </c>
      <c r="E417" t="s">
        <v>35</v>
      </c>
      <c r="F417">
        <v>6</v>
      </c>
      <c r="G417" t="s">
        <v>53</v>
      </c>
      <c r="H417">
        <v>4</v>
      </c>
      <c r="I417" t="s">
        <v>42</v>
      </c>
      <c r="J417" t="s">
        <v>38</v>
      </c>
      <c r="K417">
        <v>1</v>
      </c>
      <c r="L417" t="s">
        <v>55</v>
      </c>
      <c r="M417">
        <v>1</v>
      </c>
      <c r="N417" t="s">
        <v>40</v>
      </c>
      <c r="O417" t="s">
        <v>75</v>
      </c>
      <c r="P417">
        <v>3</v>
      </c>
      <c r="Q417" t="s">
        <v>42</v>
      </c>
      <c r="R417" t="s">
        <v>67</v>
      </c>
      <c r="S417">
        <v>0</v>
      </c>
      <c r="T417" t="s">
        <v>44</v>
      </c>
      <c r="U417" t="s">
        <v>59</v>
      </c>
      <c r="V417">
        <v>16</v>
      </c>
      <c r="W417" t="s">
        <v>45</v>
      </c>
      <c r="X417">
        <v>3</v>
      </c>
      <c r="Y417">
        <v>2</v>
      </c>
      <c r="Z417" t="s">
        <v>46</v>
      </c>
      <c r="AA417">
        <v>2</v>
      </c>
      <c r="AB417" t="s">
        <v>48</v>
      </c>
      <c r="AC417">
        <v>2</v>
      </c>
      <c r="AD417" t="s">
        <v>48</v>
      </c>
      <c r="AE417">
        <v>1</v>
      </c>
      <c r="AF417" t="s">
        <v>49</v>
      </c>
    </row>
    <row r="418" spans="1:32" x14ac:dyDescent="0.25">
      <c r="A418">
        <v>38</v>
      </c>
      <c r="B418" t="s">
        <v>32</v>
      </c>
      <c r="C418" t="s">
        <v>50</v>
      </c>
      <c r="D418" t="s">
        <v>51</v>
      </c>
      <c r="E418" t="s">
        <v>52</v>
      </c>
      <c r="F418">
        <v>2</v>
      </c>
      <c r="G418" t="s">
        <v>36</v>
      </c>
      <c r="H418">
        <v>4</v>
      </c>
      <c r="I418" t="s">
        <v>42</v>
      </c>
      <c r="J418" t="s">
        <v>54</v>
      </c>
      <c r="K418">
        <v>3</v>
      </c>
      <c r="L418" t="s">
        <v>39</v>
      </c>
      <c r="M418">
        <v>1</v>
      </c>
      <c r="N418" t="s">
        <v>40</v>
      </c>
      <c r="O418" t="s">
        <v>62</v>
      </c>
      <c r="P418">
        <v>4</v>
      </c>
      <c r="Q418" t="s">
        <v>42</v>
      </c>
      <c r="R418" t="s">
        <v>58</v>
      </c>
      <c r="S418">
        <v>1</v>
      </c>
      <c r="T418" t="s">
        <v>44</v>
      </c>
      <c r="U418" t="s">
        <v>44</v>
      </c>
      <c r="V418">
        <v>23</v>
      </c>
      <c r="W418" t="s">
        <v>60</v>
      </c>
      <c r="X418">
        <v>1</v>
      </c>
      <c r="Y418">
        <v>3</v>
      </c>
      <c r="Z418" t="s">
        <v>61</v>
      </c>
      <c r="AA418">
        <v>1</v>
      </c>
      <c r="AB418" t="s">
        <v>48</v>
      </c>
      <c r="AC418">
        <v>0</v>
      </c>
      <c r="AD418" t="s">
        <v>48</v>
      </c>
      <c r="AE418">
        <v>0</v>
      </c>
      <c r="AF418" t="s">
        <v>49</v>
      </c>
    </row>
    <row r="419" spans="1:32" x14ac:dyDescent="0.25">
      <c r="A419">
        <v>40</v>
      </c>
      <c r="B419" t="s">
        <v>32</v>
      </c>
      <c r="C419" t="s">
        <v>50</v>
      </c>
      <c r="D419" t="s">
        <v>34</v>
      </c>
      <c r="E419" t="s">
        <v>35</v>
      </c>
      <c r="F419">
        <v>2</v>
      </c>
      <c r="G419" t="s">
        <v>36</v>
      </c>
      <c r="H419">
        <v>3</v>
      </c>
      <c r="I419" t="s">
        <v>42</v>
      </c>
      <c r="J419" t="s">
        <v>38</v>
      </c>
      <c r="K419">
        <v>3</v>
      </c>
      <c r="L419" t="s">
        <v>39</v>
      </c>
      <c r="M419">
        <v>5</v>
      </c>
      <c r="N419" t="s">
        <v>72</v>
      </c>
      <c r="O419" t="s">
        <v>73</v>
      </c>
      <c r="P419">
        <v>3</v>
      </c>
      <c r="Q419" t="s">
        <v>42</v>
      </c>
      <c r="R419" t="s">
        <v>58</v>
      </c>
      <c r="S419">
        <v>0</v>
      </c>
      <c r="T419" t="s">
        <v>44</v>
      </c>
      <c r="U419" t="s">
        <v>59</v>
      </c>
      <c r="V419">
        <v>14</v>
      </c>
      <c r="W419" t="s">
        <v>45</v>
      </c>
      <c r="X419">
        <v>21</v>
      </c>
      <c r="Y419">
        <v>3</v>
      </c>
      <c r="Z419" t="s">
        <v>61</v>
      </c>
      <c r="AA419">
        <v>20</v>
      </c>
      <c r="AB419" t="s">
        <v>74</v>
      </c>
      <c r="AC419">
        <v>15</v>
      </c>
      <c r="AD419" t="s">
        <v>74</v>
      </c>
      <c r="AE419">
        <v>1</v>
      </c>
      <c r="AF419" t="s">
        <v>49</v>
      </c>
    </row>
    <row r="420" spans="1:32" x14ac:dyDescent="0.25">
      <c r="A420">
        <v>26</v>
      </c>
      <c r="B420" t="s">
        <v>63</v>
      </c>
      <c r="C420" t="s">
        <v>50</v>
      </c>
      <c r="D420" t="s">
        <v>34</v>
      </c>
      <c r="E420" t="s">
        <v>52</v>
      </c>
      <c r="F420">
        <v>23</v>
      </c>
      <c r="G420" t="s">
        <v>66</v>
      </c>
      <c r="H420">
        <v>1</v>
      </c>
      <c r="I420" t="s">
        <v>37</v>
      </c>
      <c r="J420" t="s">
        <v>38</v>
      </c>
      <c r="K420">
        <v>3</v>
      </c>
      <c r="L420" t="s">
        <v>39</v>
      </c>
      <c r="M420">
        <v>1</v>
      </c>
      <c r="N420" t="s">
        <v>40</v>
      </c>
      <c r="O420" t="s">
        <v>56</v>
      </c>
      <c r="P420">
        <v>4</v>
      </c>
      <c r="Q420" t="s">
        <v>42</v>
      </c>
      <c r="R420" t="s">
        <v>67</v>
      </c>
      <c r="S420">
        <v>1</v>
      </c>
      <c r="T420" t="s">
        <v>44</v>
      </c>
      <c r="U420" t="s">
        <v>59</v>
      </c>
      <c r="V420">
        <v>22</v>
      </c>
      <c r="W420" t="s">
        <v>60</v>
      </c>
      <c r="X420">
        <v>3</v>
      </c>
      <c r="Y420">
        <v>1</v>
      </c>
      <c r="Z420" t="s">
        <v>46</v>
      </c>
      <c r="AA420">
        <v>3</v>
      </c>
      <c r="AB420" t="s">
        <v>48</v>
      </c>
      <c r="AC420">
        <v>2</v>
      </c>
      <c r="AD420" t="s">
        <v>48</v>
      </c>
      <c r="AE420">
        <v>0</v>
      </c>
      <c r="AF420" t="s">
        <v>49</v>
      </c>
    </row>
    <row r="421" spans="1:32" x14ac:dyDescent="0.25">
      <c r="A421">
        <v>30</v>
      </c>
      <c r="B421" t="s">
        <v>32</v>
      </c>
      <c r="C421" t="s">
        <v>50</v>
      </c>
      <c r="D421" t="s">
        <v>34</v>
      </c>
      <c r="E421" t="s">
        <v>52</v>
      </c>
      <c r="F421">
        <v>3</v>
      </c>
      <c r="G421" t="s">
        <v>36</v>
      </c>
      <c r="H421">
        <v>3</v>
      </c>
      <c r="I421" t="s">
        <v>42</v>
      </c>
      <c r="J421" t="s">
        <v>54</v>
      </c>
      <c r="K421">
        <v>3</v>
      </c>
      <c r="L421" t="s">
        <v>39</v>
      </c>
      <c r="M421">
        <v>1</v>
      </c>
      <c r="N421" t="s">
        <v>40</v>
      </c>
      <c r="O421" t="s">
        <v>62</v>
      </c>
      <c r="P421">
        <v>4</v>
      </c>
      <c r="Q421" t="s">
        <v>42</v>
      </c>
      <c r="R421" t="s">
        <v>58</v>
      </c>
      <c r="S421">
        <v>4</v>
      </c>
      <c r="T421" t="s">
        <v>44</v>
      </c>
      <c r="U421" t="s">
        <v>59</v>
      </c>
      <c r="V421">
        <v>15</v>
      </c>
      <c r="W421" t="s">
        <v>45</v>
      </c>
      <c r="X421">
        <v>9</v>
      </c>
      <c r="Y421">
        <v>1</v>
      </c>
      <c r="Z421" t="s">
        <v>46</v>
      </c>
      <c r="AA421">
        <v>5</v>
      </c>
      <c r="AB421" t="s">
        <v>47</v>
      </c>
      <c r="AC421">
        <v>3</v>
      </c>
      <c r="AD421" t="s">
        <v>48</v>
      </c>
      <c r="AE421">
        <v>1</v>
      </c>
      <c r="AF421" t="s">
        <v>49</v>
      </c>
    </row>
    <row r="422" spans="1:32" x14ac:dyDescent="0.25">
      <c r="A422">
        <v>29</v>
      </c>
      <c r="B422" t="s">
        <v>63</v>
      </c>
      <c r="C422" t="s">
        <v>50</v>
      </c>
      <c r="D422" t="s">
        <v>34</v>
      </c>
      <c r="E422" t="s">
        <v>52</v>
      </c>
      <c r="F422">
        <v>3</v>
      </c>
      <c r="G422" t="s">
        <v>36</v>
      </c>
      <c r="H422">
        <v>2</v>
      </c>
      <c r="I422" t="s">
        <v>37</v>
      </c>
      <c r="J422" t="s">
        <v>54</v>
      </c>
      <c r="K422">
        <v>2</v>
      </c>
      <c r="L422" t="s">
        <v>55</v>
      </c>
      <c r="M422">
        <v>3</v>
      </c>
      <c r="N422" t="s">
        <v>68</v>
      </c>
      <c r="O422" t="s">
        <v>76</v>
      </c>
      <c r="P422">
        <v>3</v>
      </c>
      <c r="Q422" t="s">
        <v>42</v>
      </c>
      <c r="R422" t="s">
        <v>58</v>
      </c>
      <c r="S422">
        <v>1</v>
      </c>
      <c r="T422" t="s">
        <v>44</v>
      </c>
      <c r="U422" t="s">
        <v>59</v>
      </c>
      <c r="V422">
        <v>18</v>
      </c>
      <c r="W422" t="s">
        <v>45</v>
      </c>
      <c r="X422">
        <v>10</v>
      </c>
      <c r="Y422">
        <v>3</v>
      </c>
      <c r="Z422" t="s">
        <v>61</v>
      </c>
      <c r="AA422">
        <v>10</v>
      </c>
      <c r="AB422" t="s">
        <v>47</v>
      </c>
      <c r="AC422">
        <v>2</v>
      </c>
      <c r="AD422" t="s">
        <v>48</v>
      </c>
      <c r="AE422">
        <v>0</v>
      </c>
      <c r="AF422" t="s">
        <v>49</v>
      </c>
    </row>
    <row r="423" spans="1:32" x14ac:dyDescent="0.25">
      <c r="A423">
        <v>29</v>
      </c>
      <c r="B423" t="s">
        <v>63</v>
      </c>
      <c r="C423" t="s">
        <v>33</v>
      </c>
      <c r="D423" t="s">
        <v>34</v>
      </c>
      <c r="E423" t="s">
        <v>52</v>
      </c>
      <c r="F423">
        <v>25</v>
      </c>
      <c r="G423" t="s">
        <v>66</v>
      </c>
      <c r="H423">
        <v>3</v>
      </c>
      <c r="I423" t="s">
        <v>42</v>
      </c>
      <c r="J423" t="s">
        <v>38</v>
      </c>
      <c r="K423">
        <v>2</v>
      </c>
      <c r="L423" t="s">
        <v>55</v>
      </c>
      <c r="M423">
        <v>1</v>
      </c>
      <c r="N423" t="s">
        <v>40</v>
      </c>
      <c r="O423" t="s">
        <v>56</v>
      </c>
      <c r="P423">
        <v>2</v>
      </c>
      <c r="Q423" t="s">
        <v>57</v>
      </c>
      <c r="R423" t="s">
        <v>58</v>
      </c>
      <c r="S423">
        <v>5</v>
      </c>
      <c r="T423" t="s">
        <v>44</v>
      </c>
      <c r="U423" t="s">
        <v>59</v>
      </c>
      <c r="V423">
        <v>16</v>
      </c>
      <c r="W423" t="s">
        <v>45</v>
      </c>
      <c r="X423">
        <v>6</v>
      </c>
      <c r="Y423">
        <v>4</v>
      </c>
      <c r="Z423" t="s">
        <v>61</v>
      </c>
      <c r="AA423">
        <v>2</v>
      </c>
      <c r="AB423" t="s">
        <v>48</v>
      </c>
      <c r="AC423">
        <v>2</v>
      </c>
      <c r="AD423" t="s">
        <v>48</v>
      </c>
      <c r="AE423">
        <v>1</v>
      </c>
      <c r="AF423" t="s">
        <v>49</v>
      </c>
    </row>
    <row r="424" spans="1:32" x14ac:dyDescent="0.25">
      <c r="A424">
        <v>19</v>
      </c>
      <c r="B424" t="s">
        <v>63</v>
      </c>
      <c r="C424" t="s">
        <v>33</v>
      </c>
      <c r="D424" t="s">
        <v>34</v>
      </c>
      <c r="E424" t="s">
        <v>77</v>
      </c>
      <c r="F424">
        <v>2</v>
      </c>
      <c r="G424" t="s">
        <v>36</v>
      </c>
      <c r="H424">
        <v>1</v>
      </c>
      <c r="I424" t="s">
        <v>37</v>
      </c>
      <c r="J424" t="s">
        <v>54</v>
      </c>
      <c r="K424">
        <v>2</v>
      </c>
      <c r="L424" t="s">
        <v>55</v>
      </c>
      <c r="M424">
        <v>1</v>
      </c>
      <c r="N424" t="s">
        <v>40</v>
      </c>
      <c r="O424" t="s">
        <v>77</v>
      </c>
      <c r="P424">
        <v>4</v>
      </c>
      <c r="Q424" t="s">
        <v>42</v>
      </c>
      <c r="R424" t="s">
        <v>43</v>
      </c>
      <c r="S424">
        <v>1</v>
      </c>
      <c r="T424" t="s">
        <v>44</v>
      </c>
      <c r="U424" t="s">
        <v>59</v>
      </c>
      <c r="V424">
        <v>12</v>
      </c>
      <c r="W424" t="s">
        <v>45</v>
      </c>
      <c r="X424">
        <v>1</v>
      </c>
      <c r="Y424">
        <v>4</v>
      </c>
      <c r="Z424" t="s">
        <v>61</v>
      </c>
      <c r="AA424">
        <v>1</v>
      </c>
      <c r="AB424" t="s">
        <v>48</v>
      </c>
      <c r="AC424">
        <v>0</v>
      </c>
      <c r="AD424" t="s">
        <v>48</v>
      </c>
      <c r="AE424">
        <v>0</v>
      </c>
      <c r="AF424" t="s">
        <v>49</v>
      </c>
    </row>
    <row r="425" spans="1:32" x14ac:dyDescent="0.25">
      <c r="A425">
        <v>30</v>
      </c>
      <c r="B425" t="s">
        <v>32</v>
      </c>
      <c r="C425" t="s">
        <v>50</v>
      </c>
      <c r="D425" t="s">
        <v>34</v>
      </c>
      <c r="E425" t="s">
        <v>35</v>
      </c>
      <c r="F425">
        <v>22</v>
      </c>
      <c r="G425" t="s">
        <v>66</v>
      </c>
      <c r="H425">
        <v>3</v>
      </c>
      <c r="I425" t="s">
        <v>42</v>
      </c>
      <c r="J425" t="s">
        <v>38</v>
      </c>
      <c r="K425">
        <v>3</v>
      </c>
      <c r="L425" t="s">
        <v>39</v>
      </c>
      <c r="M425">
        <v>3</v>
      </c>
      <c r="N425" t="s">
        <v>68</v>
      </c>
      <c r="O425" t="s">
        <v>41</v>
      </c>
      <c r="P425">
        <v>1</v>
      </c>
      <c r="Q425" t="s">
        <v>57</v>
      </c>
      <c r="R425" t="s">
        <v>58</v>
      </c>
      <c r="S425">
        <v>0</v>
      </c>
      <c r="T425" t="s">
        <v>44</v>
      </c>
      <c r="U425" t="s">
        <v>59</v>
      </c>
      <c r="V425">
        <v>11</v>
      </c>
      <c r="W425" t="s">
        <v>45</v>
      </c>
      <c r="X425">
        <v>10</v>
      </c>
      <c r="Y425">
        <v>3</v>
      </c>
      <c r="Z425" t="s">
        <v>61</v>
      </c>
      <c r="AA425">
        <v>9</v>
      </c>
      <c r="AB425" t="s">
        <v>47</v>
      </c>
      <c r="AC425">
        <v>8</v>
      </c>
      <c r="AD425" t="s">
        <v>47</v>
      </c>
      <c r="AE425">
        <v>7</v>
      </c>
      <c r="AF425" t="s">
        <v>71</v>
      </c>
    </row>
    <row r="426" spans="1:32" x14ac:dyDescent="0.25">
      <c r="A426">
        <v>57</v>
      </c>
      <c r="B426" t="s">
        <v>64</v>
      </c>
      <c r="C426" t="s">
        <v>50</v>
      </c>
      <c r="D426" t="s">
        <v>34</v>
      </c>
      <c r="E426" t="s">
        <v>35</v>
      </c>
      <c r="F426">
        <v>29</v>
      </c>
      <c r="G426" t="s">
        <v>66</v>
      </c>
      <c r="H426">
        <v>1</v>
      </c>
      <c r="I426" t="s">
        <v>37</v>
      </c>
      <c r="J426" t="s">
        <v>54</v>
      </c>
      <c r="K426">
        <v>2</v>
      </c>
      <c r="L426" t="s">
        <v>55</v>
      </c>
      <c r="M426">
        <v>4</v>
      </c>
      <c r="N426" t="s">
        <v>72</v>
      </c>
      <c r="O426" t="s">
        <v>73</v>
      </c>
      <c r="P426">
        <v>4</v>
      </c>
      <c r="Q426" t="s">
        <v>42</v>
      </c>
      <c r="R426" t="s">
        <v>67</v>
      </c>
      <c r="S426">
        <v>3</v>
      </c>
      <c r="T426" t="s">
        <v>44</v>
      </c>
      <c r="U426" t="s">
        <v>59</v>
      </c>
      <c r="V426">
        <v>12</v>
      </c>
      <c r="W426" t="s">
        <v>45</v>
      </c>
      <c r="X426">
        <v>32</v>
      </c>
      <c r="Y426">
        <v>2</v>
      </c>
      <c r="Z426" t="s">
        <v>46</v>
      </c>
      <c r="AA426">
        <v>1</v>
      </c>
      <c r="AB426" t="s">
        <v>48</v>
      </c>
      <c r="AC426">
        <v>0</v>
      </c>
      <c r="AD426" t="s">
        <v>48</v>
      </c>
      <c r="AE426">
        <v>0</v>
      </c>
      <c r="AF426" t="s">
        <v>49</v>
      </c>
    </row>
    <row r="427" spans="1:32" x14ac:dyDescent="0.25">
      <c r="A427">
        <v>50</v>
      </c>
      <c r="B427" t="s">
        <v>32</v>
      </c>
      <c r="C427" t="s">
        <v>50</v>
      </c>
      <c r="D427" t="s">
        <v>34</v>
      </c>
      <c r="E427" t="s">
        <v>52</v>
      </c>
      <c r="F427">
        <v>29</v>
      </c>
      <c r="G427" t="s">
        <v>66</v>
      </c>
      <c r="H427">
        <v>2</v>
      </c>
      <c r="I427" t="s">
        <v>37</v>
      </c>
      <c r="J427" t="s">
        <v>54</v>
      </c>
      <c r="K427">
        <v>2</v>
      </c>
      <c r="L427" t="s">
        <v>55</v>
      </c>
      <c r="M427">
        <v>4</v>
      </c>
      <c r="N427" t="s">
        <v>72</v>
      </c>
      <c r="O427" t="s">
        <v>73</v>
      </c>
      <c r="P427">
        <v>3</v>
      </c>
      <c r="Q427" t="s">
        <v>42</v>
      </c>
      <c r="R427" t="s">
        <v>58</v>
      </c>
      <c r="S427">
        <v>0</v>
      </c>
      <c r="T427" t="s">
        <v>44</v>
      </c>
      <c r="U427" t="s">
        <v>59</v>
      </c>
      <c r="V427">
        <v>15</v>
      </c>
      <c r="W427" t="s">
        <v>45</v>
      </c>
      <c r="X427">
        <v>28</v>
      </c>
      <c r="Y427">
        <v>3</v>
      </c>
      <c r="Z427" t="s">
        <v>61</v>
      </c>
      <c r="AA427">
        <v>27</v>
      </c>
      <c r="AB427" t="s">
        <v>74</v>
      </c>
      <c r="AC427">
        <v>10</v>
      </c>
      <c r="AD427" t="s">
        <v>47</v>
      </c>
      <c r="AE427">
        <v>15</v>
      </c>
      <c r="AF427" t="s">
        <v>71</v>
      </c>
    </row>
    <row r="428" spans="1:32" x14ac:dyDescent="0.25">
      <c r="A428">
        <v>30</v>
      </c>
      <c r="B428" t="s">
        <v>32</v>
      </c>
      <c r="C428" t="s">
        <v>50</v>
      </c>
      <c r="D428" t="s">
        <v>34</v>
      </c>
      <c r="E428" t="s">
        <v>52</v>
      </c>
      <c r="F428">
        <v>2</v>
      </c>
      <c r="G428" t="s">
        <v>36</v>
      </c>
      <c r="H428">
        <v>3</v>
      </c>
      <c r="I428" t="s">
        <v>42</v>
      </c>
      <c r="J428" t="s">
        <v>38</v>
      </c>
      <c r="K428">
        <v>3</v>
      </c>
      <c r="L428" t="s">
        <v>39</v>
      </c>
      <c r="M428">
        <v>1</v>
      </c>
      <c r="N428" t="s">
        <v>40</v>
      </c>
      <c r="O428" t="s">
        <v>62</v>
      </c>
      <c r="P428">
        <v>4</v>
      </c>
      <c r="Q428" t="s">
        <v>42</v>
      </c>
      <c r="R428" t="s">
        <v>43</v>
      </c>
      <c r="S428">
        <v>0</v>
      </c>
      <c r="T428" t="s">
        <v>44</v>
      </c>
      <c r="U428" t="s">
        <v>59</v>
      </c>
      <c r="V428">
        <v>14</v>
      </c>
      <c r="W428" t="s">
        <v>45</v>
      </c>
      <c r="X428">
        <v>12</v>
      </c>
      <c r="Y428">
        <v>2</v>
      </c>
      <c r="Z428" t="s">
        <v>46</v>
      </c>
      <c r="AA428">
        <v>11</v>
      </c>
      <c r="AB428" t="s">
        <v>74</v>
      </c>
      <c r="AC428">
        <v>7</v>
      </c>
      <c r="AD428" t="s">
        <v>47</v>
      </c>
      <c r="AE428">
        <v>6</v>
      </c>
      <c r="AF428" t="s">
        <v>71</v>
      </c>
    </row>
    <row r="429" spans="1:32" x14ac:dyDescent="0.25">
      <c r="A429">
        <v>60</v>
      </c>
      <c r="B429" t="s">
        <v>64</v>
      </c>
      <c r="C429" t="s">
        <v>50</v>
      </c>
      <c r="D429" t="s">
        <v>51</v>
      </c>
      <c r="E429" t="s">
        <v>35</v>
      </c>
      <c r="F429">
        <v>28</v>
      </c>
      <c r="G429" t="s">
        <v>66</v>
      </c>
      <c r="H429">
        <v>3</v>
      </c>
      <c r="I429" t="s">
        <v>42</v>
      </c>
      <c r="J429" t="s">
        <v>38</v>
      </c>
      <c r="K429">
        <v>2</v>
      </c>
      <c r="L429" t="s">
        <v>55</v>
      </c>
      <c r="M429">
        <v>3</v>
      </c>
      <c r="N429" t="s">
        <v>68</v>
      </c>
      <c r="O429" t="s">
        <v>41</v>
      </c>
      <c r="P429">
        <v>1</v>
      </c>
      <c r="Q429" t="s">
        <v>57</v>
      </c>
      <c r="R429" t="s">
        <v>58</v>
      </c>
      <c r="S429">
        <v>4</v>
      </c>
      <c r="T429" t="s">
        <v>44</v>
      </c>
      <c r="U429" t="s">
        <v>59</v>
      </c>
      <c r="V429">
        <v>19</v>
      </c>
      <c r="W429" t="s">
        <v>45</v>
      </c>
      <c r="X429">
        <v>22</v>
      </c>
      <c r="Y429">
        <v>4</v>
      </c>
      <c r="Z429" t="s">
        <v>61</v>
      </c>
      <c r="AA429">
        <v>18</v>
      </c>
      <c r="AB429" t="s">
        <v>74</v>
      </c>
      <c r="AC429">
        <v>13</v>
      </c>
      <c r="AD429" t="s">
        <v>74</v>
      </c>
      <c r="AE429">
        <v>13</v>
      </c>
      <c r="AF429" t="s">
        <v>71</v>
      </c>
    </row>
    <row r="430" spans="1:32" x14ac:dyDescent="0.25">
      <c r="A430">
        <v>47</v>
      </c>
      <c r="B430" t="s">
        <v>32</v>
      </c>
      <c r="C430" t="s">
        <v>50</v>
      </c>
      <c r="D430" t="s">
        <v>34</v>
      </c>
      <c r="E430" t="s">
        <v>52</v>
      </c>
      <c r="F430">
        <v>2</v>
      </c>
      <c r="G430" t="s">
        <v>36</v>
      </c>
      <c r="H430">
        <v>1</v>
      </c>
      <c r="I430" t="s">
        <v>37</v>
      </c>
      <c r="J430" t="s">
        <v>38</v>
      </c>
      <c r="K430">
        <v>3</v>
      </c>
      <c r="L430" t="s">
        <v>39</v>
      </c>
      <c r="M430">
        <v>2</v>
      </c>
      <c r="N430" t="s">
        <v>40</v>
      </c>
      <c r="O430" t="s">
        <v>69</v>
      </c>
      <c r="P430">
        <v>4</v>
      </c>
      <c r="Q430" t="s">
        <v>42</v>
      </c>
      <c r="R430" t="s">
        <v>67</v>
      </c>
      <c r="S430">
        <v>5</v>
      </c>
      <c r="T430" t="s">
        <v>44</v>
      </c>
      <c r="U430" t="s">
        <v>59</v>
      </c>
      <c r="V430">
        <v>13</v>
      </c>
      <c r="W430" t="s">
        <v>45</v>
      </c>
      <c r="X430">
        <v>20</v>
      </c>
      <c r="Y430">
        <v>3</v>
      </c>
      <c r="Z430" t="s">
        <v>61</v>
      </c>
      <c r="AA430">
        <v>5</v>
      </c>
      <c r="AB430" t="s">
        <v>47</v>
      </c>
      <c r="AC430">
        <v>0</v>
      </c>
      <c r="AD430" t="s">
        <v>48</v>
      </c>
      <c r="AE430">
        <v>0</v>
      </c>
      <c r="AF430" t="s">
        <v>49</v>
      </c>
    </row>
    <row r="431" spans="1:32" x14ac:dyDescent="0.25">
      <c r="A431">
        <v>46</v>
      </c>
      <c r="B431" t="s">
        <v>32</v>
      </c>
      <c r="C431" t="s">
        <v>50</v>
      </c>
      <c r="D431" t="s">
        <v>34</v>
      </c>
      <c r="E431" t="s">
        <v>52</v>
      </c>
      <c r="F431">
        <v>2</v>
      </c>
      <c r="G431" t="s">
        <v>36</v>
      </c>
      <c r="H431">
        <v>1</v>
      </c>
      <c r="I431" t="s">
        <v>37</v>
      </c>
      <c r="J431" t="s">
        <v>54</v>
      </c>
      <c r="K431">
        <v>3</v>
      </c>
      <c r="L431" t="s">
        <v>39</v>
      </c>
      <c r="M431">
        <v>4</v>
      </c>
      <c r="N431" t="s">
        <v>72</v>
      </c>
      <c r="O431" t="s">
        <v>76</v>
      </c>
      <c r="P431">
        <v>3</v>
      </c>
      <c r="Q431" t="s">
        <v>42</v>
      </c>
      <c r="R431" t="s">
        <v>58</v>
      </c>
      <c r="S431">
        <v>6</v>
      </c>
      <c r="T431" t="s">
        <v>44</v>
      </c>
      <c r="U431" t="s">
        <v>59</v>
      </c>
      <c r="V431">
        <v>13</v>
      </c>
      <c r="W431" t="s">
        <v>45</v>
      </c>
      <c r="X431">
        <v>26</v>
      </c>
      <c r="Y431">
        <v>1</v>
      </c>
      <c r="Z431" t="s">
        <v>46</v>
      </c>
      <c r="AA431">
        <v>3</v>
      </c>
      <c r="AB431" t="s">
        <v>48</v>
      </c>
      <c r="AC431">
        <v>2</v>
      </c>
      <c r="AD431" t="s">
        <v>48</v>
      </c>
      <c r="AE431">
        <v>0</v>
      </c>
      <c r="AF431" t="s">
        <v>49</v>
      </c>
    </row>
    <row r="432" spans="1:32" x14ac:dyDescent="0.25">
      <c r="A432">
        <v>35</v>
      </c>
      <c r="B432" t="s">
        <v>32</v>
      </c>
      <c r="C432" t="s">
        <v>50</v>
      </c>
      <c r="D432" t="s">
        <v>34</v>
      </c>
      <c r="E432" t="s">
        <v>52</v>
      </c>
      <c r="F432">
        <v>22</v>
      </c>
      <c r="G432" t="s">
        <v>66</v>
      </c>
      <c r="H432">
        <v>4</v>
      </c>
      <c r="I432" t="s">
        <v>42</v>
      </c>
      <c r="J432" t="s">
        <v>54</v>
      </c>
      <c r="K432">
        <v>1</v>
      </c>
      <c r="L432" t="s">
        <v>55</v>
      </c>
      <c r="M432">
        <v>1</v>
      </c>
      <c r="N432" t="s">
        <v>40</v>
      </c>
      <c r="O432" t="s">
        <v>62</v>
      </c>
      <c r="P432">
        <v>3</v>
      </c>
      <c r="Q432" t="s">
        <v>42</v>
      </c>
      <c r="R432" t="s">
        <v>43</v>
      </c>
      <c r="S432">
        <v>0</v>
      </c>
      <c r="T432" t="s">
        <v>44</v>
      </c>
      <c r="U432" t="s">
        <v>59</v>
      </c>
      <c r="V432">
        <v>15</v>
      </c>
      <c r="W432" t="s">
        <v>45</v>
      </c>
      <c r="X432">
        <v>6</v>
      </c>
      <c r="Y432">
        <v>3</v>
      </c>
      <c r="Z432" t="s">
        <v>61</v>
      </c>
      <c r="AA432">
        <v>5</v>
      </c>
      <c r="AB432" t="s">
        <v>47</v>
      </c>
      <c r="AC432">
        <v>4</v>
      </c>
      <c r="AD432" t="s">
        <v>48</v>
      </c>
      <c r="AE432">
        <v>4</v>
      </c>
      <c r="AF432" t="s">
        <v>71</v>
      </c>
    </row>
    <row r="433" spans="1:32" x14ac:dyDescent="0.25">
      <c r="A433">
        <v>54</v>
      </c>
      <c r="B433" t="s">
        <v>64</v>
      </c>
      <c r="C433" t="s">
        <v>50</v>
      </c>
      <c r="D433" t="s">
        <v>34</v>
      </c>
      <c r="E433" t="s">
        <v>52</v>
      </c>
      <c r="F433">
        <v>8</v>
      </c>
      <c r="G433" t="s">
        <v>53</v>
      </c>
      <c r="H433">
        <v>3</v>
      </c>
      <c r="I433" t="s">
        <v>42</v>
      </c>
      <c r="J433" t="s">
        <v>38</v>
      </c>
      <c r="K433">
        <v>3</v>
      </c>
      <c r="L433" t="s">
        <v>39</v>
      </c>
      <c r="M433">
        <v>2</v>
      </c>
      <c r="N433" t="s">
        <v>40</v>
      </c>
      <c r="O433" t="s">
        <v>62</v>
      </c>
      <c r="P433">
        <v>3</v>
      </c>
      <c r="Q433" t="s">
        <v>42</v>
      </c>
      <c r="R433" t="s">
        <v>43</v>
      </c>
      <c r="S433">
        <v>7</v>
      </c>
      <c r="T433" t="s">
        <v>44</v>
      </c>
      <c r="U433" t="s">
        <v>59</v>
      </c>
      <c r="V433">
        <v>11</v>
      </c>
      <c r="W433" t="s">
        <v>45</v>
      </c>
      <c r="X433">
        <v>19</v>
      </c>
      <c r="Y433">
        <v>3</v>
      </c>
      <c r="Z433" t="s">
        <v>61</v>
      </c>
      <c r="AA433">
        <v>1</v>
      </c>
      <c r="AB433" t="s">
        <v>48</v>
      </c>
      <c r="AC433">
        <v>0</v>
      </c>
      <c r="AD433" t="s">
        <v>48</v>
      </c>
      <c r="AE433">
        <v>0</v>
      </c>
      <c r="AF433" t="s">
        <v>49</v>
      </c>
    </row>
    <row r="434" spans="1:32" x14ac:dyDescent="0.25">
      <c r="A434">
        <v>34</v>
      </c>
      <c r="B434" t="s">
        <v>32</v>
      </c>
      <c r="C434" t="s">
        <v>50</v>
      </c>
      <c r="D434" t="s">
        <v>34</v>
      </c>
      <c r="E434" t="s">
        <v>52</v>
      </c>
      <c r="F434">
        <v>2</v>
      </c>
      <c r="G434" t="s">
        <v>36</v>
      </c>
      <c r="H434">
        <v>4</v>
      </c>
      <c r="I434" t="s">
        <v>42</v>
      </c>
      <c r="J434" t="s">
        <v>54</v>
      </c>
      <c r="K434">
        <v>2</v>
      </c>
      <c r="L434" t="s">
        <v>55</v>
      </c>
      <c r="M434">
        <v>1</v>
      </c>
      <c r="N434" t="s">
        <v>40</v>
      </c>
      <c r="O434" t="s">
        <v>56</v>
      </c>
      <c r="P434">
        <v>3</v>
      </c>
      <c r="Q434" t="s">
        <v>42</v>
      </c>
      <c r="R434" t="s">
        <v>67</v>
      </c>
      <c r="S434">
        <v>3</v>
      </c>
      <c r="T434" t="s">
        <v>44</v>
      </c>
      <c r="U434" t="s">
        <v>59</v>
      </c>
      <c r="V434">
        <v>12</v>
      </c>
      <c r="W434" t="s">
        <v>45</v>
      </c>
      <c r="X434">
        <v>14</v>
      </c>
      <c r="Y434">
        <v>3</v>
      </c>
      <c r="Z434" t="s">
        <v>61</v>
      </c>
      <c r="AA434">
        <v>7</v>
      </c>
      <c r="AB434" t="s">
        <v>47</v>
      </c>
      <c r="AC434">
        <v>3</v>
      </c>
      <c r="AD434" t="s">
        <v>48</v>
      </c>
      <c r="AE434">
        <v>5</v>
      </c>
      <c r="AF434" t="s">
        <v>71</v>
      </c>
    </row>
    <row r="435" spans="1:32" x14ac:dyDescent="0.25">
      <c r="A435">
        <v>46</v>
      </c>
      <c r="B435" t="s">
        <v>32</v>
      </c>
      <c r="C435" t="s">
        <v>50</v>
      </c>
      <c r="D435" t="s">
        <v>34</v>
      </c>
      <c r="E435" t="s">
        <v>35</v>
      </c>
      <c r="F435">
        <v>10</v>
      </c>
      <c r="G435" t="s">
        <v>53</v>
      </c>
      <c r="H435">
        <v>3</v>
      </c>
      <c r="I435" t="s">
        <v>42</v>
      </c>
      <c r="J435" t="s">
        <v>38</v>
      </c>
      <c r="K435">
        <v>2</v>
      </c>
      <c r="L435" t="s">
        <v>55</v>
      </c>
      <c r="M435">
        <v>3</v>
      </c>
      <c r="N435" t="s">
        <v>68</v>
      </c>
      <c r="O435" t="s">
        <v>41</v>
      </c>
      <c r="P435">
        <v>4</v>
      </c>
      <c r="Q435" t="s">
        <v>42</v>
      </c>
      <c r="R435" t="s">
        <v>58</v>
      </c>
      <c r="S435">
        <v>2</v>
      </c>
      <c r="T435" t="s">
        <v>44</v>
      </c>
      <c r="U435" t="s">
        <v>44</v>
      </c>
      <c r="V435">
        <v>19</v>
      </c>
      <c r="W435" t="s">
        <v>45</v>
      </c>
      <c r="X435">
        <v>15</v>
      </c>
      <c r="Y435">
        <v>3</v>
      </c>
      <c r="Z435" t="s">
        <v>61</v>
      </c>
      <c r="AA435">
        <v>3</v>
      </c>
      <c r="AB435" t="s">
        <v>48</v>
      </c>
      <c r="AC435">
        <v>2</v>
      </c>
      <c r="AD435" t="s">
        <v>48</v>
      </c>
      <c r="AE435">
        <v>1</v>
      </c>
      <c r="AF435" t="s">
        <v>49</v>
      </c>
    </row>
    <row r="436" spans="1:32" x14ac:dyDescent="0.25">
      <c r="A436">
        <v>31</v>
      </c>
      <c r="B436" t="s">
        <v>32</v>
      </c>
      <c r="C436" t="s">
        <v>50</v>
      </c>
      <c r="D436" t="s">
        <v>34</v>
      </c>
      <c r="E436" t="s">
        <v>52</v>
      </c>
      <c r="F436">
        <v>9</v>
      </c>
      <c r="G436" t="s">
        <v>53</v>
      </c>
      <c r="H436">
        <v>3</v>
      </c>
      <c r="I436" t="s">
        <v>42</v>
      </c>
      <c r="J436" t="s">
        <v>54</v>
      </c>
      <c r="K436">
        <v>3</v>
      </c>
      <c r="L436" t="s">
        <v>39</v>
      </c>
      <c r="M436">
        <v>3</v>
      </c>
      <c r="N436" t="s">
        <v>68</v>
      </c>
      <c r="O436" t="s">
        <v>69</v>
      </c>
      <c r="P436">
        <v>2</v>
      </c>
      <c r="Q436" t="s">
        <v>57</v>
      </c>
      <c r="R436" t="s">
        <v>67</v>
      </c>
      <c r="S436">
        <v>1</v>
      </c>
      <c r="T436" t="s">
        <v>44</v>
      </c>
      <c r="U436" t="s">
        <v>59</v>
      </c>
      <c r="V436">
        <v>25</v>
      </c>
      <c r="W436" t="s">
        <v>60</v>
      </c>
      <c r="X436">
        <v>13</v>
      </c>
      <c r="Y436">
        <v>4</v>
      </c>
      <c r="Z436" t="s">
        <v>61</v>
      </c>
      <c r="AA436">
        <v>13</v>
      </c>
      <c r="AB436" t="s">
        <v>74</v>
      </c>
      <c r="AC436">
        <v>8</v>
      </c>
      <c r="AD436" t="s">
        <v>47</v>
      </c>
      <c r="AE436">
        <v>0</v>
      </c>
      <c r="AF436" t="s">
        <v>49</v>
      </c>
    </row>
    <row r="437" spans="1:32" x14ac:dyDescent="0.25">
      <c r="A437">
        <v>33</v>
      </c>
      <c r="B437" t="s">
        <v>32</v>
      </c>
      <c r="C437" t="s">
        <v>33</v>
      </c>
      <c r="D437" t="s">
        <v>34</v>
      </c>
      <c r="E437" t="s">
        <v>52</v>
      </c>
      <c r="F437">
        <v>15</v>
      </c>
      <c r="G437" t="s">
        <v>66</v>
      </c>
      <c r="H437">
        <v>2</v>
      </c>
      <c r="I437" t="s">
        <v>37</v>
      </c>
      <c r="J437" t="s">
        <v>54</v>
      </c>
      <c r="K437">
        <v>3</v>
      </c>
      <c r="L437" t="s">
        <v>39</v>
      </c>
      <c r="M437">
        <v>3</v>
      </c>
      <c r="N437" t="s">
        <v>68</v>
      </c>
      <c r="O437" t="s">
        <v>73</v>
      </c>
      <c r="P437">
        <v>3</v>
      </c>
      <c r="Q437" t="s">
        <v>42</v>
      </c>
      <c r="R437" t="s">
        <v>58</v>
      </c>
      <c r="S437">
        <v>7</v>
      </c>
      <c r="T437" t="s">
        <v>44</v>
      </c>
      <c r="U437" t="s">
        <v>44</v>
      </c>
      <c r="V437">
        <v>12</v>
      </c>
      <c r="W437" t="s">
        <v>45</v>
      </c>
      <c r="X437">
        <v>15</v>
      </c>
      <c r="Y437">
        <v>4</v>
      </c>
      <c r="Z437" t="s">
        <v>61</v>
      </c>
      <c r="AA437">
        <v>7</v>
      </c>
      <c r="AB437" t="s">
        <v>47</v>
      </c>
      <c r="AC437">
        <v>6</v>
      </c>
      <c r="AD437" t="s">
        <v>47</v>
      </c>
      <c r="AE437">
        <v>7</v>
      </c>
      <c r="AF437" t="s">
        <v>71</v>
      </c>
    </row>
    <row r="438" spans="1:32" x14ac:dyDescent="0.25">
      <c r="A438">
        <v>33</v>
      </c>
      <c r="B438" t="s">
        <v>32</v>
      </c>
      <c r="C438" t="s">
        <v>33</v>
      </c>
      <c r="D438" t="s">
        <v>34</v>
      </c>
      <c r="E438" t="s">
        <v>52</v>
      </c>
      <c r="F438">
        <v>10</v>
      </c>
      <c r="G438" t="s">
        <v>53</v>
      </c>
      <c r="H438">
        <v>1</v>
      </c>
      <c r="I438" t="s">
        <v>37</v>
      </c>
      <c r="J438" t="s">
        <v>54</v>
      </c>
      <c r="K438">
        <v>1</v>
      </c>
      <c r="L438" t="s">
        <v>55</v>
      </c>
      <c r="M438">
        <v>1</v>
      </c>
      <c r="N438" t="s">
        <v>40</v>
      </c>
      <c r="O438" t="s">
        <v>62</v>
      </c>
      <c r="P438">
        <v>4</v>
      </c>
      <c r="Q438" t="s">
        <v>42</v>
      </c>
      <c r="R438" t="s">
        <v>67</v>
      </c>
      <c r="S438">
        <v>7</v>
      </c>
      <c r="T438" t="s">
        <v>44</v>
      </c>
      <c r="U438" t="s">
        <v>59</v>
      </c>
      <c r="V438">
        <v>13</v>
      </c>
      <c r="W438" t="s">
        <v>45</v>
      </c>
      <c r="X438">
        <v>8</v>
      </c>
      <c r="Y438">
        <v>3</v>
      </c>
      <c r="Z438" t="s">
        <v>61</v>
      </c>
      <c r="AA438">
        <v>4</v>
      </c>
      <c r="AB438" t="s">
        <v>48</v>
      </c>
      <c r="AC438">
        <v>3</v>
      </c>
      <c r="AD438" t="s">
        <v>48</v>
      </c>
      <c r="AE438">
        <v>1</v>
      </c>
      <c r="AF438" t="s">
        <v>49</v>
      </c>
    </row>
    <row r="439" spans="1:32" x14ac:dyDescent="0.25">
      <c r="A439">
        <v>30</v>
      </c>
      <c r="B439" t="s">
        <v>32</v>
      </c>
      <c r="C439" t="s">
        <v>50</v>
      </c>
      <c r="D439" t="s">
        <v>34</v>
      </c>
      <c r="E439" t="s">
        <v>35</v>
      </c>
      <c r="F439">
        <v>7</v>
      </c>
      <c r="G439" t="s">
        <v>53</v>
      </c>
      <c r="H439">
        <v>4</v>
      </c>
      <c r="I439" t="s">
        <v>42</v>
      </c>
      <c r="J439" t="s">
        <v>54</v>
      </c>
      <c r="K439">
        <v>3</v>
      </c>
      <c r="L439" t="s">
        <v>39</v>
      </c>
      <c r="M439">
        <v>1</v>
      </c>
      <c r="N439" t="s">
        <v>40</v>
      </c>
      <c r="O439" t="s">
        <v>75</v>
      </c>
      <c r="P439">
        <v>2</v>
      </c>
      <c r="Q439" t="s">
        <v>57</v>
      </c>
      <c r="R439" t="s">
        <v>43</v>
      </c>
      <c r="S439">
        <v>0</v>
      </c>
      <c r="T439" t="s">
        <v>44</v>
      </c>
      <c r="U439" t="s">
        <v>59</v>
      </c>
      <c r="V439">
        <v>14</v>
      </c>
      <c r="W439" t="s">
        <v>45</v>
      </c>
      <c r="X439">
        <v>4</v>
      </c>
      <c r="Y439">
        <v>3</v>
      </c>
      <c r="Z439" t="s">
        <v>61</v>
      </c>
      <c r="AA439">
        <v>3</v>
      </c>
      <c r="AB439" t="s">
        <v>48</v>
      </c>
      <c r="AC439">
        <v>2</v>
      </c>
      <c r="AD439" t="s">
        <v>48</v>
      </c>
      <c r="AE439">
        <v>1</v>
      </c>
      <c r="AF439" t="s">
        <v>49</v>
      </c>
    </row>
    <row r="440" spans="1:32" x14ac:dyDescent="0.25">
      <c r="A440">
        <v>35</v>
      </c>
      <c r="B440" t="s">
        <v>32</v>
      </c>
      <c r="C440" t="s">
        <v>50</v>
      </c>
      <c r="D440" t="s">
        <v>34</v>
      </c>
      <c r="E440" t="s">
        <v>52</v>
      </c>
      <c r="F440">
        <v>16</v>
      </c>
      <c r="G440" t="s">
        <v>66</v>
      </c>
      <c r="H440">
        <v>4</v>
      </c>
      <c r="I440" t="s">
        <v>42</v>
      </c>
      <c r="J440" t="s">
        <v>54</v>
      </c>
      <c r="K440">
        <v>3</v>
      </c>
      <c r="L440" t="s">
        <v>39</v>
      </c>
      <c r="M440">
        <v>3</v>
      </c>
      <c r="N440" t="s">
        <v>68</v>
      </c>
      <c r="O440" t="s">
        <v>70</v>
      </c>
      <c r="P440">
        <v>3</v>
      </c>
      <c r="Q440" t="s">
        <v>42</v>
      </c>
      <c r="R440" t="s">
        <v>58</v>
      </c>
      <c r="S440">
        <v>4</v>
      </c>
      <c r="T440" t="s">
        <v>44</v>
      </c>
      <c r="U440" t="s">
        <v>44</v>
      </c>
      <c r="V440">
        <v>12</v>
      </c>
      <c r="W440" t="s">
        <v>45</v>
      </c>
      <c r="X440">
        <v>10</v>
      </c>
      <c r="Y440">
        <v>3</v>
      </c>
      <c r="Z440" t="s">
        <v>61</v>
      </c>
      <c r="AA440">
        <v>8</v>
      </c>
      <c r="AB440" t="s">
        <v>47</v>
      </c>
      <c r="AC440">
        <v>7</v>
      </c>
      <c r="AD440" t="s">
        <v>47</v>
      </c>
      <c r="AE440">
        <v>0</v>
      </c>
      <c r="AF440" t="s">
        <v>49</v>
      </c>
    </row>
    <row r="441" spans="1:32" x14ac:dyDescent="0.25">
      <c r="A441">
        <v>31</v>
      </c>
      <c r="B441" t="s">
        <v>32</v>
      </c>
      <c r="C441" t="s">
        <v>33</v>
      </c>
      <c r="D441" t="s">
        <v>51</v>
      </c>
      <c r="E441" t="s">
        <v>52</v>
      </c>
      <c r="F441">
        <v>20</v>
      </c>
      <c r="G441" t="s">
        <v>66</v>
      </c>
      <c r="H441">
        <v>1</v>
      </c>
      <c r="I441" t="s">
        <v>37</v>
      </c>
      <c r="J441" t="s">
        <v>54</v>
      </c>
      <c r="K441">
        <v>3</v>
      </c>
      <c r="L441" t="s">
        <v>39</v>
      </c>
      <c r="M441">
        <v>3</v>
      </c>
      <c r="N441" t="s">
        <v>68</v>
      </c>
      <c r="O441" t="s">
        <v>70</v>
      </c>
      <c r="P441">
        <v>3</v>
      </c>
      <c r="Q441" t="s">
        <v>42</v>
      </c>
      <c r="R441" t="s">
        <v>58</v>
      </c>
      <c r="S441">
        <v>3</v>
      </c>
      <c r="T441" t="s">
        <v>44</v>
      </c>
      <c r="U441" t="s">
        <v>59</v>
      </c>
      <c r="V441">
        <v>12</v>
      </c>
      <c r="W441" t="s">
        <v>45</v>
      </c>
      <c r="X441">
        <v>12</v>
      </c>
      <c r="Y441">
        <v>3</v>
      </c>
      <c r="Z441" t="s">
        <v>61</v>
      </c>
      <c r="AA441">
        <v>1</v>
      </c>
      <c r="AB441" t="s">
        <v>48</v>
      </c>
      <c r="AC441">
        <v>0</v>
      </c>
      <c r="AD441" t="s">
        <v>48</v>
      </c>
      <c r="AE441">
        <v>0</v>
      </c>
      <c r="AF441" t="s">
        <v>49</v>
      </c>
    </row>
    <row r="442" spans="1:32" x14ac:dyDescent="0.25">
      <c r="A442">
        <v>34</v>
      </c>
      <c r="B442" t="s">
        <v>32</v>
      </c>
      <c r="C442" t="s">
        <v>33</v>
      </c>
      <c r="D442" t="s">
        <v>51</v>
      </c>
      <c r="E442" t="s">
        <v>77</v>
      </c>
      <c r="F442">
        <v>23</v>
      </c>
      <c r="G442" t="s">
        <v>66</v>
      </c>
      <c r="H442">
        <v>2</v>
      </c>
      <c r="I442" t="s">
        <v>37</v>
      </c>
      <c r="J442" t="s">
        <v>38</v>
      </c>
      <c r="K442">
        <v>3</v>
      </c>
      <c r="L442" t="s">
        <v>39</v>
      </c>
      <c r="M442">
        <v>3</v>
      </c>
      <c r="N442" t="s">
        <v>68</v>
      </c>
      <c r="O442" t="s">
        <v>77</v>
      </c>
      <c r="P442">
        <v>1</v>
      </c>
      <c r="Q442" t="s">
        <v>57</v>
      </c>
      <c r="R442" t="s">
        <v>67</v>
      </c>
      <c r="S442">
        <v>9</v>
      </c>
      <c r="T442" t="s">
        <v>44</v>
      </c>
      <c r="U442" t="s">
        <v>44</v>
      </c>
      <c r="V442">
        <v>15</v>
      </c>
      <c r="W442" t="s">
        <v>45</v>
      </c>
      <c r="X442">
        <v>11</v>
      </c>
      <c r="Y442">
        <v>3</v>
      </c>
      <c r="Z442" t="s">
        <v>61</v>
      </c>
      <c r="AA442">
        <v>3</v>
      </c>
      <c r="AB442" t="s">
        <v>48</v>
      </c>
      <c r="AC442">
        <v>2</v>
      </c>
      <c r="AD442" t="s">
        <v>48</v>
      </c>
      <c r="AE442">
        <v>0</v>
      </c>
      <c r="AF442" t="s">
        <v>49</v>
      </c>
    </row>
    <row r="443" spans="1:32" x14ac:dyDescent="0.25">
      <c r="A443">
        <v>42</v>
      </c>
      <c r="B443" t="s">
        <v>32</v>
      </c>
      <c r="C443" t="s">
        <v>50</v>
      </c>
      <c r="D443" t="s">
        <v>51</v>
      </c>
      <c r="E443" t="s">
        <v>52</v>
      </c>
      <c r="F443">
        <v>5</v>
      </c>
      <c r="G443" t="s">
        <v>36</v>
      </c>
      <c r="H443">
        <v>2</v>
      </c>
      <c r="I443" t="s">
        <v>37</v>
      </c>
      <c r="J443" t="s">
        <v>54</v>
      </c>
      <c r="K443">
        <v>3</v>
      </c>
      <c r="L443" t="s">
        <v>39</v>
      </c>
      <c r="M443">
        <v>1</v>
      </c>
      <c r="N443" t="s">
        <v>40</v>
      </c>
      <c r="O443" t="s">
        <v>62</v>
      </c>
      <c r="P443">
        <v>3</v>
      </c>
      <c r="Q443" t="s">
        <v>42</v>
      </c>
      <c r="R443" t="s">
        <v>58</v>
      </c>
      <c r="S443">
        <v>4</v>
      </c>
      <c r="T443" t="s">
        <v>44</v>
      </c>
      <c r="U443" t="s">
        <v>59</v>
      </c>
      <c r="V443">
        <v>17</v>
      </c>
      <c r="W443" t="s">
        <v>45</v>
      </c>
      <c r="X443">
        <v>8</v>
      </c>
      <c r="Y443">
        <v>3</v>
      </c>
      <c r="Z443" t="s">
        <v>61</v>
      </c>
      <c r="AA443">
        <v>2</v>
      </c>
      <c r="AB443" t="s">
        <v>48</v>
      </c>
      <c r="AC443">
        <v>2</v>
      </c>
      <c r="AD443" t="s">
        <v>48</v>
      </c>
      <c r="AE443">
        <v>2</v>
      </c>
      <c r="AF443" t="s">
        <v>49</v>
      </c>
    </row>
    <row r="444" spans="1:32" x14ac:dyDescent="0.25">
      <c r="A444">
        <v>36</v>
      </c>
      <c r="B444" t="s">
        <v>32</v>
      </c>
      <c r="C444" t="s">
        <v>50</v>
      </c>
      <c r="D444" t="s">
        <v>34</v>
      </c>
      <c r="E444" t="s">
        <v>35</v>
      </c>
      <c r="F444">
        <v>10</v>
      </c>
      <c r="G444" t="s">
        <v>53</v>
      </c>
      <c r="H444">
        <v>2</v>
      </c>
      <c r="I444" t="s">
        <v>37</v>
      </c>
      <c r="J444" t="s">
        <v>54</v>
      </c>
      <c r="K444">
        <v>3</v>
      </c>
      <c r="L444" t="s">
        <v>39</v>
      </c>
      <c r="M444">
        <v>3</v>
      </c>
      <c r="N444" t="s">
        <v>68</v>
      </c>
      <c r="O444" t="s">
        <v>41</v>
      </c>
      <c r="P444">
        <v>4</v>
      </c>
      <c r="Q444" t="s">
        <v>42</v>
      </c>
      <c r="R444" t="s">
        <v>43</v>
      </c>
      <c r="S444">
        <v>1</v>
      </c>
      <c r="T444" t="s">
        <v>44</v>
      </c>
      <c r="U444" t="s">
        <v>59</v>
      </c>
      <c r="V444">
        <v>14</v>
      </c>
      <c r="W444" t="s">
        <v>45</v>
      </c>
      <c r="X444">
        <v>10</v>
      </c>
      <c r="Y444">
        <v>2</v>
      </c>
      <c r="Z444" t="s">
        <v>46</v>
      </c>
      <c r="AA444">
        <v>10</v>
      </c>
      <c r="AB444" t="s">
        <v>47</v>
      </c>
      <c r="AC444">
        <v>3</v>
      </c>
      <c r="AD444" t="s">
        <v>48</v>
      </c>
      <c r="AE444">
        <v>9</v>
      </c>
      <c r="AF444" t="s">
        <v>71</v>
      </c>
    </row>
    <row r="445" spans="1:32" x14ac:dyDescent="0.25">
      <c r="A445">
        <v>22</v>
      </c>
      <c r="B445" t="s">
        <v>63</v>
      </c>
      <c r="C445" t="s">
        <v>33</v>
      </c>
      <c r="D445" t="s">
        <v>51</v>
      </c>
      <c r="E445" t="s">
        <v>52</v>
      </c>
      <c r="F445">
        <v>4</v>
      </c>
      <c r="G445" t="s">
        <v>36</v>
      </c>
      <c r="H445">
        <v>3</v>
      </c>
      <c r="I445" t="s">
        <v>42</v>
      </c>
      <c r="J445" t="s">
        <v>54</v>
      </c>
      <c r="K445">
        <v>2</v>
      </c>
      <c r="L445" t="s">
        <v>55</v>
      </c>
      <c r="M445">
        <v>1</v>
      </c>
      <c r="N445" t="s">
        <v>40</v>
      </c>
      <c r="O445" t="s">
        <v>62</v>
      </c>
      <c r="P445">
        <v>3</v>
      </c>
      <c r="Q445" t="s">
        <v>42</v>
      </c>
      <c r="R445" t="s">
        <v>43</v>
      </c>
      <c r="S445">
        <v>5</v>
      </c>
      <c r="T445" t="s">
        <v>44</v>
      </c>
      <c r="U445" t="s">
        <v>59</v>
      </c>
      <c r="V445">
        <v>16</v>
      </c>
      <c r="W445" t="s">
        <v>45</v>
      </c>
      <c r="X445">
        <v>4</v>
      </c>
      <c r="Y445">
        <v>3</v>
      </c>
      <c r="Z445" t="s">
        <v>61</v>
      </c>
      <c r="AA445">
        <v>2</v>
      </c>
      <c r="AB445" t="s">
        <v>48</v>
      </c>
      <c r="AC445">
        <v>2</v>
      </c>
      <c r="AD445" t="s">
        <v>48</v>
      </c>
      <c r="AE445">
        <v>1</v>
      </c>
      <c r="AF445" t="s">
        <v>49</v>
      </c>
    </row>
    <row r="446" spans="1:32" x14ac:dyDescent="0.25">
      <c r="A446">
        <v>48</v>
      </c>
      <c r="B446" t="s">
        <v>32</v>
      </c>
      <c r="C446" t="s">
        <v>50</v>
      </c>
      <c r="D446" t="s">
        <v>34</v>
      </c>
      <c r="E446" t="s">
        <v>35</v>
      </c>
      <c r="F446">
        <v>2</v>
      </c>
      <c r="G446" t="s">
        <v>36</v>
      </c>
      <c r="H446">
        <v>2</v>
      </c>
      <c r="I446" t="s">
        <v>37</v>
      </c>
      <c r="J446" t="s">
        <v>38</v>
      </c>
      <c r="K446">
        <v>3</v>
      </c>
      <c r="L446" t="s">
        <v>39</v>
      </c>
      <c r="M446">
        <v>2</v>
      </c>
      <c r="N446" t="s">
        <v>40</v>
      </c>
      <c r="O446" t="s">
        <v>41</v>
      </c>
      <c r="P446">
        <v>4</v>
      </c>
      <c r="Q446" t="s">
        <v>42</v>
      </c>
      <c r="R446" t="s">
        <v>58</v>
      </c>
      <c r="S446">
        <v>2</v>
      </c>
      <c r="T446" t="s">
        <v>44</v>
      </c>
      <c r="U446" t="s">
        <v>59</v>
      </c>
      <c r="V446">
        <v>14</v>
      </c>
      <c r="W446" t="s">
        <v>45</v>
      </c>
      <c r="X446">
        <v>14</v>
      </c>
      <c r="Y446">
        <v>3</v>
      </c>
      <c r="Z446" t="s">
        <v>61</v>
      </c>
      <c r="AA446">
        <v>9</v>
      </c>
      <c r="AB446" t="s">
        <v>47</v>
      </c>
      <c r="AC446">
        <v>7</v>
      </c>
      <c r="AD446" t="s">
        <v>47</v>
      </c>
      <c r="AE446">
        <v>6</v>
      </c>
      <c r="AF446" t="s">
        <v>71</v>
      </c>
    </row>
    <row r="447" spans="1:32" x14ac:dyDescent="0.25">
      <c r="A447">
        <v>55</v>
      </c>
      <c r="B447" t="s">
        <v>64</v>
      </c>
      <c r="C447" t="s">
        <v>50</v>
      </c>
      <c r="D447" t="s">
        <v>34</v>
      </c>
      <c r="E447" t="s">
        <v>35</v>
      </c>
      <c r="F447">
        <v>18</v>
      </c>
      <c r="G447" t="s">
        <v>66</v>
      </c>
      <c r="H447">
        <v>1</v>
      </c>
      <c r="I447" t="s">
        <v>37</v>
      </c>
      <c r="J447" t="s">
        <v>38</v>
      </c>
      <c r="K447">
        <v>3</v>
      </c>
      <c r="L447" t="s">
        <v>39</v>
      </c>
      <c r="M447">
        <v>4</v>
      </c>
      <c r="N447" t="s">
        <v>72</v>
      </c>
      <c r="O447" t="s">
        <v>73</v>
      </c>
      <c r="P447">
        <v>2</v>
      </c>
      <c r="Q447" t="s">
        <v>57</v>
      </c>
      <c r="R447" t="s">
        <v>43</v>
      </c>
      <c r="S447">
        <v>3</v>
      </c>
      <c r="T447" t="s">
        <v>44</v>
      </c>
      <c r="U447" t="s">
        <v>59</v>
      </c>
      <c r="V447">
        <v>23</v>
      </c>
      <c r="W447" t="s">
        <v>60</v>
      </c>
      <c r="X447">
        <v>37</v>
      </c>
      <c r="Y447">
        <v>3</v>
      </c>
      <c r="Z447" t="s">
        <v>61</v>
      </c>
      <c r="AA447">
        <v>10</v>
      </c>
      <c r="AB447" t="s">
        <v>47</v>
      </c>
      <c r="AC447">
        <v>9</v>
      </c>
      <c r="AD447" t="s">
        <v>47</v>
      </c>
      <c r="AE447">
        <v>7</v>
      </c>
      <c r="AF447" t="s">
        <v>71</v>
      </c>
    </row>
    <row r="448" spans="1:32" x14ac:dyDescent="0.25">
      <c r="A448">
        <v>41</v>
      </c>
      <c r="B448" t="s">
        <v>32</v>
      </c>
      <c r="C448" t="s">
        <v>50</v>
      </c>
      <c r="D448" t="s">
        <v>34</v>
      </c>
      <c r="E448" t="s">
        <v>35</v>
      </c>
      <c r="F448">
        <v>10</v>
      </c>
      <c r="G448" t="s">
        <v>53</v>
      </c>
      <c r="H448">
        <v>4</v>
      </c>
      <c r="I448" t="s">
        <v>42</v>
      </c>
      <c r="J448" t="s">
        <v>54</v>
      </c>
      <c r="K448">
        <v>3</v>
      </c>
      <c r="L448" t="s">
        <v>39</v>
      </c>
      <c r="M448">
        <v>2</v>
      </c>
      <c r="N448" t="s">
        <v>40</v>
      </c>
      <c r="O448" t="s">
        <v>41</v>
      </c>
      <c r="P448">
        <v>4</v>
      </c>
      <c r="Q448" t="s">
        <v>42</v>
      </c>
      <c r="R448" t="s">
        <v>43</v>
      </c>
      <c r="S448">
        <v>7</v>
      </c>
      <c r="T448" t="s">
        <v>44</v>
      </c>
      <c r="U448" t="s">
        <v>59</v>
      </c>
      <c r="V448">
        <v>14</v>
      </c>
      <c r="W448" t="s">
        <v>45</v>
      </c>
      <c r="X448">
        <v>16</v>
      </c>
      <c r="Y448">
        <v>3</v>
      </c>
      <c r="Z448" t="s">
        <v>61</v>
      </c>
      <c r="AA448">
        <v>14</v>
      </c>
      <c r="AB448" t="s">
        <v>74</v>
      </c>
      <c r="AC448">
        <v>3</v>
      </c>
      <c r="AD448" t="s">
        <v>48</v>
      </c>
      <c r="AE448">
        <v>1</v>
      </c>
      <c r="AF448" t="s">
        <v>49</v>
      </c>
    </row>
    <row r="449" spans="1:32" x14ac:dyDescent="0.25">
      <c r="A449">
        <v>35</v>
      </c>
      <c r="B449" t="s">
        <v>32</v>
      </c>
      <c r="C449" t="s">
        <v>50</v>
      </c>
      <c r="D449" t="s">
        <v>34</v>
      </c>
      <c r="E449" t="s">
        <v>35</v>
      </c>
      <c r="F449">
        <v>1</v>
      </c>
      <c r="G449" t="s">
        <v>36</v>
      </c>
      <c r="H449">
        <v>2</v>
      </c>
      <c r="I449" t="s">
        <v>37</v>
      </c>
      <c r="J449" t="s">
        <v>54</v>
      </c>
      <c r="K449">
        <v>3</v>
      </c>
      <c r="L449" t="s">
        <v>39</v>
      </c>
      <c r="M449">
        <v>2</v>
      </c>
      <c r="N449" t="s">
        <v>40</v>
      </c>
      <c r="O449" t="s">
        <v>41</v>
      </c>
      <c r="P449">
        <v>3</v>
      </c>
      <c r="Q449" t="s">
        <v>42</v>
      </c>
      <c r="R449" t="s">
        <v>58</v>
      </c>
      <c r="S449">
        <v>9</v>
      </c>
      <c r="T449" t="s">
        <v>44</v>
      </c>
      <c r="U449" t="s">
        <v>59</v>
      </c>
      <c r="V449">
        <v>11</v>
      </c>
      <c r="W449" t="s">
        <v>45</v>
      </c>
      <c r="X449">
        <v>15</v>
      </c>
      <c r="Y449">
        <v>3</v>
      </c>
      <c r="Z449" t="s">
        <v>61</v>
      </c>
      <c r="AA449">
        <v>11</v>
      </c>
      <c r="AB449" t="s">
        <v>74</v>
      </c>
      <c r="AC449">
        <v>9</v>
      </c>
      <c r="AD449" t="s">
        <v>47</v>
      </c>
      <c r="AE449">
        <v>6</v>
      </c>
      <c r="AF449" t="s">
        <v>71</v>
      </c>
    </row>
    <row r="450" spans="1:32" x14ac:dyDescent="0.25">
      <c r="A450">
        <v>40</v>
      </c>
      <c r="B450" t="s">
        <v>32</v>
      </c>
      <c r="C450" t="s">
        <v>50</v>
      </c>
      <c r="D450" t="s">
        <v>34</v>
      </c>
      <c r="E450" t="s">
        <v>52</v>
      </c>
      <c r="F450">
        <v>6</v>
      </c>
      <c r="G450" t="s">
        <v>53</v>
      </c>
      <c r="H450">
        <v>2</v>
      </c>
      <c r="I450" t="s">
        <v>37</v>
      </c>
      <c r="J450" t="s">
        <v>38</v>
      </c>
      <c r="K450">
        <v>3</v>
      </c>
      <c r="L450" t="s">
        <v>39</v>
      </c>
      <c r="M450">
        <v>4</v>
      </c>
      <c r="N450" t="s">
        <v>72</v>
      </c>
      <c r="O450" t="s">
        <v>69</v>
      </c>
      <c r="P450">
        <v>3</v>
      </c>
      <c r="Q450" t="s">
        <v>42</v>
      </c>
      <c r="R450" t="s">
        <v>43</v>
      </c>
      <c r="S450">
        <v>7</v>
      </c>
      <c r="T450" t="s">
        <v>44</v>
      </c>
      <c r="U450" t="s">
        <v>59</v>
      </c>
      <c r="V450">
        <v>15</v>
      </c>
      <c r="W450" t="s">
        <v>45</v>
      </c>
      <c r="X450">
        <v>22</v>
      </c>
      <c r="Y450">
        <v>3</v>
      </c>
      <c r="Z450" t="s">
        <v>61</v>
      </c>
      <c r="AA450">
        <v>20</v>
      </c>
      <c r="AB450" t="s">
        <v>74</v>
      </c>
      <c r="AC450">
        <v>6</v>
      </c>
      <c r="AD450" t="s">
        <v>47</v>
      </c>
      <c r="AE450">
        <v>5</v>
      </c>
      <c r="AF450" t="s">
        <v>71</v>
      </c>
    </row>
    <row r="451" spans="1:32" x14ac:dyDescent="0.25">
      <c r="A451">
        <v>39</v>
      </c>
      <c r="B451" t="s">
        <v>32</v>
      </c>
      <c r="C451" t="s">
        <v>50</v>
      </c>
      <c r="D451" t="s">
        <v>51</v>
      </c>
      <c r="E451" t="s">
        <v>52</v>
      </c>
      <c r="F451">
        <v>8</v>
      </c>
      <c r="G451" t="s">
        <v>53</v>
      </c>
      <c r="H451">
        <v>3</v>
      </c>
      <c r="I451" t="s">
        <v>42</v>
      </c>
      <c r="J451" t="s">
        <v>38</v>
      </c>
      <c r="K451">
        <v>3</v>
      </c>
      <c r="L451" t="s">
        <v>39</v>
      </c>
      <c r="M451">
        <v>1</v>
      </c>
      <c r="N451" t="s">
        <v>40</v>
      </c>
      <c r="O451" t="s">
        <v>62</v>
      </c>
      <c r="P451">
        <v>3</v>
      </c>
      <c r="Q451" t="s">
        <v>42</v>
      </c>
      <c r="R451" t="s">
        <v>58</v>
      </c>
      <c r="S451">
        <v>1</v>
      </c>
      <c r="T451" t="s">
        <v>44</v>
      </c>
      <c r="U451" t="s">
        <v>59</v>
      </c>
      <c r="V451">
        <v>11</v>
      </c>
      <c r="W451" t="s">
        <v>45</v>
      </c>
      <c r="X451">
        <v>8</v>
      </c>
      <c r="Y451">
        <v>3</v>
      </c>
      <c r="Z451" t="s">
        <v>61</v>
      </c>
      <c r="AA451">
        <v>8</v>
      </c>
      <c r="AB451" t="s">
        <v>47</v>
      </c>
      <c r="AC451">
        <v>3</v>
      </c>
      <c r="AD451" t="s">
        <v>48</v>
      </c>
      <c r="AE451">
        <v>0</v>
      </c>
      <c r="AF451" t="s">
        <v>49</v>
      </c>
    </row>
    <row r="452" spans="1:32" x14ac:dyDescent="0.25">
      <c r="A452">
        <v>31</v>
      </c>
      <c r="B452" t="s">
        <v>32</v>
      </c>
      <c r="C452" t="s">
        <v>50</v>
      </c>
      <c r="D452" t="s">
        <v>34</v>
      </c>
      <c r="E452" t="s">
        <v>35</v>
      </c>
      <c r="F452">
        <v>2</v>
      </c>
      <c r="G452" t="s">
        <v>36</v>
      </c>
      <c r="H452">
        <v>2</v>
      </c>
      <c r="I452" t="s">
        <v>37</v>
      </c>
      <c r="J452" t="s">
        <v>54</v>
      </c>
      <c r="K452">
        <v>3</v>
      </c>
      <c r="L452" t="s">
        <v>39</v>
      </c>
      <c r="M452">
        <v>2</v>
      </c>
      <c r="N452" t="s">
        <v>40</v>
      </c>
      <c r="O452" t="s">
        <v>41</v>
      </c>
      <c r="P452">
        <v>4</v>
      </c>
      <c r="Q452" t="s">
        <v>42</v>
      </c>
      <c r="R452" t="s">
        <v>43</v>
      </c>
      <c r="S452">
        <v>4</v>
      </c>
      <c r="T452" t="s">
        <v>44</v>
      </c>
      <c r="U452" t="s">
        <v>44</v>
      </c>
      <c r="V452">
        <v>13</v>
      </c>
      <c r="W452" t="s">
        <v>45</v>
      </c>
      <c r="X452">
        <v>10</v>
      </c>
      <c r="Y452">
        <v>4</v>
      </c>
      <c r="Z452" t="s">
        <v>61</v>
      </c>
      <c r="AA452">
        <v>6</v>
      </c>
      <c r="AB452" t="s">
        <v>47</v>
      </c>
      <c r="AC452">
        <v>5</v>
      </c>
      <c r="AD452" t="s">
        <v>47</v>
      </c>
      <c r="AE452">
        <v>0</v>
      </c>
      <c r="AF452" t="s">
        <v>49</v>
      </c>
    </row>
    <row r="453" spans="1:32" x14ac:dyDescent="0.25">
      <c r="A453">
        <v>42</v>
      </c>
      <c r="B453" t="s">
        <v>32</v>
      </c>
      <c r="C453" t="s">
        <v>50</v>
      </c>
      <c r="D453" t="s">
        <v>34</v>
      </c>
      <c r="E453" t="s">
        <v>52</v>
      </c>
      <c r="F453">
        <v>24</v>
      </c>
      <c r="G453" t="s">
        <v>66</v>
      </c>
      <c r="H453">
        <v>4</v>
      </c>
      <c r="I453" t="s">
        <v>42</v>
      </c>
      <c r="J453" t="s">
        <v>54</v>
      </c>
      <c r="K453">
        <v>3</v>
      </c>
      <c r="L453" t="s">
        <v>39</v>
      </c>
      <c r="M453">
        <v>3</v>
      </c>
      <c r="N453" t="s">
        <v>68</v>
      </c>
      <c r="O453" t="s">
        <v>69</v>
      </c>
      <c r="P453">
        <v>1</v>
      </c>
      <c r="Q453" t="s">
        <v>57</v>
      </c>
      <c r="R453" t="s">
        <v>58</v>
      </c>
      <c r="S453">
        <v>1</v>
      </c>
      <c r="T453" t="s">
        <v>44</v>
      </c>
      <c r="U453" t="s">
        <v>44</v>
      </c>
      <c r="V453">
        <v>21</v>
      </c>
      <c r="W453" t="s">
        <v>60</v>
      </c>
      <c r="X453">
        <v>10</v>
      </c>
      <c r="Y453">
        <v>2</v>
      </c>
      <c r="Z453" t="s">
        <v>46</v>
      </c>
      <c r="AA453">
        <v>10</v>
      </c>
      <c r="AB453" t="s">
        <v>47</v>
      </c>
      <c r="AC453">
        <v>9</v>
      </c>
      <c r="AD453" t="s">
        <v>47</v>
      </c>
      <c r="AE453">
        <v>5</v>
      </c>
      <c r="AF453" t="s">
        <v>71</v>
      </c>
    </row>
    <row r="454" spans="1:32" x14ac:dyDescent="0.25">
      <c r="A454">
        <v>45</v>
      </c>
      <c r="B454" t="s">
        <v>32</v>
      </c>
      <c r="C454" t="s">
        <v>50</v>
      </c>
      <c r="D454" t="s">
        <v>34</v>
      </c>
      <c r="E454" t="s">
        <v>35</v>
      </c>
      <c r="F454">
        <v>2</v>
      </c>
      <c r="G454" t="s">
        <v>36</v>
      </c>
      <c r="H454">
        <v>4</v>
      </c>
      <c r="I454" t="s">
        <v>42</v>
      </c>
      <c r="J454" t="s">
        <v>54</v>
      </c>
      <c r="K454">
        <v>3</v>
      </c>
      <c r="L454" t="s">
        <v>39</v>
      </c>
      <c r="M454">
        <v>2</v>
      </c>
      <c r="N454" t="s">
        <v>40</v>
      </c>
      <c r="O454" t="s">
        <v>41</v>
      </c>
      <c r="P454">
        <v>2</v>
      </c>
      <c r="Q454" t="s">
        <v>57</v>
      </c>
      <c r="R454" t="s">
        <v>58</v>
      </c>
      <c r="S454">
        <v>0</v>
      </c>
      <c r="T454" t="s">
        <v>44</v>
      </c>
      <c r="U454" t="s">
        <v>59</v>
      </c>
      <c r="V454">
        <v>19</v>
      </c>
      <c r="W454" t="s">
        <v>45</v>
      </c>
      <c r="X454">
        <v>9</v>
      </c>
      <c r="Y454">
        <v>4</v>
      </c>
      <c r="Z454" t="s">
        <v>61</v>
      </c>
      <c r="AA454">
        <v>8</v>
      </c>
      <c r="AB454" t="s">
        <v>47</v>
      </c>
      <c r="AC454">
        <v>7</v>
      </c>
      <c r="AD454" t="s">
        <v>47</v>
      </c>
      <c r="AE454">
        <v>3</v>
      </c>
      <c r="AF454" t="s">
        <v>49</v>
      </c>
    </row>
    <row r="455" spans="1:32" x14ac:dyDescent="0.25">
      <c r="A455">
        <v>26</v>
      </c>
      <c r="B455" t="s">
        <v>63</v>
      </c>
      <c r="C455" t="s">
        <v>33</v>
      </c>
      <c r="D455" t="s">
        <v>51</v>
      </c>
      <c r="E455" t="s">
        <v>77</v>
      </c>
      <c r="F455">
        <v>17</v>
      </c>
      <c r="G455" t="s">
        <v>66</v>
      </c>
      <c r="H455">
        <v>2</v>
      </c>
      <c r="I455" t="s">
        <v>37</v>
      </c>
      <c r="J455" t="s">
        <v>38</v>
      </c>
      <c r="K455">
        <v>3</v>
      </c>
      <c r="L455" t="s">
        <v>39</v>
      </c>
      <c r="M455">
        <v>1</v>
      </c>
      <c r="N455" t="s">
        <v>40</v>
      </c>
      <c r="O455" t="s">
        <v>77</v>
      </c>
      <c r="P455">
        <v>3</v>
      </c>
      <c r="Q455" t="s">
        <v>42</v>
      </c>
      <c r="R455" t="s">
        <v>67</v>
      </c>
      <c r="S455">
        <v>0</v>
      </c>
      <c r="T455" t="s">
        <v>44</v>
      </c>
      <c r="U455" t="s">
        <v>44</v>
      </c>
      <c r="V455">
        <v>11</v>
      </c>
      <c r="W455" t="s">
        <v>45</v>
      </c>
      <c r="X455">
        <v>8</v>
      </c>
      <c r="Y455">
        <v>2</v>
      </c>
      <c r="Z455" t="s">
        <v>46</v>
      </c>
      <c r="AA455">
        <v>7</v>
      </c>
      <c r="AB455" t="s">
        <v>47</v>
      </c>
      <c r="AC455">
        <v>7</v>
      </c>
      <c r="AD455" t="s">
        <v>47</v>
      </c>
      <c r="AE455">
        <v>1</v>
      </c>
      <c r="AF455" t="s">
        <v>49</v>
      </c>
    </row>
    <row r="456" spans="1:32" x14ac:dyDescent="0.25">
      <c r="A456">
        <v>29</v>
      </c>
      <c r="B456" t="s">
        <v>63</v>
      </c>
      <c r="C456" t="s">
        <v>50</v>
      </c>
      <c r="D456" t="s">
        <v>34</v>
      </c>
      <c r="E456" t="s">
        <v>52</v>
      </c>
      <c r="F456">
        <v>19</v>
      </c>
      <c r="G456" t="s">
        <v>66</v>
      </c>
      <c r="H456">
        <v>4</v>
      </c>
      <c r="I456" t="s">
        <v>42</v>
      </c>
      <c r="J456" t="s">
        <v>54</v>
      </c>
      <c r="K456">
        <v>3</v>
      </c>
      <c r="L456" t="s">
        <v>39</v>
      </c>
      <c r="M456">
        <v>2</v>
      </c>
      <c r="N456" t="s">
        <v>40</v>
      </c>
      <c r="O456" t="s">
        <v>69</v>
      </c>
      <c r="P456">
        <v>4</v>
      </c>
      <c r="Q456" t="s">
        <v>42</v>
      </c>
      <c r="R456" t="s">
        <v>67</v>
      </c>
      <c r="S456">
        <v>4</v>
      </c>
      <c r="T456" t="s">
        <v>44</v>
      </c>
      <c r="U456" t="s">
        <v>59</v>
      </c>
      <c r="V456">
        <v>12</v>
      </c>
      <c r="W456" t="s">
        <v>45</v>
      </c>
      <c r="X456">
        <v>8</v>
      </c>
      <c r="Y456">
        <v>4</v>
      </c>
      <c r="Z456" t="s">
        <v>61</v>
      </c>
      <c r="AA456">
        <v>3</v>
      </c>
      <c r="AB456" t="s">
        <v>48</v>
      </c>
      <c r="AC456">
        <v>2</v>
      </c>
      <c r="AD456" t="s">
        <v>48</v>
      </c>
      <c r="AE456">
        <v>1</v>
      </c>
      <c r="AF456" t="s">
        <v>49</v>
      </c>
    </row>
    <row r="457" spans="1:32" x14ac:dyDescent="0.25">
      <c r="A457">
        <v>33</v>
      </c>
      <c r="B457" t="s">
        <v>32</v>
      </c>
      <c r="C457" t="s">
        <v>50</v>
      </c>
      <c r="D457" t="s">
        <v>34</v>
      </c>
      <c r="E457" t="s">
        <v>52</v>
      </c>
      <c r="F457">
        <v>1</v>
      </c>
      <c r="G457" t="s">
        <v>36</v>
      </c>
      <c r="H457">
        <v>1</v>
      </c>
      <c r="I457" t="s">
        <v>37</v>
      </c>
      <c r="J457" t="s">
        <v>38</v>
      </c>
      <c r="K457">
        <v>4</v>
      </c>
      <c r="L457" t="s">
        <v>65</v>
      </c>
      <c r="M457">
        <v>4</v>
      </c>
      <c r="N457" t="s">
        <v>72</v>
      </c>
      <c r="O457" t="s">
        <v>76</v>
      </c>
      <c r="P457">
        <v>3</v>
      </c>
      <c r="Q457" t="s">
        <v>42</v>
      </c>
      <c r="R457" t="s">
        <v>67</v>
      </c>
      <c r="S457">
        <v>4</v>
      </c>
      <c r="T457" t="s">
        <v>44</v>
      </c>
      <c r="U457" t="s">
        <v>59</v>
      </c>
      <c r="V457">
        <v>19</v>
      </c>
      <c r="W457" t="s">
        <v>45</v>
      </c>
      <c r="X457">
        <v>10</v>
      </c>
      <c r="Y457">
        <v>3</v>
      </c>
      <c r="Z457" t="s">
        <v>61</v>
      </c>
      <c r="AA457">
        <v>6</v>
      </c>
      <c r="AB457" t="s">
        <v>47</v>
      </c>
      <c r="AC457">
        <v>1</v>
      </c>
      <c r="AD457" t="s">
        <v>48</v>
      </c>
      <c r="AE457">
        <v>0</v>
      </c>
      <c r="AF457" t="s">
        <v>49</v>
      </c>
    </row>
    <row r="458" spans="1:32" x14ac:dyDescent="0.25">
      <c r="A458">
        <v>31</v>
      </c>
      <c r="B458" t="s">
        <v>32</v>
      </c>
      <c r="C458" t="s">
        <v>50</v>
      </c>
      <c r="D458" t="s">
        <v>34</v>
      </c>
      <c r="E458" t="s">
        <v>35</v>
      </c>
      <c r="F458">
        <v>7</v>
      </c>
      <c r="G458" t="s">
        <v>53</v>
      </c>
      <c r="H458">
        <v>3</v>
      </c>
      <c r="I458" t="s">
        <v>42</v>
      </c>
      <c r="J458" t="s">
        <v>54</v>
      </c>
      <c r="K458">
        <v>2</v>
      </c>
      <c r="L458" t="s">
        <v>55</v>
      </c>
      <c r="M458">
        <v>3</v>
      </c>
      <c r="N458" t="s">
        <v>68</v>
      </c>
      <c r="O458" t="s">
        <v>73</v>
      </c>
      <c r="P458">
        <v>4</v>
      </c>
      <c r="Q458" t="s">
        <v>42</v>
      </c>
      <c r="R458" t="s">
        <v>67</v>
      </c>
      <c r="S458">
        <v>9</v>
      </c>
      <c r="T458" t="s">
        <v>44</v>
      </c>
      <c r="U458" t="s">
        <v>59</v>
      </c>
      <c r="V458">
        <v>21</v>
      </c>
      <c r="W458" t="s">
        <v>60</v>
      </c>
      <c r="X458">
        <v>10</v>
      </c>
      <c r="Y458">
        <v>2</v>
      </c>
      <c r="Z458" t="s">
        <v>46</v>
      </c>
      <c r="AA458">
        <v>5</v>
      </c>
      <c r="AB458" t="s">
        <v>47</v>
      </c>
      <c r="AC458">
        <v>4</v>
      </c>
      <c r="AD458" t="s">
        <v>48</v>
      </c>
      <c r="AE458">
        <v>0</v>
      </c>
      <c r="AF458" t="s">
        <v>49</v>
      </c>
    </row>
    <row r="459" spans="1:32" x14ac:dyDescent="0.25">
      <c r="A459">
        <v>18</v>
      </c>
      <c r="B459" t="s">
        <v>63</v>
      </c>
      <c r="C459" t="s">
        <v>33</v>
      </c>
      <c r="D459" t="s">
        <v>51</v>
      </c>
      <c r="E459" t="s">
        <v>35</v>
      </c>
      <c r="F459">
        <v>5</v>
      </c>
      <c r="G459" t="s">
        <v>36</v>
      </c>
      <c r="H459">
        <v>2</v>
      </c>
      <c r="I459" t="s">
        <v>37</v>
      </c>
      <c r="J459" t="s">
        <v>54</v>
      </c>
      <c r="K459">
        <v>3</v>
      </c>
      <c r="L459" t="s">
        <v>39</v>
      </c>
      <c r="M459">
        <v>1</v>
      </c>
      <c r="N459" t="s">
        <v>40</v>
      </c>
      <c r="O459" t="s">
        <v>75</v>
      </c>
      <c r="P459">
        <v>2</v>
      </c>
      <c r="Q459" t="s">
        <v>57</v>
      </c>
      <c r="R459" t="s">
        <v>43</v>
      </c>
      <c r="S459">
        <v>1</v>
      </c>
      <c r="T459" t="s">
        <v>44</v>
      </c>
      <c r="U459" t="s">
        <v>44</v>
      </c>
      <c r="V459">
        <v>14</v>
      </c>
      <c r="W459" t="s">
        <v>45</v>
      </c>
      <c r="X459">
        <v>0</v>
      </c>
      <c r="Y459">
        <v>3</v>
      </c>
      <c r="Z459" t="s">
        <v>61</v>
      </c>
      <c r="AA459">
        <v>0</v>
      </c>
      <c r="AB459" t="s">
        <v>48</v>
      </c>
      <c r="AC459">
        <v>0</v>
      </c>
      <c r="AD459" t="s">
        <v>48</v>
      </c>
      <c r="AE459">
        <v>0</v>
      </c>
      <c r="AF459" t="s">
        <v>49</v>
      </c>
    </row>
    <row r="460" spans="1:32" x14ac:dyDescent="0.25">
      <c r="A460">
        <v>40</v>
      </c>
      <c r="B460" t="s">
        <v>32</v>
      </c>
      <c r="C460" t="s">
        <v>50</v>
      </c>
      <c r="D460" t="s">
        <v>34</v>
      </c>
      <c r="E460" t="s">
        <v>35</v>
      </c>
      <c r="F460">
        <v>28</v>
      </c>
      <c r="G460" t="s">
        <v>66</v>
      </c>
      <c r="H460">
        <v>3</v>
      </c>
      <c r="I460" t="s">
        <v>42</v>
      </c>
      <c r="J460" t="s">
        <v>54</v>
      </c>
      <c r="K460">
        <v>1</v>
      </c>
      <c r="L460" t="s">
        <v>55</v>
      </c>
      <c r="M460">
        <v>3</v>
      </c>
      <c r="N460" t="s">
        <v>68</v>
      </c>
      <c r="O460" t="s">
        <v>41</v>
      </c>
      <c r="P460">
        <v>1</v>
      </c>
      <c r="Q460" t="s">
        <v>57</v>
      </c>
      <c r="R460" t="s">
        <v>67</v>
      </c>
      <c r="S460">
        <v>3</v>
      </c>
      <c r="T460" t="s">
        <v>44</v>
      </c>
      <c r="U460" t="s">
        <v>59</v>
      </c>
      <c r="V460">
        <v>15</v>
      </c>
      <c r="W460" t="s">
        <v>45</v>
      </c>
      <c r="X460">
        <v>20</v>
      </c>
      <c r="Y460">
        <v>3</v>
      </c>
      <c r="Z460" t="s">
        <v>61</v>
      </c>
      <c r="AA460">
        <v>1</v>
      </c>
      <c r="AB460" t="s">
        <v>48</v>
      </c>
      <c r="AC460">
        <v>0</v>
      </c>
      <c r="AD460" t="s">
        <v>48</v>
      </c>
      <c r="AE460">
        <v>0</v>
      </c>
      <c r="AF460" t="s">
        <v>49</v>
      </c>
    </row>
    <row r="461" spans="1:32" x14ac:dyDescent="0.25">
      <c r="A461">
        <v>41</v>
      </c>
      <c r="B461" t="s">
        <v>32</v>
      </c>
      <c r="C461" t="s">
        <v>50</v>
      </c>
      <c r="D461" t="s">
        <v>34</v>
      </c>
      <c r="E461" t="s">
        <v>52</v>
      </c>
      <c r="F461">
        <v>2</v>
      </c>
      <c r="G461" t="s">
        <v>36</v>
      </c>
      <c r="H461">
        <v>1</v>
      </c>
      <c r="I461" t="s">
        <v>37</v>
      </c>
      <c r="J461" t="s">
        <v>38</v>
      </c>
      <c r="K461">
        <v>2</v>
      </c>
      <c r="L461" t="s">
        <v>55</v>
      </c>
      <c r="M461">
        <v>2</v>
      </c>
      <c r="N461" t="s">
        <v>40</v>
      </c>
      <c r="O461" t="s">
        <v>70</v>
      </c>
      <c r="P461">
        <v>3</v>
      </c>
      <c r="Q461" t="s">
        <v>42</v>
      </c>
      <c r="R461" t="s">
        <v>43</v>
      </c>
      <c r="S461">
        <v>2</v>
      </c>
      <c r="T461" t="s">
        <v>44</v>
      </c>
      <c r="U461" t="s">
        <v>44</v>
      </c>
      <c r="V461">
        <v>17</v>
      </c>
      <c r="W461" t="s">
        <v>45</v>
      </c>
      <c r="X461">
        <v>10</v>
      </c>
      <c r="Y461">
        <v>3</v>
      </c>
      <c r="Z461" t="s">
        <v>61</v>
      </c>
      <c r="AA461">
        <v>8</v>
      </c>
      <c r="AB461" t="s">
        <v>47</v>
      </c>
      <c r="AC461">
        <v>7</v>
      </c>
      <c r="AD461" t="s">
        <v>47</v>
      </c>
      <c r="AE461">
        <v>0</v>
      </c>
      <c r="AF461" t="s">
        <v>49</v>
      </c>
    </row>
    <row r="462" spans="1:32" x14ac:dyDescent="0.25">
      <c r="A462">
        <v>26</v>
      </c>
      <c r="B462" t="s">
        <v>63</v>
      </c>
      <c r="C462" t="s">
        <v>50</v>
      </c>
      <c r="D462" t="s">
        <v>34</v>
      </c>
      <c r="E462" t="s">
        <v>35</v>
      </c>
      <c r="F462">
        <v>29</v>
      </c>
      <c r="G462" t="s">
        <v>66</v>
      </c>
      <c r="H462">
        <v>1</v>
      </c>
      <c r="I462" t="s">
        <v>37</v>
      </c>
      <c r="J462" t="s">
        <v>54</v>
      </c>
      <c r="K462">
        <v>3</v>
      </c>
      <c r="L462" t="s">
        <v>39</v>
      </c>
      <c r="M462">
        <v>2</v>
      </c>
      <c r="N462" t="s">
        <v>40</v>
      </c>
      <c r="O462" t="s">
        <v>41</v>
      </c>
      <c r="P462">
        <v>3</v>
      </c>
      <c r="Q462" t="s">
        <v>42</v>
      </c>
      <c r="R462" t="s">
        <v>67</v>
      </c>
      <c r="S462">
        <v>5</v>
      </c>
      <c r="T462" t="s">
        <v>44</v>
      </c>
      <c r="U462" t="s">
        <v>59</v>
      </c>
      <c r="V462">
        <v>12</v>
      </c>
      <c r="W462" t="s">
        <v>45</v>
      </c>
      <c r="X462">
        <v>8</v>
      </c>
      <c r="Y462">
        <v>3</v>
      </c>
      <c r="Z462" t="s">
        <v>61</v>
      </c>
      <c r="AA462">
        <v>0</v>
      </c>
      <c r="AB462" t="s">
        <v>48</v>
      </c>
      <c r="AC462">
        <v>0</v>
      </c>
      <c r="AD462" t="s">
        <v>48</v>
      </c>
      <c r="AE462">
        <v>0</v>
      </c>
      <c r="AF462" t="s">
        <v>49</v>
      </c>
    </row>
    <row r="463" spans="1:32" x14ac:dyDescent="0.25">
      <c r="A463">
        <v>35</v>
      </c>
      <c r="B463" t="s">
        <v>32</v>
      </c>
      <c r="C463" t="s">
        <v>50</v>
      </c>
      <c r="D463" t="s">
        <v>34</v>
      </c>
      <c r="E463" t="s">
        <v>35</v>
      </c>
      <c r="F463">
        <v>1</v>
      </c>
      <c r="G463" t="s">
        <v>36</v>
      </c>
      <c r="H463">
        <v>1</v>
      </c>
      <c r="I463" t="s">
        <v>37</v>
      </c>
      <c r="J463" t="s">
        <v>38</v>
      </c>
      <c r="K463">
        <v>3</v>
      </c>
      <c r="L463" t="s">
        <v>39</v>
      </c>
      <c r="M463">
        <v>2</v>
      </c>
      <c r="N463" t="s">
        <v>40</v>
      </c>
      <c r="O463" t="s">
        <v>41</v>
      </c>
      <c r="P463">
        <v>3</v>
      </c>
      <c r="Q463" t="s">
        <v>42</v>
      </c>
      <c r="R463" t="s">
        <v>43</v>
      </c>
      <c r="S463">
        <v>1</v>
      </c>
      <c r="T463" t="s">
        <v>44</v>
      </c>
      <c r="U463" t="s">
        <v>59</v>
      </c>
      <c r="V463">
        <v>16</v>
      </c>
      <c r="W463" t="s">
        <v>45</v>
      </c>
      <c r="X463">
        <v>5</v>
      </c>
      <c r="Y463">
        <v>3</v>
      </c>
      <c r="Z463" t="s">
        <v>61</v>
      </c>
      <c r="AA463">
        <v>5</v>
      </c>
      <c r="AB463" t="s">
        <v>47</v>
      </c>
      <c r="AC463">
        <v>4</v>
      </c>
      <c r="AD463" t="s">
        <v>48</v>
      </c>
      <c r="AE463">
        <v>0</v>
      </c>
      <c r="AF463" t="s">
        <v>49</v>
      </c>
    </row>
    <row r="464" spans="1:32" x14ac:dyDescent="0.25">
      <c r="A464">
        <v>34</v>
      </c>
      <c r="B464" t="s">
        <v>32</v>
      </c>
      <c r="C464" t="s">
        <v>50</v>
      </c>
      <c r="D464" t="s">
        <v>34</v>
      </c>
      <c r="E464" t="s">
        <v>35</v>
      </c>
      <c r="F464">
        <v>21</v>
      </c>
      <c r="G464" t="s">
        <v>66</v>
      </c>
      <c r="H464">
        <v>4</v>
      </c>
      <c r="I464" t="s">
        <v>42</v>
      </c>
      <c r="J464" t="s">
        <v>54</v>
      </c>
      <c r="K464">
        <v>4</v>
      </c>
      <c r="L464" t="s">
        <v>65</v>
      </c>
      <c r="M464">
        <v>2</v>
      </c>
      <c r="N464" t="s">
        <v>40</v>
      </c>
      <c r="O464" t="s">
        <v>41</v>
      </c>
      <c r="P464">
        <v>4</v>
      </c>
      <c r="Q464" t="s">
        <v>42</v>
      </c>
      <c r="R464" t="s">
        <v>43</v>
      </c>
      <c r="S464">
        <v>1</v>
      </c>
      <c r="T464" t="s">
        <v>44</v>
      </c>
      <c r="U464" t="s">
        <v>59</v>
      </c>
      <c r="V464">
        <v>12</v>
      </c>
      <c r="W464" t="s">
        <v>45</v>
      </c>
      <c r="X464">
        <v>10</v>
      </c>
      <c r="Y464">
        <v>3</v>
      </c>
      <c r="Z464" t="s">
        <v>61</v>
      </c>
      <c r="AA464">
        <v>10</v>
      </c>
      <c r="AB464" t="s">
        <v>47</v>
      </c>
      <c r="AC464">
        <v>7</v>
      </c>
      <c r="AD464" t="s">
        <v>47</v>
      </c>
      <c r="AE464">
        <v>5</v>
      </c>
      <c r="AF464" t="s">
        <v>71</v>
      </c>
    </row>
    <row r="465" spans="1:32" x14ac:dyDescent="0.25">
      <c r="A465">
        <v>26</v>
      </c>
      <c r="B465" t="s">
        <v>63</v>
      </c>
      <c r="C465" t="s">
        <v>33</v>
      </c>
      <c r="D465" t="s">
        <v>34</v>
      </c>
      <c r="E465" t="s">
        <v>52</v>
      </c>
      <c r="F465">
        <v>24</v>
      </c>
      <c r="G465" t="s">
        <v>66</v>
      </c>
      <c r="H465">
        <v>3</v>
      </c>
      <c r="I465" t="s">
        <v>42</v>
      </c>
      <c r="J465" t="s">
        <v>54</v>
      </c>
      <c r="K465">
        <v>1</v>
      </c>
      <c r="L465" t="s">
        <v>55</v>
      </c>
      <c r="M465">
        <v>1</v>
      </c>
      <c r="N465" t="s">
        <v>40</v>
      </c>
      <c r="O465" t="s">
        <v>62</v>
      </c>
      <c r="P465">
        <v>4</v>
      </c>
      <c r="Q465" t="s">
        <v>42</v>
      </c>
      <c r="R465" t="s">
        <v>43</v>
      </c>
      <c r="S465">
        <v>1</v>
      </c>
      <c r="T465" t="s">
        <v>44</v>
      </c>
      <c r="U465" t="s">
        <v>44</v>
      </c>
      <c r="V465">
        <v>18</v>
      </c>
      <c r="W465" t="s">
        <v>45</v>
      </c>
      <c r="X465">
        <v>1</v>
      </c>
      <c r="Y465">
        <v>1</v>
      </c>
      <c r="Z465" t="s">
        <v>46</v>
      </c>
      <c r="AA465">
        <v>1</v>
      </c>
      <c r="AB465" t="s">
        <v>48</v>
      </c>
      <c r="AC465">
        <v>0</v>
      </c>
      <c r="AD465" t="s">
        <v>48</v>
      </c>
      <c r="AE465">
        <v>0</v>
      </c>
      <c r="AF465" t="s">
        <v>49</v>
      </c>
    </row>
    <row r="466" spans="1:32" x14ac:dyDescent="0.25">
      <c r="A466">
        <v>37</v>
      </c>
      <c r="B466" t="s">
        <v>32</v>
      </c>
      <c r="C466" t="s">
        <v>50</v>
      </c>
      <c r="D466" t="s">
        <v>34</v>
      </c>
      <c r="E466" t="s">
        <v>52</v>
      </c>
      <c r="F466">
        <v>1</v>
      </c>
      <c r="G466" t="s">
        <v>36</v>
      </c>
      <c r="H466">
        <v>2</v>
      </c>
      <c r="I466" t="s">
        <v>37</v>
      </c>
      <c r="J466" t="s">
        <v>38</v>
      </c>
      <c r="K466">
        <v>3</v>
      </c>
      <c r="L466" t="s">
        <v>39</v>
      </c>
      <c r="M466">
        <v>3</v>
      </c>
      <c r="N466" t="s">
        <v>68</v>
      </c>
      <c r="O466" t="s">
        <v>69</v>
      </c>
      <c r="P466">
        <v>4</v>
      </c>
      <c r="Q466" t="s">
        <v>42</v>
      </c>
      <c r="R466" t="s">
        <v>43</v>
      </c>
      <c r="S466">
        <v>4</v>
      </c>
      <c r="T466" t="s">
        <v>44</v>
      </c>
      <c r="U466" t="s">
        <v>59</v>
      </c>
      <c r="V466">
        <v>17</v>
      </c>
      <c r="W466" t="s">
        <v>45</v>
      </c>
      <c r="X466">
        <v>12</v>
      </c>
      <c r="Y466">
        <v>4</v>
      </c>
      <c r="Z466" t="s">
        <v>61</v>
      </c>
      <c r="AA466">
        <v>6</v>
      </c>
      <c r="AB466" t="s">
        <v>47</v>
      </c>
      <c r="AC466">
        <v>5</v>
      </c>
      <c r="AD466" t="s">
        <v>47</v>
      </c>
      <c r="AE466">
        <v>1</v>
      </c>
      <c r="AF466" t="s">
        <v>49</v>
      </c>
    </row>
    <row r="467" spans="1:32" x14ac:dyDescent="0.25">
      <c r="A467">
        <v>46</v>
      </c>
      <c r="B467" t="s">
        <v>32</v>
      </c>
      <c r="C467" t="s">
        <v>50</v>
      </c>
      <c r="D467" t="s">
        <v>51</v>
      </c>
      <c r="E467" t="s">
        <v>52</v>
      </c>
      <c r="F467">
        <v>18</v>
      </c>
      <c r="G467" t="s">
        <v>66</v>
      </c>
      <c r="H467">
        <v>1</v>
      </c>
      <c r="I467" t="s">
        <v>37</v>
      </c>
      <c r="J467" t="s">
        <v>38</v>
      </c>
      <c r="K467">
        <v>3</v>
      </c>
      <c r="L467" t="s">
        <v>39</v>
      </c>
      <c r="M467">
        <v>3</v>
      </c>
      <c r="N467" t="s">
        <v>68</v>
      </c>
      <c r="O467" t="s">
        <v>70</v>
      </c>
      <c r="P467">
        <v>3</v>
      </c>
      <c r="Q467" t="s">
        <v>42</v>
      </c>
      <c r="R467" t="s">
        <v>58</v>
      </c>
      <c r="S467">
        <v>5</v>
      </c>
      <c r="T467" t="s">
        <v>44</v>
      </c>
      <c r="U467" t="s">
        <v>59</v>
      </c>
      <c r="V467">
        <v>11</v>
      </c>
      <c r="W467" t="s">
        <v>45</v>
      </c>
      <c r="X467">
        <v>28</v>
      </c>
      <c r="Y467">
        <v>2</v>
      </c>
      <c r="Z467" t="s">
        <v>46</v>
      </c>
      <c r="AA467">
        <v>2</v>
      </c>
      <c r="AB467" t="s">
        <v>48</v>
      </c>
      <c r="AC467">
        <v>2</v>
      </c>
      <c r="AD467" t="s">
        <v>48</v>
      </c>
      <c r="AE467">
        <v>1</v>
      </c>
      <c r="AF467" t="s">
        <v>49</v>
      </c>
    </row>
    <row r="468" spans="1:32" x14ac:dyDescent="0.25">
      <c r="A468">
        <v>41</v>
      </c>
      <c r="B468" t="s">
        <v>32</v>
      </c>
      <c r="C468" t="s">
        <v>50</v>
      </c>
      <c r="D468" t="s">
        <v>34</v>
      </c>
      <c r="E468" t="s">
        <v>35</v>
      </c>
      <c r="F468">
        <v>2</v>
      </c>
      <c r="G468" t="s">
        <v>36</v>
      </c>
      <c r="H468">
        <v>2</v>
      </c>
      <c r="I468" t="s">
        <v>37</v>
      </c>
      <c r="J468" t="s">
        <v>38</v>
      </c>
      <c r="K468">
        <v>3</v>
      </c>
      <c r="L468" t="s">
        <v>39</v>
      </c>
      <c r="M468">
        <v>4</v>
      </c>
      <c r="N468" t="s">
        <v>72</v>
      </c>
      <c r="O468" t="s">
        <v>73</v>
      </c>
      <c r="P468">
        <v>1</v>
      </c>
      <c r="Q468" t="s">
        <v>57</v>
      </c>
      <c r="R468" t="s">
        <v>58</v>
      </c>
      <c r="S468">
        <v>7</v>
      </c>
      <c r="T468" t="s">
        <v>44</v>
      </c>
      <c r="U468" t="s">
        <v>59</v>
      </c>
      <c r="V468">
        <v>16</v>
      </c>
      <c r="W468" t="s">
        <v>45</v>
      </c>
      <c r="X468">
        <v>22</v>
      </c>
      <c r="Y468">
        <v>3</v>
      </c>
      <c r="Z468" t="s">
        <v>61</v>
      </c>
      <c r="AA468">
        <v>18</v>
      </c>
      <c r="AB468" t="s">
        <v>74</v>
      </c>
      <c r="AC468">
        <v>16</v>
      </c>
      <c r="AD468" t="s">
        <v>74</v>
      </c>
      <c r="AE468">
        <v>11</v>
      </c>
      <c r="AF468" t="s">
        <v>71</v>
      </c>
    </row>
    <row r="469" spans="1:32" x14ac:dyDescent="0.25">
      <c r="A469">
        <v>37</v>
      </c>
      <c r="B469" t="s">
        <v>32</v>
      </c>
      <c r="C469" t="s">
        <v>50</v>
      </c>
      <c r="D469" t="s">
        <v>34</v>
      </c>
      <c r="E469" t="s">
        <v>35</v>
      </c>
      <c r="F469">
        <v>9</v>
      </c>
      <c r="G469" t="s">
        <v>53</v>
      </c>
      <c r="H469">
        <v>1</v>
      </c>
      <c r="I469" t="s">
        <v>37</v>
      </c>
      <c r="J469" t="s">
        <v>54</v>
      </c>
      <c r="K469">
        <v>3</v>
      </c>
      <c r="L469" t="s">
        <v>39</v>
      </c>
      <c r="M469">
        <v>3</v>
      </c>
      <c r="N469" t="s">
        <v>68</v>
      </c>
      <c r="O469" t="s">
        <v>41</v>
      </c>
      <c r="P469">
        <v>2</v>
      </c>
      <c r="Q469" t="s">
        <v>57</v>
      </c>
      <c r="R469" t="s">
        <v>67</v>
      </c>
      <c r="S469">
        <v>1</v>
      </c>
      <c r="T469" t="s">
        <v>44</v>
      </c>
      <c r="U469" t="s">
        <v>59</v>
      </c>
      <c r="V469">
        <v>13</v>
      </c>
      <c r="W469" t="s">
        <v>45</v>
      </c>
      <c r="X469">
        <v>9</v>
      </c>
      <c r="Y469">
        <v>3</v>
      </c>
      <c r="Z469" t="s">
        <v>61</v>
      </c>
      <c r="AA469">
        <v>9</v>
      </c>
      <c r="AB469" t="s">
        <v>47</v>
      </c>
      <c r="AC469">
        <v>5</v>
      </c>
      <c r="AD469" t="s">
        <v>47</v>
      </c>
      <c r="AE469">
        <v>7</v>
      </c>
      <c r="AF469" t="s">
        <v>71</v>
      </c>
    </row>
    <row r="470" spans="1:32" x14ac:dyDescent="0.25">
      <c r="A470">
        <v>52</v>
      </c>
      <c r="B470" t="s">
        <v>64</v>
      </c>
      <c r="C470" t="s">
        <v>50</v>
      </c>
      <c r="D470" t="s">
        <v>34</v>
      </c>
      <c r="E470" t="s">
        <v>52</v>
      </c>
      <c r="F470">
        <v>6</v>
      </c>
      <c r="G470" t="s">
        <v>53</v>
      </c>
      <c r="H470">
        <v>4</v>
      </c>
      <c r="I470" t="s">
        <v>42</v>
      </c>
      <c r="J470" t="s">
        <v>54</v>
      </c>
      <c r="K470">
        <v>3</v>
      </c>
      <c r="L470" t="s">
        <v>39</v>
      </c>
      <c r="M470">
        <v>2</v>
      </c>
      <c r="N470" t="s">
        <v>40</v>
      </c>
      <c r="O470" t="s">
        <v>56</v>
      </c>
      <c r="P470">
        <v>1</v>
      </c>
      <c r="Q470" t="s">
        <v>57</v>
      </c>
      <c r="R470" t="s">
        <v>67</v>
      </c>
      <c r="S470">
        <v>3</v>
      </c>
      <c r="T470" t="s">
        <v>44</v>
      </c>
      <c r="U470" t="s">
        <v>44</v>
      </c>
      <c r="V470">
        <v>12</v>
      </c>
      <c r="W470" t="s">
        <v>45</v>
      </c>
      <c r="X470">
        <v>18</v>
      </c>
      <c r="Y470">
        <v>3</v>
      </c>
      <c r="Z470" t="s">
        <v>61</v>
      </c>
      <c r="AA470">
        <v>10</v>
      </c>
      <c r="AB470" t="s">
        <v>47</v>
      </c>
      <c r="AC470">
        <v>9</v>
      </c>
      <c r="AD470" t="s">
        <v>47</v>
      </c>
      <c r="AE470">
        <v>6</v>
      </c>
      <c r="AF470" t="s">
        <v>71</v>
      </c>
    </row>
    <row r="471" spans="1:32" x14ac:dyDescent="0.25">
      <c r="A471">
        <v>32</v>
      </c>
      <c r="B471" t="s">
        <v>32</v>
      </c>
      <c r="C471" t="s">
        <v>33</v>
      </c>
      <c r="D471" t="s">
        <v>34</v>
      </c>
      <c r="E471" t="s">
        <v>35</v>
      </c>
      <c r="F471">
        <v>11</v>
      </c>
      <c r="G471" t="s">
        <v>53</v>
      </c>
      <c r="H471">
        <v>4</v>
      </c>
      <c r="I471" t="s">
        <v>42</v>
      </c>
      <c r="J471" t="s">
        <v>54</v>
      </c>
      <c r="K471">
        <v>4</v>
      </c>
      <c r="L471" t="s">
        <v>65</v>
      </c>
      <c r="M471">
        <v>2</v>
      </c>
      <c r="N471" t="s">
        <v>40</v>
      </c>
      <c r="O471" t="s">
        <v>41</v>
      </c>
      <c r="P471">
        <v>3</v>
      </c>
      <c r="Q471" t="s">
        <v>42</v>
      </c>
      <c r="R471" t="s">
        <v>58</v>
      </c>
      <c r="S471">
        <v>8</v>
      </c>
      <c r="T471" t="s">
        <v>44</v>
      </c>
      <c r="U471" t="s">
        <v>59</v>
      </c>
      <c r="V471">
        <v>12</v>
      </c>
      <c r="W471" t="s">
        <v>45</v>
      </c>
      <c r="X471">
        <v>6</v>
      </c>
      <c r="Y471">
        <v>3</v>
      </c>
      <c r="Z471" t="s">
        <v>61</v>
      </c>
      <c r="AA471">
        <v>4</v>
      </c>
      <c r="AB471" t="s">
        <v>48</v>
      </c>
      <c r="AC471">
        <v>2</v>
      </c>
      <c r="AD471" t="s">
        <v>48</v>
      </c>
      <c r="AE471">
        <v>1</v>
      </c>
      <c r="AF471" t="s">
        <v>49</v>
      </c>
    </row>
    <row r="472" spans="1:32" x14ac:dyDescent="0.25">
      <c r="A472">
        <v>24</v>
      </c>
      <c r="B472" t="s">
        <v>63</v>
      </c>
      <c r="C472" t="s">
        <v>50</v>
      </c>
      <c r="D472" t="s">
        <v>51</v>
      </c>
      <c r="E472" t="s">
        <v>35</v>
      </c>
      <c r="F472">
        <v>24</v>
      </c>
      <c r="G472" t="s">
        <v>66</v>
      </c>
      <c r="H472">
        <v>4</v>
      </c>
      <c r="I472" t="s">
        <v>42</v>
      </c>
      <c r="J472" t="s">
        <v>54</v>
      </c>
      <c r="K472">
        <v>3</v>
      </c>
      <c r="L472" t="s">
        <v>39</v>
      </c>
      <c r="M472">
        <v>1</v>
      </c>
      <c r="N472" t="s">
        <v>40</v>
      </c>
      <c r="O472" t="s">
        <v>75</v>
      </c>
      <c r="P472">
        <v>4</v>
      </c>
      <c r="Q472" t="s">
        <v>42</v>
      </c>
      <c r="R472" t="s">
        <v>58</v>
      </c>
      <c r="S472">
        <v>0</v>
      </c>
      <c r="T472" t="s">
        <v>44</v>
      </c>
      <c r="U472" t="s">
        <v>59</v>
      </c>
      <c r="V472">
        <v>13</v>
      </c>
      <c r="W472" t="s">
        <v>45</v>
      </c>
      <c r="X472">
        <v>3</v>
      </c>
      <c r="Y472">
        <v>3</v>
      </c>
      <c r="Z472" t="s">
        <v>61</v>
      </c>
      <c r="AA472">
        <v>2</v>
      </c>
      <c r="AB472" t="s">
        <v>48</v>
      </c>
      <c r="AC472">
        <v>2</v>
      </c>
      <c r="AD472" t="s">
        <v>48</v>
      </c>
      <c r="AE472">
        <v>2</v>
      </c>
      <c r="AF472" t="s">
        <v>49</v>
      </c>
    </row>
    <row r="473" spans="1:32" x14ac:dyDescent="0.25">
      <c r="A473">
        <v>38</v>
      </c>
      <c r="B473" t="s">
        <v>32</v>
      </c>
      <c r="C473" t="s">
        <v>50</v>
      </c>
      <c r="D473" t="s">
        <v>34</v>
      </c>
      <c r="E473" t="s">
        <v>52</v>
      </c>
      <c r="F473">
        <v>10</v>
      </c>
      <c r="G473" t="s">
        <v>53</v>
      </c>
      <c r="H473">
        <v>3</v>
      </c>
      <c r="I473" t="s">
        <v>42</v>
      </c>
      <c r="J473" t="s">
        <v>38</v>
      </c>
      <c r="K473">
        <v>3</v>
      </c>
      <c r="L473" t="s">
        <v>39</v>
      </c>
      <c r="M473">
        <v>2</v>
      </c>
      <c r="N473" t="s">
        <v>40</v>
      </c>
      <c r="O473" t="s">
        <v>70</v>
      </c>
      <c r="P473">
        <v>3</v>
      </c>
      <c r="Q473" t="s">
        <v>42</v>
      </c>
      <c r="R473" t="s">
        <v>58</v>
      </c>
      <c r="S473">
        <v>3</v>
      </c>
      <c r="T473" t="s">
        <v>44</v>
      </c>
      <c r="U473" t="s">
        <v>59</v>
      </c>
      <c r="V473">
        <v>19</v>
      </c>
      <c r="W473" t="s">
        <v>45</v>
      </c>
      <c r="X473">
        <v>18</v>
      </c>
      <c r="Y473">
        <v>3</v>
      </c>
      <c r="Z473" t="s">
        <v>61</v>
      </c>
      <c r="AA473">
        <v>1</v>
      </c>
      <c r="AB473" t="s">
        <v>48</v>
      </c>
      <c r="AC473">
        <v>0</v>
      </c>
      <c r="AD473" t="s">
        <v>48</v>
      </c>
      <c r="AE473">
        <v>0</v>
      </c>
      <c r="AF473" t="s">
        <v>49</v>
      </c>
    </row>
    <row r="474" spans="1:32" x14ac:dyDescent="0.25">
      <c r="A474">
        <v>37</v>
      </c>
      <c r="B474" t="s">
        <v>32</v>
      </c>
      <c r="C474" t="s">
        <v>50</v>
      </c>
      <c r="D474" t="s">
        <v>34</v>
      </c>
      <c r="E474" t="s">
        <v>52</v>
      </c>
      <c r="F474">
        <v>1</v>
      </c>
      <c r="G474" t="s">
        <v>36</v>
      </c>
      <c r="H474">
        <v>2</v>
      </c>
      <c r="I474" t="s">
        <v>37</v>
      </c>
      <c r="J474" t="s">
        <v>38</v>
      </c>
      <c r="K474">
        <v>3</v>
      </c>
      <c r="L474" t="s">
        <v>39</v>
      </c>
      <c r="M474">
        <v>2</v>
      </c>
      <c r="N474" t="s">
        <v>40</v>
      </c>
      <c r="O474" t="s">
        <v>69</v>
      </c>
      <c r="P474">
        <v>2</v>
      </c>
      <c r="Q474" t="s">
        <v>57</v>
      </c>
      <c r="R474" t="s">
        <v>58</v>
      </c>
      <c r="S474">
        <v>6</v>
      </c>
      <c r="T474" t="s">
        <v>44</v>
      </c>
      <c r="U474" t="s">
        <v>59</v>
      </c>
      <c r="V474">
        <v>12</v>
      </c>
      <c r="W474" t="s">
        <v>45</v>
      </c>
      <c r="X474">
        <v>8</v>
      </c>
      <c r="Y474">
        <v>2</v>
      </c>
      <c r="Z474" t="s">
        <v>46</v>
      </c>
      <c r="AA474">
        <v>6</v>
      </c>
      <c r="AB474" t="s">
        <v>47</v>
      </c>
      <c r="AC474">
        <v>5</v>
      </c>
      <c r="AD474" t="s">
        <v>47</v>
      </c>
      <c r="AE474">
        <v>4</v>
      </c>
      <c r="AF474" t="s">
        <v>71</v>
      </c>
    </row>
    <row r="475" spans="1:32" x14ac:dyDescent="0.25">
      <c r="A475">
        <v>49</v>
      </c>
      <c r="B475" t="s">
        <v>32</v>
      </c>
      <c r="C475" t="s">
        <v>50</v>
      </c>
      <c r="D475" t="s">
        <v>34</v>
      </c>
      <c r="E475" t="s">
        <v>52</v>
      </c>
      <c r="F475">
        <v>18</v>
      </c>
      <c r="G475" t="s">
        <v>66</v>
      </c>
      <c r="H475">
        <v>4</v>
      </c>
      <c r="I475" t="s">
        <v>42</v>
      </c>
      <c r="J475" t="s">
        <v>54</v>
      </c>
      <c r="K475">
        <v>2</v>
      </c>
      <c r="L475" t="s">
        <v>55</v>
      </c>
      <c r="M475">
        <v>5</v>
      </c>
      <c r="N475" t="s">
        <v>72</v>
      </c>
      <c r="O475" t="s">
        <v>76</v>
      </c>
      <c r="P475">
        <v>3</v>
      </c>
      <c r="Q475" t="s">
        <v>42</v>
      </c>
      <c r="R475" t="s">
        <v>67</v>
      </c>
      <c r="S475">
        <v>1</v>
      </c>
      <c r="T475" t="s">
        <v>44</v>
      </c>
      <c r="U475" t="s">
        <v>44</v>
      </c>
      <c r="V475">
        <v>17</v>
      </c>
      <c r="W475" t="s">
        <v>45</v>
      </c>
      <c r="X475">
        <v>31</v>
      </c>
      <c r="Y475">
        <v>3</v>
      </c>
      <c r="Z475" t="s">
        <v>61</v>
      </c>
      <c r="AA475">
        <v>31</v>
      </c>
      <c r="AB475" t="s">
        <v>74</v>
      </c>
      <c r="AC475">
        <v>9</v>
      </c>
      <c r="AD475" t="s">
        <v>47</v>
      </c>
      <c r="AE475">
        <v>0</v>
      </c>
      <c r="AF475" t="s">
        <v>49</v>
      </c>
    </row>
    <row r="476" spans="1:32" x14ac:dyDescent="0.25">
      <c r="A476">
        <v>24</v>
      </c>
      <c r="B476" t="s">
        <v>63</v>
      </c>
      <c r="C476" t="s">
        <v>50</v>
      </c>
      <c r="D476" t="s">
        <v>34</v>
      </c>
      <c r="E476" t="s">
        <v>52</v>
      </c>
      <c r="F476">
        <v>23</v>
      </c>
      <c r="G476" t="s">
        <v>66</v>
      </c>
      <c r="H476">
        <v>2</v>
      </c>
      <c r="I476" t="s">
        <v>37</v>
      </c>
      <c r="J476" t="s">
        <v>54</v>
      </c>
      <c r="K476">
        <v>4</v>
      </c>
      <c r="L476" t="s">
        <v>65</v>
      </c>
      <c r="M476">
        <v>1</v>
      </c>
      <c r="N476" t="s">
        <v>40</v>
      </c>
      <c r="O476" t="s">
        <v>56</v>
      </c>
      <c r="P476">
        <v>4</v>
      </c>
      <c r="Q476" t="s">
        <v>42</v>
      </c>
      <c r="R476" t="s">
        <v>58</v>
      </c>
      <c r="S476">
        <v>1</v>
      </c>
      <c r="T476" t="s">
        <v>44</v>
      </c>
      <c r="U476" t="s">
        <v>44</v>
      </c>
      <c r="V476">
        <v>11</v>
      </c>
      <c r="W476" t="s">
        <v>45</v>
      </c>
      <c r="X476">
        <v>6</v>
      </c>
      <c r="Y476">
        <v>3</v>
      </c>
      <c r="Z476" t="s">
        <v>61</v>
      </c>
      <c r="AA476">
        <v>6</v>
      </c>
      <c r="AB476" t="s">
        <v>47</v>
      </c>
      <c r="AC476">
        <v>5</v>
      </c>
      <c r="AD476" t="s">
        <v>47</v>
      </c>
      <c r="AE476">
        <v>1</v>
      </c>
      <c r="AF476" t="s">
        <v>49</v>
      </c>
    </row>
    <row r="477" spans="1:32" x14ac:dyDescent="0.25">
      <c r="A477">
        <v>26</v>
      </c>
      <c r="B477" t="s">
        <v>63</v>
      </c>
      <c r="C477" t="s">
        <v>50</v>
      </c>
      <c r="D477" t="s">
        <v>34</v>
      </c>
      <c r="E477" t="s">
        <v>35</v>
      </c>
      <c r="F477">
        <v>28</v>
      </c>
      <c r="G477" t="s">
        <v>66</v>
      </c>
      <c r="H477">
        <v>1</v>
      </c>
      <c r="I477" t="s">
        <v>37</v>
      </c>
      <c r="J477" t="s">
        <v>54</v>
      </c>
      <c r="K477">
        <v>3</v>
      </c>
      <c r="L477" t="s">
        <v>39</v>
      </c>
      <c r="M477">
        <v>2</v>
      </c>
      <c r="N477" t="s">
        <v>40</v>
      </c>
      <c r="O477" t="s">
        <v>41</v>
      </c>
      <c r="P477">
        <v>2</v>
      </c>
      <c r="Q477" t="s">
        <v>57</v>
      </c>
      <c r="R477" t="s">
        <v>58</v>
      </c>
      <c r="S477">
        <v>1</v>
      </c>
      <c r="T477" t="s">
        <v>44</v>
      </c>
      <c r="U477" t="s">
        <v>59</v>
      </c>
      <c r="V477">
        <v>20</v>
      </c>
      <c r="W477" t="s">
        <v>60</v>
      </c>
      <c r="X477">
        <v>6</v>
      </c>
      <c r="Y477">
        <v>4</v>
      </c>
      <c r="Z477" t="s">
        <v>61</v>
      </c>
      <c r="AA477">
        <v>5</v>
      </c>
      <c r="AB477" t="s">
        <v>47</v>
      </c>
      <c r="AC477">
        <v>3</v>
      </c>
      <c r="AD477" t="s">
        <v>48</v>
      </c>
      <c r="AE477">
        <v>1</v>
      </c>
      <c r="AF477" t="s">
        <v>49</v>
      </c>
    </row>
    <row r="478" spans="1:32" x14ac:dyDescent="0.25">
      <c r="A478">
        <v>24</v>
      </c>
      <c r="B478" t="s">
        <v>63</v>
      </c>
      <c r="C478" t="s">
        <v>50</v>
      </c>
      <c r="D478" t="s">
        <v>34</v>
      </c>
      <c r="E478" t="s">
        <v>52</v>
      </c>
      <c r="F478">
        <v>17</v>
      </c>
      <c r="G478" t="s">
        <v>66</v>
      </c>
      <c r="H478">
        <v>4</v>
      </c>
      <c r="I478" t="s">
        <v>42</v>
      </c>
      <c r="J478" t="s">
        <v>54</v>
      </c>
      <c r="K478">
        <v>2</v>
      </c>
      <c r="L478" t="s">
        <v>55</v>
      </c>
      <c r="M478">
        <v>1</v>
      </c>
      <c r="N478" t="s">
        <v>40</v>
      </c>
      <c r="O478" t="s">
        <v>62</v>
      </c>
      <c r="P478">
        <v>2</v>
      </c>
      <c r="Q478" t="s">
        <v>57</v>
      </c>
      <c r="R478" t="s">
        <v>58</v>
      </c>
      <c r="S478">
        <v>1</v>
      </c>
      <c r="T478" t="s">
        <v>44</v>
      </c>
      <c r="U478" t="s">
        <v>59</v>
      </c>
      <c r="V478">
        <v>21</v>
      </c>
      <c r="W478" t="s">
        <v>60</v>
      </c>
      <c r="X478">
        <v>1</v>
      </c>
      <c r="Y478">
        <v>3</v>
      </c>
      <c r="Z478" t="s">
        <v>61</v>
      </c>
      <c r="AA478">
        <v>1</v>
      </c>
      <c r="AB478" t="s">
        <v>48</v>
      </c>
      <c r="AC478">
        <v>0</v>
      </c>
      <c r="AD478" t="s">
        <v>48</v>
      </c>
      <c r="AE478">
        <v>0</v>
      </c>
      <c r="AF478" t="s">
        <v>49</v>
      </c>
    </row>
    <row r="479" spans="1:32" x14ac:dyDescent="0.25">
      <c r="A479">
        <v>50</v>
      </c>
      <c r="B479" t="s">
        <v>32</v>
      </c>
      <c r="C479" t="s">
        <v>50</v>
      </c>
      <c r="D479" t="s">
        <v>51</v>
      </c>
      <c r="E479" t="s">
        <v>77</v>
      </c>
      <c r="F479">
        <v>3</v>
      </c>
      <c r="G479" t="s">
        <v>36</v>
      </c>
      <c r="H479">
        <v>1</v>
      </c>
      <c r="I479" t="s">
        <v>37</v>
      </c>
      <c r="J479" t="s">
        <v>54</v>
      </c>
      <c r="K479">
        <v>3</v>
      </c>
      <c r="L479" t="s">
        <v>39</v>
      </c>
      <c r="M479">
        <v>5</v>
      </c>
      <c r="N479" t="s">
        <v>72</v>
      </c>
      <c r="O479" t="s">
        <v>73</v>
      </c>
      <c r="P479">
        <v>2</v>
      </c>
      <c r="Q479" t="s">
        <v>57</v>
      </c>
      <c r="R479" t="s">
        <v>58</v>
      </c>
      <c r="S479">
        <v>1</v>
      </c>
      <c r="T479" t="s">
        <v>44</v>
      </c>
      <c r="U479" t="s">
        <v>59</v>
      </c>
      <c r="V479">
        <v>11</v>
      </c>
      <c r="W479" t="s">
        <v>45</v>
      </c>
      <c r="X479">
        <v>32</v>
      </c>
      <c r="Y479">
        <v>3</v>
      </c>
      <c r="Z479" t="s">
        <v>61</v>
      </c>
      <c r="AA479">
        <v>32</v>
      </c>
      <c r="AB479" t="s">
        <v>74</v>
      </c>
      <c r="AC479">
        <v>5</v>
      </c>
      <c r="AD479" t="s">
        <v>47</v>
      </c>
      <c r="AE479">
        <v>10</v>
      </c>
      <c r="AF479" t="s">
        <v>71</v>
      </c>
    </row>
    <row r="480" spans="1:32" x14ac:dyDescent="0.25">
      <c r="A480">
        <v>25</v>
      </c>
      <c r="B480" t="s">
        <v>63</v>
      </c>
      <c r="C480" t="s">
        <v>50</v>
      </c>
      <c r="D480" t="s">
        <v>34</v>
      </c>
      <c r="E480" t="s">
        <v>35</v>
      </c>
      <c r="F480">
        <v>13</v>
      </c>
      <c r="G480" t="s">
        <v>53</v>
      </c>
      <c r="H480">
        <v>2</v>
      </c>
      <c r="I480" t="s">
        <v>37</v>
      </c>
      <c r="J480" t="s">
        <v>54</v>
      </c>
      <c r="K480">
        <v>3</v>
      </c>
      <c r="L480" t="s">
        <v>39</v>
      </c>
      <c r="M480">
        <v>1</v>
      </c>
      <c r="N480" t="s">
        <v>40</v>
      </c>
      <c r="O480" t="s">
        <v>75</v>
      </c>
      <c r="P480">
        <v>3</v>
      </c>
      <c r="Q480" t="s">
        <v>42</v>
      </c>
      <c r="R480" t="s">
        <v>58</v>
      </c>
      <c r="S480">
        <v>1</v>
      </c>
      <c r="T480" t="s">
        <v>44</v>
      </c>
      <c r="U480" t="s">
        <v>59</v>
      </c>
      <c r="V480">
        <v>11</v>
      </c>
      <c r="W480" t="s">
        <v>45</v>
      </c>
      <c r="X480">
        <v>7</v>
      </c>
      <c r="Y480">
        <v>3</v>
      </c>
      <c r="Z480" t="s">
        <v>61</v>
      </c>
      <c r="AA480">
        <v>7</v>
      </c>
      <c r="AB480" t="s">
        <v>47</v>
      </c>
      <c r="AC480">
        <v>4</v>
      </c>
      <c r="AD480" t="s">
        <v>48</v>
      </c>
      <c r="AE480">
        <v>0</v>
      </c>
      <c r="AF480" t="s">
        <v>49</v>
      </c>
    </row>
    <row r="481" spans="1:32" x14ac:dyDescent="0.25">
      <c r="A481">
        <v>24</v>
      </c>
      <c r="B481" t="s">
        <v>63</v>
      </c>
      <c r="C481" t="s">
        <v>33</v>
      </c>
      <c r="D481" t="s">
        <v>51</v>
      </c>
      <c r="E481" t="s">
        <v>52</v>
      </c>
      <c r="F481">
        <v>7</v>
      </c>
      <c r="G481" t="s">
        <v>53</v>
      </c>
      <c r="H481">
        <v>1</v>
      </c>
      <c r="I481" t="s">
        <v>37</v>
      </c>
      <c r="J481" t="s">
        <v>38</v>
      </c>
      <c r="K481">
        <v>3</v>
      </c>
      <c r="L481" t="s">
        <v>39</v>
      </c>
      <c r="M481">
        <v>1</v>
      </c>
      <c r="N481" t="s">
        <v>40</v>
      </c>
      <c r="O481" t="s">
        <v>62</v>
      </c>
      <c r="P481">
        <v>3</v>
      </c>
      <c r="Q481" t="s">
        <v>42</v>
      </c>
      <c r="R481" t="s">
        <v>58</v>
      </c>
      <c r="S481">
        <v>1</v>
      </c>
      <c r="T481" t="s">
        <v>44</v>
      </c>
      <c r="U481" t="s">
        <v>44</v>
      </c>
      <c r="V481">
        <v>16</v>
      </c>
      <c r="W481" t="s">
        <v>45</v>
      </c>
      <c r="X481">
        <v>6</v>
      </c>
      <c r="Y481">
        <v>3</v>
      </c>
      <c r="Z481" t="s">
        <v>61</v>
      </c>
      <c r="AA481">
        <v>6</v>
      </c>
      <c r="AB481" t="s">
        <v>47</v>
      </c>
      <c r="AC481">
        <v>3</v>
      </c>
      <c r="AD481" t="s">
        <v>48</v>
      </c>
      <c r="AE481">
        <v>1</v>
      </c>
      <c r="AF481" t="s">
        <v>49</v>
      </c>
    </row>
    <row r="482" spans="1:32" x14ac:dyDescent="0.25">
      <c r="A482">
        <v>30</v>
      </c>
      <c r="B482" t="s">
        <v>32</v>
      </c>
      <c r="C482" t="s">
        <v>33</v>
      </c>
      <c r="D482" t="s">
        <v>51</v>
      </c>
      <c r="E482" t="s">
        <v>35</v>
      </c>
      <c r="F482">
        <v>12</v>
      </c>
      <c r="G482" t="s">
        <v>53</v>
      </c>
      <c r="H482">
        <v>2</v>
      </c>
      <c r="I482" t="s">
        <v>37</v>
      </c>
      <c r="J482" t="s">
        <v>54</v>
      </c>
      <c r="K482">
        <v>2</v>
      </c>
      <c r="L482" t="s">
        <v>55</v>
      </c>
      <c r="M482">
        <v>1</v>
      </c>
      <c r="N482" t="s">
        <v>40</v>
      </c>
      <c r="O482" t="s">
        <v>75</v>
      </c>
      <c r="P482">
        <v>1</v>
      </c>
      <c r="Q482" t="s">
        <v>57</v>
      </c>
      <c r="R482" t="s">
        <v>58</v>
      </c>
      <c r="S482">
        <v>1</v>
      </c>
      <c r="T482" t="s">
        <v>44</v>
      </c>
      <c r="U482" t="s">
        <v>59</v>
      </c>
      <c r="V482">
        <v>18</v>
      </c>
      <c r="W482" t="s">
        <v>45</v>
      </c>
      <c r="X482">
        <v>1</v>
      </c>
      <c r="Y482">
        <v>4</v>
      </c>
      <c r="Z482" t="s">
        <v>61</v>
      </c>
      <c r="AA482">
        <v>1</v>
      </c>
      <c r="AB482" t="s">
        <v>48</v>
      </c>
      <c r="AC482">
        <v>0</v>
      </c>
      <c r="AD482" t="s">
        <v>48</v>
      </c>
      <c r="AE482">
        <v>0</v>
      </c>
      <c r="AF482" t="s">
        <v>49</v>
      </c>
    </row>
    <row r="483" spans="1:32" x14ac:dyDescent="0.25">
      <c r="A483">
        <v>34</v>
      </c>
      <c r="B483" t="s">
        <v>32</v>
      </c>
      <c r="C483" t="s">
        <v>50</v>
      </c>
      <c r="D483" t="s">
        <v>34</v>
      </c>
      <c r="E483" t="s">
        <v>52</v>
      </c>
      <c r="F483">
        <v>1</v>
      </c>
      <c r="G483" t="s">
        <v>36</v>
      </c>
      <c r="H483">
        <v>2</v>
      </c>
      <c r="I483" t="s">
        <v>37</v>
      </c>
      <c r="J483" t="s">
        <v>54</v>
      </c>
      <c r="K483">
        <v>2</v>
      </c>
      <c r="L483" t="s">
        <v>55</v>
      </c>
      <c r="M483">
        <v>1</v>
      </c>
      <c r="N483" t="s">
        <v>40</v>
      </c>
      <c r="O483" t="s">
        <v>56</v>
      </c>
      <c r="P483">
        <v>4</v>
      </c>
      <c r="Q483" t="s">
        <v>42</v>
      </c>
      <c r="R483" t="s">
        <v>58</v>
      </c>
      <c r="S483">
        <v>1</v>
      </c>
      <c r="T483" t="s">
        <v>44</v>
      </c>
      <c r="U483" t="s">
        <v>44</v>
      </c>
      <c r="V483">
        <v>13</v>
      </c>
      <c r="W483" t="s">
        <v>45</v>
      </c>
      <c r="X483">
        <v>6</v>
      </c>
      <c r="Y483">
        <v>3</v>
      </c>
      <c r="Z483" t="s">
        <v>61</v>
      </c>
      <c r="AA483">
        <v>6</v>
      </c>
      <c r="AB483" t="s">
        <v>47</v>
      </c>
      <c r="AC483">
        <v>5</v>
      </c>
      <c r="AD483" t="s">
        <v>47</v>
      </c>
      <c r="AE483">
        <v>1</v>
      </c>
      <c r="AF483" t="s">
        <v>49</v>
      </c>
    </row>
    <row r="484" spans="1:32" x14ac:dyDescent="0.25">
      <c r="A484">
        <v>31</v>
      </c>
      <c r="B484" t="s">
        <v>32</v>
      </c>
      <c r="C484" t="s">
        <v>33</v>
      </c>
      <c r="D484" t="s">
        <v>34</v>
      </c>
      <c r="E484" t="s">
        <v>35</v>
      </c>
      <c r="F484">
        <v>13</v>
      </c>
      <c r="G484" t="s">
        <v>53</v>
      </c>
      <c r="H484">
        <v>2</v>
      </c>
      <c r="I484" t="s">
        <v>37</v>
      </c>
      <c r="J484" t="s">
        <v>54</v>
      </c>
      <c r="K484">
        <v>3</v>
      </c>
      <c r="L484" t="s">
        <v>39</v>
      </c>
      <c r="M484">
        <v>2</v>
      </c>
      <c r="N484" t="s">
        <v>40</v>
      </c>
      <c r="O484" t="s">
        <v>41</v>
      </c>
      <c r="P484">
        <v>1</v>
      </c>
      <c r="Q484" t="s">
        <v>57</v>
      </c>
      <c r="R484" t="s">
        <v>67</v>
      </c>
      <c r="S484">
        <v>2</v>
      </c>
      <c r="T484" t="s">
        <v>44</v>
      </c>
      <c r="U484" t="s">
        <v>59</v>
      </c>
      <c r="V484">
        <v>17</v>
      </c>
      <c r="W484" t="s">
        <v>45</v>
      </c>
      <c r="X484">
        <v>9</v>
      </c>
      <c r="Y484">
        <v>1</v>
      </c>
      <c r="Z484" t="s">
        <v>46</v>
      </c>
      <c r="AA484">
        <v>3</v>
      </c>
      <c r="AB484" t="s">
        <v>48</v>
      </c>
      <c r="AC484">
        <v>1</v>
      </c>
      <c r="AD484" t="s">
        <v>48</v>
      </c>
      <c r="AE484">
        <v>1</v>
      </c>
      <c r="AF484" t="s">
        <v>49</v>
      </c>
    </row>
    <row r="485" spans="1:32" x14ac:dyDescent="0.25">
      <c r="A485">
        <v>35</v>
      </c>
      <c r="B485" t="s">
        <v>32</v>
      </c>
      <c r="C485" t="s">
        <v>50</v>
      </c>
      <c r="D485" t="s">
        <v>34</v>
      </c>
      <c r="E485" t="s">
        <v>52</v>
      </c>
      <c r="F485">
        <v>25</v>
      </c>
      <c r="G485" t="s">
        <v>66</v>
      </c>
      <c r="H485">
        <v>1</v>
      </c>
      <c r="I485" t="s">
        <v>37</v>
      </c>
      <c r="J485" t="s">
        <v>54</v>
      </c>
      <c r="K485">
        <v>2</v>
      </c>
      <c r="L485" t="s">
        <v>55</v>
      </c>
      <c r="M485">
        <v>2</v>
      </c>
      <c r="N485" t="s">
        <v>40</v>
      </c>
      <c r="O485" t="s">
        <v>62</v>
      </c>
      <c r="P485">
        <v>4</v>
      </c>
      <c r="Q485" t="s">
        <v>42</v>
      </c>
      <c r="R485" t="s">
        <v>43</v>
      </c>
      <c r="S485">
        <v>4</v>
      </c>
      <c r="T485" t="s">
        <v>44</v>
      </c>
      <c r="U485" t="s">
        <v>59</v>
      </c>
      <c r="V485">
        <v>14</v>
      </c>
      <c r="W485" t="s">
        <v>45</v>
      </c>
      <c r="X485">
        <v>9</v>
      </c>
      <c r="Y485">
        <v>3</v>
      </c>
      <c r="Z485" t="s">
        <v>61</v>
      </c>
      <c r="AA485">
        <v>3</v>
      </c>
      <c r="AB485" t="s">
        <v>48</v>
      </c>
      <c r="AC485">
        <v>2</v>
      </c>
      <c r="AD485" t="s">
        <v>48</v>
      </c>
      <c r="AE485">
        <v>0</v>
      </c>
      <c r="AF485" t="s">
        <v>49</v>
      </c>
    </row>
    <row r="486" spans="1:32" x14ac:dyDescent="0.25">
      <c r="A486">
        <v>31</v>
      </c>
      <c r="B486" t="s">
        <v>32</v>
      </c>
      <c r="C486" t="s">
        <v>50</v>
      </c>
      <c r="D486" t="s">
        <v>34</v>
      </c>
      <c r="E486" t="s">
        <v>35</v>
      </c>
      <c r="F486">
        <v>6</v>
      </c>
      <c r="G486" t="s">
        <v>53</v>
      </c>
      <c r="H486">
        <v>1</v>
      </c>
      <c r="I486" t="s">
        <v>37</v>
      </c>
      <c r="J486" t="s">
        <v>54</v>
      </c>
      <c r="K486">
        <v>4</v>
      </c>
      <c r="L486" t="s">
        <v>65</v>
      </c>
      <c r="M486">
        <v>2</v>
      </c>
      <c r="N486" t="s">
        <v>40</v>
      </c>
      <c r="O486" t="s">
        <v>41</v>
      </c>
      <c r="P486">
        <v>4</v>
      </c>
      <c r="Q486" t="s">
        <v>42</v>
      </c>
      <c r="R486" t="s">
        <v>67</v>
      </c>
      <c r="S486">
        <v>4</v>
      </c>
      <c r="T486" t="s">
        <v>44</v>
      </c>
      <c r="U486" t="s">
        <v>59</v>
      </c>
      <c r="V486">
        <v>22</v>
      </c>
      <c r="W486" t="s">
        <v>60</v>
      </c>
      <c r="X486">
        <v>13</v>
      </c>
      <c r="Y486">
        <v>4</v>
      </c>
      <c r="Z486" t="s">
        <v>61</v>
      </c>
      <c r="AA486">
        <v>7</v>
      </c>
      <c r="AB486" t="s">
        <v>47</v>
      </c>
      <c r="AC486">
        <v>7</v>
      </c>
      <c r="AD486" t="s">
        <v>47</v>
      </c>
      <c r="AE486">
        <v>5</v>
      </c>
      <c r="AF486" t="s">
        <v>71</v>
      </c>
    </row>
    <row r="487" spans="1:32" x14ac:dyDescent="0.25">
      <c r="A487">
        <v>27</v>
      </c>
      <c r="B487" t="s">
        <v>63</v>
      </c>
      <c r="C487" t="s">
        <v>50</v>
      </c>
      <c r="D487" t="s">
        <v>34</v>
      </c>
      <c r="E487" t="s">
        <v>52</v>
      </c>
      <c r="F487">
        <v>6</v>
      </c>
      <c r="G487" t="s">
        <v>53</v>
      </c>
      <c r="H487">
        <v>1</v>
      </c>
      <c r="I487" t="s">
        <v>37</v>
      </c>
      <c r="J487" t="s">
        <v>38</v>
      </c>
      <c r="K487">
        <v>2</v>
      </c>
      <c r="L487" t="s">
        <v>55</v>
      </c>
      <c r="M487">
        <v>1</v>
      </c>
      <c r="N487" t="s">
        <v>40</v>
      </c>
      <c r="O487" t="s">
        <v>56</v>
      </c>
      <c r="P487">
        <v>3</v>
      </c>
      <c r="Q487" t="s">
        <v>42</v>
      </c>
      <c r="R487" t="s">
        <v>67</v>
      </c>
      <c r="S487">
        <v>0</v>
      </c>
      <c r="T487" t="s">
        <v>44</v>
      </c>
      <c r="U487" t="s">
        <v>59</v>
      </c>
      <c r="V487">
        <v>12</v>
      </c>
      <c r="W487" t="s">
        <v>45</v>
      </c>
      <c r="X487">
        <v>6</v>
      </c>
      <c r="Y487">
        <v>2</v>
      </c>
      <c r="Z487" t="s">
        <v>46</v>
      </c>
      <c r="AA487">
        <v>5</v>
      </c>
      <c r="AB487" t="s">
        <v>47</v>
      </c>
      <c r="AC487">
        <v>3</v>
      </c>
      <c r="AD487" t="s">
        <v>48</v>
      </c>
      <c r="AE487">
        <v>0</v>
      </c>
      <c r="AF487" t="s">
        <v>49</v>
      </c>
    </row>
    <row r="488" spans="1:32" x14ac:dyDescent="0.25">
      <c r="A488">
        <v>37</v>
      </c>
      <c r="B488" t="s">
        <v>32</v>
      </c>
      <c r="C488" t="s">
        <v>50</v>
      </c>
      <c r="D488" t="s">
        <v>34</v>
      </c>
      <c r="E488" t="s">
        <v>35</v>
      </c>
      <c r="F488">
        <v>2</v>
      </c>
      <c r="G488" t="s">
        <v>36</v>
      </c>
      <c r="H488">
        <v>4</v>
      </c>
      <c r="I488" t="s">
        <v>42</v>
      </c>
      <c r="J488" t="s">
        <v>54</v>
      </c>
      <c r="K488">
        <v>3</v>
      </c>
      <c r="L488" t="s">
        <v>39</v>
      </c>
      <c r="M488">
        <v>2</v>
      </c>
      <c r="N488" t="s">
        <v>40</v>
      </c>
      <c r="O488" t="s">
        <v>41</v>
      </c>
      <c r="P488">
        <v>3</v>
      </c>
      <c r="Q488" t="s">
        <v>42</v>
      </c>
      <c r="R488" t="s">
        <v>58</v>
      </c>
      <c r="S488">
        <v>4</v>
      </c>
      <c r="T488" t="s">
        <v>44</v>
      </c>
      <c r="U488" t="s">
        <v>44</v>
      </c>
      <c r="V488">
        <v>11</v>
      </c>
      <c r="W488" t="s">
        <v>45</v>
      </c>
      <c r="X488">
        <v>17</v>
      </c>
      <c r="Y488">
        <v>2</v>
      </c>
      <c r="Z488" t="s">
        <v>46</v>
      </c>
      <c r="AA488">
        <v>3</v>
      </c>
      <c r="AB488" t="s">
        <v>48</v>
      </c>
      <c r="AC488">
        <v>0</v>
      </c>
      <c r="AD488" t="s">
        <v>48</v>
      </c>
      <c r="AE488">
        <v>1</v>
      </c>
      <c r="AF488" t="s">
        <v>49</v>
      </c>
    </row>
    <row r="489" spans="1:32" x14ac:dyDescent="0.25">
      <c r="A489">
        <v>20</v>
      </c>
      <c r="B489" t="s">
        <v>63</v>
      </c>
      <c r="C489" t="s">
        <v>50</v>
      </c>
      <c r="D489" t="s">
        <v>34</v>
      </c>
      <c r="E489" t="s">
        <v>52</v>
      </c>
      <c r="F489">
        <v>1</v>
      </c>
      <c r="G489" t="s">
        <v>36</v>
      </c>
      <c r="H489">
        <v>4</v>
      </c>
      <c r="I489" t="s">
        <v>42</v>
      </c>
      <c r="J489" t="s">
        <v>38</v>
      </c>
      <c r="K489">
        <v>2</v>
      </c>
      <c r="L489" t="s">
        <v>55</v>
      </c>
      <c r="M489">
        <v>1</v>
      </c>
      <c r="N489" t="s">
        <v>40</v>
      </c>
      <c r="O489" t="s">
        <v>56</v>
      </c>
      <c r="P489">
        <v>2</v>
      </c>
      <c r="Q489" t="s">
        <v>57</v>
      </c>
      <c r="R489" t="s">
        <v>43</v>
      </c>
      <c r="S489">
        <v>1</v>
      </c>
      <c r="T489" t="s">
        <v>44</v>
      </c>
      <c r="U489" t="s">
        <v>59</v>
      </c>
      <c r="V489">
        <v>13</v>
      </c>
      <c r="W489" t="s">
        <v>45</v>
      </c>
      <c r="X489">
        <v>1</v>
      </c>
      <c r="Y489">
        <v>4</v>
      </c>
      <c r="Z489" t="s">
        <v>61</v>
      </c>
      <c r="AA489">
        <v>1</v>
      </c>
      <c r="AB489" t="s">
        <v>48</v>
      </c>
      <c r="AC489">
        <v>0</v>
      </c>
      <c r="AD489" t="s">
        <v>48</v>
      </c>
      <c r="AE489">
        <v>0</v>
      </c>
      <c r="AF489" t="s">
        <v>49</v>
      </c>
    </row>
    <row r="490" spans="1:32" x14ac:dyDescent="0.25">
      <c r="A490">
        <v>42</v>
      </c>
      <c r="B490" t="s">
        <v>32</v>
      </c>
      <c r="C490" t="s">
        <v>50</v>
      </c>
      <c r="D490" t="s">
        <v>34</v>
      </c>
      <c r="E490" t="s">
        <v>52</v>
      </c>
      <c r="F490">
        <v>2</v>
      </c>
      <c r="G490" t="s">
        <v>36</v>
      </c>
      <c r="H490">
        <v>3</v>
      </c>
      <c r="I490" t="s">
        <v>42</v>
      </c>
      <c r="J490" t="s">
        <v>38</v>
      </c>
      <c r="K490">
        <v>3</v>
      </c>
      <c r="L490" t="s">
        <v>39</v>
      </c>
      <c r="M490">
        <v>2</v>
      </c>
      <c r="N490" t="s">
        <v>40</v>
      </c>
      <c r="O490" t="s">
        <v>70</v>
      </c>
      <c r="P490">
        <v>4</v>
      </c>
      <c r="Q490" t="s">
        <v>42</v>
      </c>
      <c r="R490" t="s">
        <v>58</v>
      </c>
      <c r="S490">
        <v>1</v>
      </c>
      <c r="T490" t="s">
        <v>44</v>
      </c>
      <c r="U490" t="s">
        <v>59</v>
      </c>
      <c r="V490">
        <v>13</v>
      </c>
      <c r="W490" t="s">
        <v>45</v>
      </c>
      <c r="X490">
        <v>10</v>
      </c>
      <c r="Y490">
        <v>3</v>
      </c>
      <c r="Z490" t="s">
        <v>61</v>
      </c>
      <c r="AA490">
        <v>10</v>
      </c>
      <c r="AB490" t="s">
        <v>47</v>
      </c>
      <c r="AC490">
        <v>2</v>
      </c>
      <c r="AD490" t="s">
        <v>48</v>
      </c>
      <c r="AE490">
        <v>2</v>
      </c>
      <c r="AF490" t="s">
        <v>49</v>
      </c>
    </row>
    <row r="491" spans="1:32" x14ac:dyDescent="0.25">
      <c r="A491">
        <v>43</v>
      </c>
      <c r="B491" t="s">
        <v>32</v>
      </c>
      <c r="C491" t="s">
        <v>50</v>
      </c>
      <c r="D491" t="s">
        <v>34</v>
      </c>
      <c r="E491" t="s">
        <v>52</v>
      </c>
      <c r="F491">
        <v>6</v>
      </c>
      <c r="G491" t="s">
        <v>53</v>
      </c>
      <c r="H491">
        <v>2</v>
      </c>
      <c r="I491" t="s">
        <v>37</v>
      </c>
      <c r="J491" t="s">
        <v>54</v>
      </c>
      <c r="K491">
        <v>2</v>
      </c>
      <c r="L491" t="s">
        <v>55</v>
      </c>
      <c r="M491">
        <v>4</v>
      </c>
      <c r="N491" t="s">
        <v>72</v>
      </c>
      <c r="O491" t="s">
        <v>76</v>
      </c>
      <c r="P491">
        <v>4</v>
      </c>
      <c r="Q491" t="s">
        <v>42</v>
      </c>
      <c r="R491" t="s">
        <v>67</v>
      </c>
      <c r="S491">
        <v>4</v>
      </c>
      <c r="T491" t="s">
        <v>44</v>
      </c>
      <c r="U491" t="s">
        <v>44</v>
      </c>
      <c r="V491">
        <v>14</v>
      </c>
      <c r="W491" t="s">
        <v>45</v>
      </c>
      <c r="X491">
        <v>21</v>
      </c>
      <c r="Y491">
        <v>2</v>
      </c>
      <c r="Z491" t="s">
        <v>46</v>
      </c>
      <c r="AA491">
        <v>1</v>
      </c>
      <c r="AB491" t="s">
        <v>48</v>
      </c>
      <c r="AC491">
        <v>0</v>
      </c>
      <c r="AD491" t="s">
        <v>48</v>
      </c>
      <c r="AE491">
        <v>0</v>
      </c>
      <c r="AF491" t="s">
        <v>49</v>
      </c>
    </row>
    <row r="492" spans="1:32" x14ac:dyDescent="0.25">
      <c r="A492">
        <v>38</v>
      </c>
      <c r="B492" t="s">
        <v>32</v>
      </c>
      <c r="C492" t="s">
        <v>50</v>
      </c>
      <c r="D492" t="s">
        <v>34</v>
      </c>
      <c r="E492" t="s">
        <v>52</v>
      </c>
      <c r="F492">
        <v>1</v>
      </c>
      <c r="G492" t="s">
        <v>36</v>
      </c>
      <c r="H492">
        <v>3</v>
      </c>
      <c r="I492" t="s">
        <v>42</v>
      </c>
      <c r="J492" t="s">
        <v>38</v>
      </c>
      <c r="K492">
        <v>3</v>
      </c>
      <c r="L492" t="s">
        <v>39</v>
      </c>
      <c r="M492">
        <v>1</v>
      </c>
      <c r="N492" t="s">
        <v>40</v>
      </c>
      <c r="O492" t="s">
        <v>56</v>
      </c>
      <c r="P492">
        <v>1</v>
      </c>
      <c r="Q492" t="s">
        <v>57</v>
      </c>
      <c r="R492" t="s">
        <v>43</v>
      </c>
      <c r="S492">
        <v>3</v>
      </c>
      <c r="T492" t="s">
        <v>44</v>
      </c>
      <c r="U492" t="s">
        <v>59</v>
      </c>
      <c r="V492">
        <v>17</v>
      </c>
      <c r="W492" t="s">
        <v>45</v>
      </c>
      <c r="X492">
        <v>8</v>
      </c>
      <c r="Y492">
        <v>2</v>
      </c>
      <c r="Z492" t="s">
        <v>46</v>
      </c>
      <c r="AA492">
        <v>0</v>
      </c>
      <c r="AB492" t="s">
        <v>48</v>
      </c>
      <c r="AC492">
        <v>0</v>
      </c>
      <c r="AD492" t="s">
        <v>48</v>
      </c>
      <c r="AE492">
        <v>0</v>
      </c>
      <c r="AF492" t="s">
        <v>49</v>
      </c>
    </row>
    <row r="493" spans="1:32" x14ac:dyDescent="0.25">
      <c r="A493">
        <v>43</v>
      </c>
      <c r="B493" t="s">
        <v>32</v>
      </c>
      <c r="C493" t="s">
        <v>50</v>
      </c>
      <c r="D493" t="s">
        <v>51</v>
      </c>
      <c r="E493" t="s">
        <v>52</v>
      </c>
      <c r="F493">
        <v>9</v>
      </c>
      <c r="G493" t="s">
        <v>53</v>
      </c>
      <c r="H493">
        <v>4</v>
      </c>
      <c r="I493" t="s">
        <v>42</v>
      </c>
      <c r="J493" t="s">
        <v>54</v>
      </c>
      <c r="K493">
        <v>3</v>
      </c>
      <c r="L493" t="s">
        <v>39</v>
      </c>
      <c r="M493">
        <v>2</v>
      </c>
      <c r="N493" t="s">
        <v>40</v>
      </c>
      <c r="O493" t="s">
        <v>62</v>
      </c>
      <c r="P493">
        <v>3</v>
      </c>
      <c r="Q493" t="s">
        <v>42</v>
      </c>
      <c r="R493" t="s">
        <v>67</v>
      </c>
      <c r="S493">
        <v>3</v>
      </c>
      <c r="T493" t="s">
        <v>44</v>
      </c>
      <c r="U493" t="s">
        <v>44</v>
      </c>
      <c r="V493">
        <v>13</v>
      </c>
      <c r="W493" t="s">
        <v>45</v>
      </c>
      <c r="X493">
        <v>10</v>
      </c>
      <c r="Y493">
        <v>3</v>
      </c>
      <c r="Z493" t="s">
        <v>61</v>
      </c>
      <c r="AA493">
        <v>8</v>
      </c>
      <c r="AB493" t="s">
        <v>47</v>
      </c>
      <c r="AC493">
        <v>7</v>
      </c>
      <c r="AD493" t="s">
        <v>47</v>
      </c>
      <c r="AE493">
        <v>4</v>
      </c>
      <c r="AF493" t="s">
        <v>71</v>
      </c>
    </row>
    <row r="494" spans="1:32" x14ac:dyDescent="0.25">
      <c r="A494">
        <v>48</v>
      </c>
      <c r="B494" t="s">
        <v>32</v>
      </c>
      <c r="C494" t="s">
        <v>50</v>
      </c>
      <c r="D494" t="s">
        <v>34</v>
      </c>
      <c r="E494" t="s">
        <v>52</v>
      </c>
      <c r="F494">
        <v>1</v>
      </c>
      <c r="G494" t="s">
        <v>36</v>
      </c>
      <c r="H494">
        <v>4</v>
      </c>
      <c r="I494" t="s">
        <v>42</v>
      </c>
      <c r="J494" t="s">
        <v>38</v>
      </c>
      <c r="K494">
        <v>2</v>
      </c>
      <c r="L494" t="s">
        <v>55</v>
      </c>
      <c r="M494">
        <v>4</v>
      </c>
      <c r="N494" t="s">
        <v>72</v>
      </c>
      <c r="O494" t="s">
        <v>73</v>
      </c>
      <c r="P494">
        <v>1</v>
      </c>
      <c r="Q494" t="s">
        <v>57</v>
      </c>
      <c r="R494" t="s">
        <v>58</v>
      </c>
      <c r="S494">
        <v>7</v>
      </c>
      <c r="T494" t="s">
        <v>44</v>
      </c>
      <c r="U494" t="s">
        <v>59</v>
      </c>
      <c r="V494">
        <v>11</v>
      </c>
      <c r="W494" t="s">
        <v>45</v>
      </c>
      <c r="X494">
        <v>21</v>
      </c>
      <c r="Y494">
        <v>1</v>
      </c>
      <c r="Z494" t="s">
        <v>46</v>
      </c>
      <c r="AA494">
        <v>3</v>
      </c>
      <c r="AB494" t="s">
        <v>48</v>
      </c>
      <c r="AC494">
        <v>2</v>
      </c>
      <c r="AD494" t="s">
        <v>48</v>
      </c>
      <c r="AE494">
        <v>0</v>
      </c>
      <c r="AF494" t="s">
        <v>49</v>
      </c>
    </row>
    <row r="495" spans="1:32" x14ac:dyDescent="0.25">
      <c r="A495">
        <v>44</v>
      </c>
      <c r="B495" t="s">
        <v>32</v>
      </c>
      <c r="C495" t="s">
        <v>50</v>
      </c>
      <c r="D495" t="s">
        <v>34</v>
      </c>
      <c r="E495" t="s">
        <v>77</v>
      </c>
      <c r="F495">
        <v>1</v>
      </c>
      <c r="G495" t="s">
        <v>36</v>
      </c>
      <c r="H495">
        <v>1</v>
      </c>
      <c r="I495" t="s">
        <v>37</v>
      </c>
      <c r="J495" t="s">
        <v>38</v>
      </c>
      <c r="K495">
        <v>2</v>
      </c>
      <c r="L495" t="s">
        <v>55</v>
      </c>
      <c r="M495">
        <v>2</v>
      </c>
      <c r="N495" t="s">
        <v>40</v>
      </c>
      <c r="O495" t="s">
        <v>77</v>
      </c>
      <c r="P495">
        <v>3</v>
      </c>
      <c r="Q495" t="s">
        <v>42</v>
      </c>
      <c r="R495" t="s">
        <v>43</v>
      </c>
      <c r="S495">
        <v>4</v>
      </c>
      <c r="T495" t="s">
        <v>44</v>
      </c>
      <c r="U495" t="s">
        <v>59</v>
      </c>
      <c r="V495">
        <v>11</v>
      </c>
      <c r="W495" t="s">
        <v>45</v>
      </c>
      <c r="X495">
        <v>10</v>
      </c>
      <c r="Y495">
        <v>4</v>
      </c>
      <c r="Z495" t="s">
        <v>61</v>
      </c>
      <c r="AA495">
        <v>2</v>
      </c>
      <c r="AB495" t="s">
        <v>48</v>
      </c>
      <c r="AC495">
        <v>2</v>
      </c>
      <c r="AD495" t="s">
        <v>48</v>
      </c>
      <c r="AE495">
        <v>0</v>
      </c>
      <c r="AF495" t="s">
        <v>49</v>
      </c>
    </row>
    <row r="496" spans="1:32" x14ac:dyDescent="0.25">
      <c r="A496">
        <v>34</v>
      </c>
      <c r="B496" t="s">
        <v>32</v>
      </c>
      <c r="C496" t="s">
        <v>50</v>
      </c>
      <c r="D496" t="s">
        <v>34</v>
      </c>
      <c r="E496" t="s">
        <v>35</v>
      </c>
      <c r="F496">
        <v>14</v>
      </c>
      <c r="G496" t="s">
        <v>53</v>
      </c>
      <c r="H496">
        <v>3</v>
      </c>
      <c r="I496" t="s">
        <v>42</v>
      </c>
      <c r="J496" t="s">
        <v>38</v>
      </c>
      <c r="K496">
        <v>3</v>
      </c>
      <c r="L496" t="s">
        <v>39</v>
      </c>
      <c r="M496">
        <v>1</v>
      </c>
      <c r="N496" t="s">
        <v>40</v>
      </c>
      <c r="O496" t="s">
        <v>75</v>
      </c>
      <c r="P496">
        <v>3</v>
      </c>
      <c r="Q496" t="s">
        <v>42</v>
      </c>
      <c r="R496" t="s">
        <v>67</v>
      </c>
      <c r="S496">
        <v>1</v>
      </c>
      <c r="T496" t="s">
        <v>44</v>
      </c>
      <c r="U496" t="s">
        <v>44</v>
      </c>
      <c r="V496">
        <v>18</v>
      </c>
      <c r="W496" t="s">
        <v>45</v>
      </c>
      <c r="X496">
        <v>8</v>
      </c>
      <c r="Y496">
        <v>3</v>
      </c>
      <c r="Z496" t="s">
        <v>61</v>
      </c>
      <c r="AA496">
        <v>8</v>
      </c>
      <c r="AB496" t="s">
        <v>47</v>
      </c>
      <c r="AC496">
        <v>2</v>
      </c>
      <c r="AD496" t="s">
        <v>48</v>
      </c>
      <c r="AE496">
        <v>0</v>
      </c>
      <c r="AF496" t="s">
        <v>49</v>
      </c>
    </row>
    <row r="497" spans="1:32" x14ac:dyDescent="0.25">
      <c r="A497">
        <v>27</v>
      </c>
      <c r="B497" t="s">
        <v>63</v>
      </c>
      <c r="C497" t="s">
        <v>33</v>
      </c>
      <c r="D497" t="s">
        <v>34</v>
      </c>
      <c r="E497" t="s">
        <v>35</v>
      </c>
      <c r="F497">
        <v>2</v>
      </c>
      <c r="G497" t="s">
        <v>36</v>
      </c>
      <c r="H497">
        <v>3</v>
      </c>
      <c r="I497" t="s">
        <v>42</v>
      </c>
      <c r="J497" t="s">
        <v>54</v>
      </c>
      <c r="K497">
        <v>3</v>
      </c>
      <c r="L497" t="s">
        <v>39</v>
      </c>
      <c r="M497">
        <v>1</v>
      </c>
      <c r="N497" t="s">
        <v>40</v>
      </c>
      <c r="O497" t="s">
        <v>75</v>
      </c>
      <c r="P497">
        <v>1</v>
      </c>
      <c r="Q497" t="s">
        <v>57</v>
      </c>
      <c r="R497" t="s">
        <v>67</v>
      </c>
      <c r="S497">
        <v>0</v>
      </c>
      <c r="T497" t="s">
        <v>44</v>
      </c>
      <c r="U497" t="s">
        <v>59</v>
      </c>
      <c r="V497">
        <v>11</v>
      </c>
      <c r="W497" t="s">
        <v>45</v>
      </c>
      <c r="X497">
        <v>5</v>
      </c>
      <c r="Y497">
        <v>3</v>
      </c>
      <c r="Z497" t="s">
        <v>61</v>
      </c>
      <c r="AA497">
        <v>4</v>
      </c>
      <c r="AB497" t="s">
        <v>48</v>
      </c>
      <c r="AC497">
        <v>3</v>
      </c>
      <c r="AD497" t="s">
        <v>48</v>
      </c>
      <c r="AE497">
        <v>0</v>
      </c>
      <c r="AF497" t="s">
        <v>49</v>
      </c>
    </row>
    <row r="498" spans="1:32" x14ac:dyDescent="0.25">
      <c r="A498">
        <v>21</v>
      </c>
      <c r="B498" t="s">
        <v>63</v>
      </c>
      <c r="C498" t="s">
        <v>50</v>
      </c>
      <c r="D498" t="s">
        <v>34</v>
      </c>
      <c r="E498" t="s">
        <v>35</v>
      </c>
      <c r="F498">
        <v>22</v>
      </c>
      <c r="G498" t="s">
        <v>66</v>
      </c>
      <c r="H498">
        <v>3</v>
      </c>
      <c r="I498" t="s">
        <v>42</v>
      </c>
      <c r="J498" t="s">
        <v>54</v>
      </c>
      <c r="K498">
        <v>3</v>
      </c>
      <c r="L498" t="s">
        <v>39</v>
      </c>
      <c r="M498">
        <v>1</v>
      </c>
      <c r="N498" t="s">
        <v>40</v>
      </c>
      <c r="O498" t="s">
        <v>75</v>
      </c>
      <c r="P498">
        <v>3</v>
      </c>
      <c r="Q498" t="s">
        <v>42</v>
      </c>
      <c r="R498" t="s">
        <v>43</v>
      </c>
      <c r="S498">
        <v>1</v>
      </c>
      <c r="T498" t="s">
        <v>44</v>
      </c>
      <c r="U498" t="s">
        <v>59</v>
      </c>
      <c r="V498">
        <v>11</v>
      </c>
      <c r="W498" t="s">
        <v>45</v>
      </c>
      <c r="X498">
        <v>3</v>
      </c>
      <c r="Y498">
        <v>3</v>
      </c>
      <c r="Z498" t="s">
        <v>61</v>
      </c>
      <c r="AA498">
        <v>3</v>
      </c>
      <c r="AB498" t="s">
        <v>48</v>
      </c>
      <c r="AC498">
        <v>2</v>
      </c>
      <c r="AD498" t="s">
        <v>48</v>
      </c>
      <c r="AE498">
        <v>1</v>
      </c>
      <c r="AF498" t="s">
        <v>49</v>
      </c>
    </row>
    <row r="499" spans="1:32" x14ac:dyDescent="0.25">
      <c r="A499">
        <v>44</v>
      </c>
      <c r="B499" t="s">
        <v>32</v>
      </c>
      <c r="C499" t="s">
        <v>50</v>
      </c>
      <c r="D499" t="s">
        <v>34</v>
      </c>
      <c r="E499" t="s">
        <v>52</v>
      </c>
      <c r="F499">
        <v>3</v>
      </c>
      <c r="G499" t="s">
        <v>36</v>
      </c>
      <c r="H499">
        <v>4</v>
      </c>
      <c r="I499" t="s">
        <v>42</v>
      </c>
      <c r="J499" t="s">
        <v>54</v>
      </c>
      <c r="K499">
        <v>3</v>
      </c>
      <c r="L499" t="s">
        <v>39</v>
      </c>
      <c r="M499">
        <v>5</v>
      </c>
      <c r="N499" t="s">
        <v>72</v>
      </c>
      <c r="O499" t="s">
        <v>73</v>
      </c>
      <c r="P499">
        <v>4</v>
      </c>
      <c r="Q499" t="s">
        <v>42</v>
      </c>
      <c r="R499" t="s">
        <v>58</v>
      </c>
      <c r="S499">
        <v>4</v>
      </c>
      <c r="T499" t="s">
        <v>44</v>
      </c>
      <c r="U499" t="s">
        <v>44</v>
      </c>
      <c r="V499">
        <v>12</v>
      </c>
      <c r="W499" t="s">
        <v>45</v>
      </c>
      <c r="X499">
        <v>26</v>
      </c>
      <c r="Y499">
        <v>4</v>
      </c>
      <c r="Z499" t="s">
        <v>61</v>
      </c>
      <c r="AA499">
        <v>2</v>
      </c>
      <c r="AB499" t="s">
        <v>48</v>
      </c>
      <c r="AC499">
        <v>2</v>
      </c>
      <c r="AD499" t="s">
        <v>48</v>
      </c>
      <c r="AE499">
        <v>0</v>
      </c>
      <c r="AF499" t="s">
        <v>49</v>
      </c>
    </row>
    <row r="500" spans="1:32" x14ac:dyDescent="0.25">
      <c r="A500">
        <v>22</v>
      </c>
      <c r="B500" t="s">
        <v>63</v>
      </c>
      <c r="C500" t="s">
        <v>50</v>
      </c>
      <c r="D500" t="s">
        <v>34</v>
      </c>
      <c r="E500" t="s">
        <v>52</v>
      </c>
      <c r="F500">
        <v>6</v>
      </c>
      <c r="G500" t="s">
        <v>53</v>
      </c>
      <c r="H500">
        <v>1</v>
      </c>
      <c r="I500" t="s">
        <v>37</v>
      </c>
      <c r="J500" t="s">
        <v>54</v>
      </c>
      <c r="K500">
        <v>3</v>
      </c>
      <c r="L500" t="s">
        <v>39</v>
      </c>
      <c r="M500">
        <v>1</v>
      </c>
      <c r="N500" t="s">
        <v>40</v>
      </c>
      <c r="O500" t="s">
        <v>56</v>
      </c>
      <c r="P500">
        <v>3</v>
      </c>
      <c r="Q500" t="s">
        <v>42</v>
      </c>
      <c r="R500" t="s">
        <v>58</v>
      </c>
      <c r="S500">
        <v>0</v>
      </c>
      <c r="T500" t="s">
        <v>44</v>
      </c>
      <c r="U500" t="s">
        <v>59</v>
      </c>
      <c r="V500">
        <v>20</v>
      </c>
      <c r="W500" t="s">
        <v>60</v>
      </c>
      <c r="X500">
        <v>3</v>
      </c>
      <c r="Y500">
        <v>3</v>
      </c>
      <c r="Z500" t="s">
        <v>61</v>
      </c>
      <c r="AA500">
        <v>2</v>
      </c>
      <c r="AB500" t="s">
        <v>48</v>
      </c>
      <c r="AC500">
        <v>2</v>
      </c>
      <c r="AD500" t="s">
        <v>48</v>
      </c>
      <c r="AE500">
        <v>2</v>
      </c>
      <c r="AF500" t="s">
        <v>49</v>
      </c>
    </row>
    <row r="501" spans="1:32" x14ac:dyDescent="0.25">
      <c r="A501">
        <v>33</v>
      </c>
      <c r="B501" t="s">
        <v>32</v>
      </c>
      <c r="C501" t="s">
        <v>50</v>
      </c>
      <c r="D501" t="s">
        <v>34</v>
      </c>
      <c r="E501" t="s">
        <v>35</v>
      </c>
      <c r="F501">
        <v>8</v>
      </c>
      <c r="G501" t="s">
        <v>53</v>
      </c>
      <c r="H501">
        <v>3</v>
      </c>
      <c r="I501" t="s">
        <v>42</v>
      </c>
      <c r="J501" t="s">
        <v>54</v>
      </c>
      <c r="K501">
        <v>3</v>
      </c>
      <c r="L501" t="s">
        <v>39</v>
      </c>
      <c r="M501">
        <v>2</v>
      </c>
      <c r="N501" t="s">
        <v>40</v>
      </c>
      <c r="O501" t="s">
        <v>41</v>
      </c>
      <c r="P501">
        <v>3</v>
      </c>
      <c r="Q501" t="s">
        <v>42</v>
      </c>
      <c r="R501" t="s">
        <v>67</v>
      </c>
      <c r="S501">
        <v>0</v>
      </c>
      <c r="T501" t="s">
        <v>44</v>
      </c>
      <c r="U501" t="s">
        <v>59</v>
      </c>
      <c r="V501">
        <v>12</v>
      </c>
      <c r="W501" t="s">
        <v>45</v>
      </c>
      <c r="X501">
        <v>6</v>
      </c>
      <c r="Y501">
        <v>3</v>
      </c>
      <c r="Z501" t="s">
        <v>61</v>
      </c>
      <c r="AA501">
        <v>5</v>
      </c>
      <c r="AB501" t="s">
        <v>47</v>
      </c>
      <c r="AC501">
        <v>0</v>
      </c>
      <c r="AD501" t="s">
        <v>48</v>
      </c>
      <c r="AE501">
        <v>1</v>
      </c>
      <c r="AF501" t="s">
        <v>49</v>
      </c>
    </row>
    <row r="502" spans="1:32" x14ac:dyDescent="0.25">
      <c r="A502">
        <v>32</v>
      </c>
      <c r="B502" t="s">
        <v>32</v>
      </c>
      <c r="C502" t="s">
        <v>50</v>
      </c>
      <c r="D502" t="s">
        <v>34</v>
      </c>
      <c r="E502" t="s">
        <v>52</v>
      </c>
      <c r="F502">
        <v>9</v>
      </c>
      <c r="G502" t="s">
        <v>53</v>
      </c>
      <c r="H502">
        <v>1</v>
      </c>
      <c r="I502" t="s">
        <v>37</v>
      </c>
      <c r="J502" t="s">
        <v>38</v>
      </c>
      <c r="K502">
        <v>3</v>
      </c>
      <c r="L502" t="s">
        <v>39</v>
      </c>
      <c r="M502">
        <v>2</v>
      </c>
      <c r="N502" t="s">
        <v>40</v>
      </c>
      <c r="O502" t="s">
        <v>56</v>
      </c>
      <c r="P502">
        <v>4</v>
      </c>
      <c r="Q502" t="s">
        <v>42</v>
      </c>
      <c r="R502" t="s">
        <v>58</v>
      </c>
      <c r="S502">
        <v>1</v>
      </c>
      <c r="T502" t="s">
        <v>44</v>
      </c>
      <c r="U502" t="s">
        <v>44</v>
      </c>
      <c r="V502">
        <v>12</v>
      </c>
      <c r="W502" t="s">
        <v>45</v>
      </c>
      <c r="X502">
        <v>6</v>
      </c>
      <c r="Y502">
        <v>2</v>
      </c>
      <c r="Z502" t="s">
        <v>46</v>
      </c>
      <c r="AA502">
        <v>6</v>
      </c>
      <c r="AB502" t="s">
        <v>47</v>
      </c>
      <c r="AC502">
        <v>4</v>
      </c>
      <c r="AD502" t="s">
        <v>48</v>
      </c>
      <c r="AE502">
        <v>0</v>
      </c>
      <c r="AF502" t="s">
        <v>49</v>
      </c>
    </row>
    <row r="503" spans="1:32" x14ac:dyDescent="0.25">
      <c r="A503">
        <v>30</v>
      </c>
      <c r="B503" t="s">
        <v>32</v>
      </c>
      <c r="C503" t="s">
        <v>50</v>
      </c>
      <c r="D503" t="s">
        <v>51</v>
      </c>
      <c r="E503" t="s">
        <v>52</v>
      </c>
      <c r="F503">
        <v>3</v>
      </c>
      <c r="G503" t="s">
        <v>36</v>
      </c>
      <c r="H503">
        <v>3</v>
      </c>
      <c r="I503" t="s">
        <v>42</v>
      </c>
      <c r="J503" t="s">
        <v>38</v>
      </c>
      <c r="K503">
        <v>3</v>
      </c>
      <c r="L503" t="s">
        <v>39</v>
      </c>
      <c r="M503">
        <v>1</v>
      </c>
      <c r="N503" t="s">
        <v>40</v>
      </c>
      <c r="O503" t="s">
        <v>56</v>
      </c>
      <c r="P503">
        <v>3</v>
      </c>
      <c r="Q503" t="s">
        <v>42</v>
      </c>
      <c r="R503" t="s">
        <v>67</v>
      </c>
      <c r="S503">
        <v>1</v>
      </c>
      <c r="T503" t="s">
        <v>44</v>
      </c>
      <c r="U503" t="s">
        <v>59</v>
      </c>
      <c r="V503">
        <v>20</v>
      </c>
      <c r="W503" t="s">
        <v>60</v>
      </c>
      <c r="X503">
        <v>1</v>
      </c>
      <c r="Y503">
        <v>3</v>
      </c>
      <c r="Z503" t="s">
        <v>61</v>
      </c>
      <c r="AA503">
        <v>1</v>
      </c>
      <c r="AB503" t="s">
        <v>48</v>
      </c>
      <c r="AC503">
        <v>0</v>
      </c>
      <c r="AD503" t="s">
        <v>48</v>
      </c>
      <c r="AE503">
        <v>0</v>
      </c>
      <c r="AF503" t="s">
        <v>49</v>
      </c>
    </row>
    <row r="504" spans="1:32" x14ac:dyDescent="0.25">
      <c r="A504">
        <v>53</v>
      </c>
      <c r="B504" t="s">
        <v>64</v>
      </c>
      <c r="C504" t="s">
        <v>50</v>
      </c>
      <c r="D504" t="s">
        <v>34</v>
      </c>
      <c r="E504" t="s">
        <v>35</v>
      </c>
      <c r="F504">
        <v>1</v>
      </c>
      <c r="G504" t="s">
        <v>36</v>
      </c>
      <c r="H504">
        <v>4</v>
      </c>
      <c r="I504" t="s">
        <v>42</v>
      </c>
      <c r="J504" t="s">
        <v>38</v>
      </c>
      <c r="K504">
        <v>3</v>
      </c>
      <c r="L504" t="s">
        <v>39</v>
      </c>
      <c r="M504">
        <v>2</v>
      </c>
      <c r="N504" t="s">
        <v>40</v>
      </c>
      <c r="O504" t="s">
        <v>41</v>
      </c>
      <c r="P504">
        <v>1</v>
      </c>
      <c r="Q504" t="s">
        <v>57</v>
      </c>
      <c r="R504" t="s">
        <v>43</v>
      </c>
      <c r="S504">
        <v>7</v>
      </c>
      <c r="T504" t="s">
        <v>44</v>
      </c>
      <c r="U504" t="s">
        <v>59</v>
      </c>
      <c r="V504">
        <v>20</v>
      </c>
      <c r="W504" t="s">
        <v>60</v>
      </c>
      <c r="X504">
        <v>18</v>
      </c>
      <c r="Y504">
        <v>4</v>
      </c>
      <c r="Z504" t="s">
        <v>61</v>
      </c>
      <c r="AA504">
        <v>14</v>
      </c>
      <c r="AB504" t="s">
        <v>74</v>
      </c>
      <c r="AC504">
        <v>7</v>
      </c>
      <c r="AD504" t="s">
        <v>47</v>
      </c>
      <c r="AE504">
        <v>8</v>
      </c>
      <c r="AF504" t="s">
        <v>71</v>
      </c>
    </row>
    <row r="505" spans="1:32" x14ac:dyDescent="0.25">
      <c r="A505">
        <v>34</v>
      </c>
      <c r="B505" t="s">
        <v>32</v>
      </c>
      <c r="C505" t="s">
        <v>50</v>
      </c>
      <c r="D505" t="s">
        <v>34</v>
      </c>
      <c r="E505" t="s">
        <v>52</v>
      </c>
      <c r="F505">
        <v>1</v>
      </c>
      <c r="G505" t="s">
        <v>36</v>
      </c>
      <c r="H505">
        <v>2</v>
      </c>
      <c r="I505" t="s">
        <v>37</v>
      </c>
      <c r="J505" t="s">
        <v>54</v>
      </c>
      <c r="K505">
        <v>3</v>
      </c>
      <c r="L505" t="s">
        <v>39</v>
      </c>
      <c r="M505">
        <v>1</v>
      </c>
      <c r="N505" t="s">
        <v>40</v>
      </c>
      <c r="O505" t="s">
        <v>56</v>
      </c>
      <c r="P505">
        <v>4</v>
      </c>
      <c r="Q505" t="s">
        <v>42</v>
      </c>
      <c r="R505" t="s">
        <v>58</v>
      </c>
      <c r="S505">
        <v>1</v>
      </c>
      <c r="T505" t="s">
        <v>44</v>
      </c>
      <c r="U505" t="s">
        <v>59</v>
      </c>
      <c r="V505">
        <v>12</v>
      </c>
      <c r="W505" t="s">
        <v>45</v>
      </c>
      <c r="X505">
        <v>10</v>
      </c>
      <c r="Y505">
        <v>2</v>
      </c>
      <c r="Z505" t="s">
        <v>46</v>
      </c>
      <c r="AA505">
        <v>10</v>
      </c>
      <c r="AB505" t="s">
        <v>47</v>
      </c>
      <c r="AC505">
        <v>9</v>
      </c>
      <c r="AD505" t="s">
        <v>47</v>
      </c>
      <c r="AE505">
        <v>8</v>
      </c>
      <c r="AF505" t="s">
        <v>71</v>
      </c>
    </row>
    <row r="506" spans="1:32" x14ac:dyDescent="0.25">
      <c r="A506">
        <v>45</v>
      </c>
      <c r="B506" t="s">
        <v>32</v>
      </c>
      <c r="C506" t="s">
        <v>33</v>
      </c>
      <c r="D506" t="s">
        <v>51</v>
      </c>
      <c r="E506" t="s">
        <v>35</v>
      </c>
      <c r="F506">
        <v>26</v>
      </c>
      <c r="G506" t="s">
        <v>66</v>
      </c>
      <c r="H506">
        <v>1</v>
      </c>
      <c r="I506" t="s">
        <v>37</v>
      </c>
      <c r="J506" t="s">
        <v>38</v>
      </c>
      <c r="K506">
        <v>3</v>
      </c>
      <c r="L506" t="s">
        <v>39</v>
      </c>
      <c r="M506">
        <v>2</v>
      </c>
      <c r="N506" t="s">
        <v>40</v>
      </c>
      <c r="O506" t="s">
        <v>41</v>
      </c>
      <c r="P506">
        <v>1</v>
      </c>
      <c r="Q506" t="s">
        <v>57</v>
      </c>
      <c r="R506" t="s">
        <v>58</v>
      </c>
      <c r="S506">
        <v>2</v>
      </c>
      <c r="T506" t="s">
        <v>44</v>
      </c>
      <c r="U506" t="s">
        <v>59</v>
      </c>
      <c r="V506">
        <v>14</v>
      </c>
      <c r="W506" t="s">
        <v>45</v>
      </c>
      <c r="X506">
        <v>5</v>
      </c>
      <c r="Y506">
        <v>3</v>
      </c>
      <c r="Z506" t="s">
        <v>61</v>
      </c>
      <c r="AA506">
        <v>1</v>
      </c>
      <c r="AB506" t="s">
        <v>48</v>
      </c>
      <c r="AC506">
        <v>1</v>
      </c>
      <c r="AD506" t="s">
        <v>48</v>
      </c>
      <c r="AE506">
        <v>0</v>
      </c>
      <c r="AF506" t="s">
        <v>49</v>
      </c>
    </row>
    <row r="507" spans="1:32" x14ac:dyDescent="0.25">
      <c r="A507">
        <v>26</v>
      </c>
      <c r="B507" t="s">
        <v>63</v>
      </c>
      <c r="C507" t="s">
        <v>50</v>
      </c>
      <c r="D507" t="s">
        <v>34</v>
      </c>
      <c r="E507" t="s">
        <v>52</v>
      </c>
      <c r="F507">
        <v>6</v>
      </c>
      <c r="G507" t="s">
        <v>53</v>
      </c>
      <c r="H507">
        <v>3</v>
      </c>
      <c r="I507" t="s">
        <v>42</v>
      </c>
      <c r="J507" t="s">
        <v>38</v>
      </c>
      <c r="K507">
        <v>3</v>
      </c>
      <c r="L507" t="s">
        <v>39</v>
      </c>
      <c r="M507">
        <v>1</v>
      </c>
      <c r="N507" t="s">
        <v>40</v>
      </c>
      <c r="O507" t="s">
        <v>62</v>
      </c>
      <c r="P507">
        <v>4</v>
      </c>
      <c r="Q507" t="s">
        <v>42</v>
      </c>
      <c r="R507" t="s">
        <v>58</v>
      </c>
      <c r="S507">
        <v>1</v>
      </c>
      <c r="T507" t="s">
        <v>44</v>
      </c>
      <c r="U507" t="s">
        <v>44</v>
      </c>
      <c r="V507">
        <v>13</v>
      </c>
      <c r="W507" t="s">
        <v>45</v>
      </c>
      <c r="X507">
        <v>3</v>
      </c>
      <c r="Y507">
        <v>3</v>
      </c>
      <c r="Z507" t="s">
        <v>61</v>
      </c>
      <c r="AA507">
        <v>3</v>
      </c>
      <c r="AB507" t="s">
        <v>48</v>
      </c>
      <c r="AC507">
        <v>2</v>
      </c>
      <c r="AD507" t="s">
        <v>48</v>
      </c>
      <c r="AE507">
        <v>0</v>
      </c>
      <c r="AF507" t="s">
        <v>49</v>
      </c>
    </row>
    <row r="508" spans="1:32" x14ac:dyDescent="0.25">
      <c r="A508">
        <v>37</v>
      </c>
      <c r="B508" t="s">
        <v>32</v>
      </c>
      <c r="C508" t="s">
        <v>50</v>
      </c>
      <c r="D508" t="s">
        <v>34</v>
      </c>
      <c r="E508" t="s">
        <v>52</v>
      </c>
      <c r="F508">
        <v>3</v>
      </c>
      <c r="G508" t="s">
        <v>36</v>
      </c>
      <c r="H508">
        <v>3</v>
      </c>
      <c r="I508" t="s">
        <v>42</v>
      </c>
      <c r="J508" t="s">
        <v>54</v>
      </c>
      <c r="K508">
        <v>3</v>
      </c>
      <c r="L508" t="s">
        <v>39</v>
      </c>
      <c r="M508">
        <v>3</v>
      </c>
      <c r="N508" t="s">
        <v>68</v>
      </c>
      <c r="O508" t="s">
        <v>69</v>
      </c>
      <c r="P508">
        <v>3</v>
      </c>
      <c r="Q508" t="s">
        <v>42</v>
      </c>
      <c r="R508" t="s">
        <v>58</v>
      </c>
      <c r="S508">
        <v>1</v>
      </c>
      <c r="T508" t="s">
        <v>44</v>
      </c>
      <c r="U508" t="s">
        <v>59</v>
      </c>
      <c r="V508">
        <v>15</v>
      </c>
      <c r="W508" t="s">
        <v>45</v>
      </c>
      <c r="X508">
        <v>10</v>
      </c>
      <c r="Y508">
        <v>3</v>
      </c>
      <c r="Z508" t="s">
        <v>61</v>
      </c>
      <c r="AA508">
        <v>10</v>
      </c>
      <c r="AB508" t="s">
        <v>47</v>
      </c>
      <c r="AC508">
        <v>7</v>
      </c>
      <c r="AD508" t="s">
        <v>47</v>
      </c>
      <c r="AE508">
        <v>7</v>
      </c>
      <c r="AF508" t="s">
        <v>71</v>
      </c>
    </row>
    <row r="509" spans="1:32" x14ac:dyDescent="0.25">
      <c r="A509">
        <v>29</v>
      </c>
      <c r="B509" t="s">
        <v>63</v>
      </c>
      <c r="C509" t="s">
        <v>50</v>
      </c>
      <c r="D509" t="s">
        <v>34</v>
      </c>
      <c r="E509" t="s">
        <v>35</v>
      </c>
      <c r="F509">
        <v>3</v>
      </c>
      <c r="G509" t="s">
        <v>36</v>
      </c>
      <c r="H509">
        <v>2</v>
      </c>
      <c r="I509" t="s">
        <v>37</v>
      </c>
      <c r="J509" t="s">
        <v>38</v>
      </c>
      <c r="K509">
        <v>3</v>
      </c>
      <c r="L509" t="s">
        <v>39</v>
      </c>
      <c r="M509">
        <v>2</v>
      </c>
      <c r="N509" t="s">
        <v>40</v>
      </c>
      <c r="O509" t="s">
        <v>41</v>
      </c>
      <c r="P509">
        <v>3</v>
      </c>
      <c r="Q509" t="s">
        <v>42</v>
      </c>
      <c r="R509" t="s">
        <v>58</v>
      </c>
      <c r="S509">
        <v>1</v>
      </c>
      <c r="T509" t="s">
        <v>44</v>
      </c>
      <c r="U509" t="s">
        <v>59</v>
      </c>
      <c r="V509">
        <v>14</v>
      </c>
      <c r="W509" t="s">
        <v>45</v>
      </c>
      <c r="X509">
        <v>6</v>
      </c>
      <c r="Y509">
        <v>2</v>
      </c>
      <c r="Z509" t="s">
        <v>46</v>
      </c>
      <c r="AA509">
        <v>6</v>
      </c>
      <c r="AB509" t="s">
        <v>47</v>
      </c>
      <c r="AC509">
        <v>0</v>
      </c>
      <c r="AD509" t="s">
        <v>48</v>
      </c>
      <c r="AE509">
        <v>1</v>
      </c>
      <c r="AF509" t="s">
        <v>49</v>
      </c>
    </row>
    <row r="510" spans="1:32" x14ac:dyDescent="0.25">
      <c r="A510">
        <v>35</v>
      </c>
      <c r="B510" t="s">
        <v>32</v>
      </c>
      <c r="C510" t="s">
        <v>50</v>
      </c>
      <c r="D510" t="s">
        <v>34</v>
      </c>
      <c r="E510" t="s">
        <v>52</v>
      </c>
      <c r="F510">
        <v>6</v>
      </c>
      <c r="G510" t="s">
        <v>53</v>
      </c>
      <c r="H510">
        <v>2</v>
      </c>
      <c r="I510" t="s">
        <v>37</v>
      </c>
      <c r="J510" t="s">
        <v>54</v>
      </c>
      <c r="K510">
        <v>1</v>
      </c>
      <c r="L510" t="s">
        <v>55</v>
      </c>
      <c r="M510">
        <v>2</v>
      </c>
      <c r="N510" t="s">
        <v>40</v>
      </c>
      <c r="O510" t="s">
        <v>56</v>
      </c>
      <c r="P510">
        <v>4</v>
      </c>
      <c r="Q510" t="s">
        <v>42</v>
      </c>
      <c r="R510" t="s">
        <v>43</v>
      </c>
      <c r="S510">
        <v>1</v>
      </c>
      <c r="T510" t="s">
        <v>44</v>
      </c>
      <c r="U510" t="s">
        <v>59</v>
      </c>
      <c r="V510">
        <v>13</v>
      </c>
      <c r="W510" t="s">
        <v>45</v>
      </c>
      <c r="X510">
        <v>17</v>
      </c>
      <c r="Y510">
        <v>3</v>
      </c>
      <c r="Z510" t="s">
        <v>61</v>
      </c>
      <c r="AA510">
        <v>17</v>
      </c>
      <c r="AB510" t="s">
        <v>74</v>
      </c>
      <c r="AC510">
        <v>11</v>
      </c>
      <c r="AD510" t="s">
        <v>74</v>
      </c>
      <c r="AE510">
        <v>11</v>
      </c>
      <c r="AF510" t="s">
        <v>71</v>
      </c>
    </row>
    <row r="511" spans="1:32" x14ac:dyDescent="0.25">
      <c r="A511">
        <v>33</v>
      </c>
      <c r="B511" t="s">
        <v>32</v>
      </c>
      <c r="C511" t="s">
        <v>50</v>
      </c>
      <c r="D511" t="s">
        <v>51</v>
      </c>
      <c r="E511" t="s">
        <v>52</v>
      </c>
      <c r="F511">
        <v>6</v>
      </c>
      <c r="G511" t="s">
        <v>53</v>
      </c>
      <c r="H511">
        <v>3</v>
      </c>
      <c r="I511" t="s">
        <v>42</v>
      </c>
      <c r="J511" t="s">
        <v>54</v>
      </c>
      <c r="K511">
        <v>3</v>
      </c>
      <c r="L511" t="s">
        <v>39</v>
      </c>
      <c r="M511">
        <v>2</v>
      </c>
      <c r="N511" t="s">
        <v>40</v>
      </c>
      <c r="O511" t="s">
        <v>70</v>
      </c>
      <c r="P511">
        <v>4</v>
      </c>
      <c r="Q511" t="s">
        <v>42</v>
      </c>
      <c r="R511" t="s">
        <v>67</v>
      </c>
      <c r="S511">
        <v>3</v>
      </c>
      <c r="T511" t="s">
        <v>44</v>
      </c>
      <c r="U511" t="s">
        <v>59</v>
      </c>
      <c r="V511">
        <v>23</v>
      </c>
      <c r="W511" t="s">
        <v>60</v>
      </c>
      <c r="X511">
        <v>15</v>
      </c>
      <c r="Y511">
        <v>1</v>
      </c>
      <c r="Z511" t="s">
        <v>46</v>
      </c>
      <c r="AA511">
        <v>13</v>
      </c>
      <c r="AB511" t="s">
        <v>74</v>
      </c>
      <c r="AC511">
        <v>11</v>
      </c>
      <c r="AD511" t="s">
        <v>74</v>
      </c>
      <c r="AE511">
        <v>4</v>
      </c>
      <c r="AF511" t="s">
        <v>71</v>
      </c>
    </row>
    <row r="512" spans="1:32" x14ac:dyDescent="0.25">
      <c r="A512">
        <v>54</v>
      </c>
      <c r="B512" t="s">
        <v>64</v>
      </c>
      <c r="C512" t="s">
        <v>50</v>
      </c>
      <c r="D512" t="s">
        <v>34</v>
      </c>
      <c r="E512" t="s">
        <v>77</v>
      </c>
      <c r="F512">
        <v>19</v>
      </c>
      <c r="G512" t="s">
        <v>66</v>
      </c>
      <c r="H512">
        <v>3</v>
      </c>
      <c r="I512" t="s">
        <v>42</v>
      </c>
      <c r="J512" t="s">
        <v>54</v>
      </c>
      <c r="K512">
        <v>3</v>
      </c>
      <c r="L512" t="s">
        <v>39</v>
      </c>
      <c r="M512">
        <v>3</v>
      </c>
      <c r="N512" t="s">
        <v>68</v>
      </c>
      <c r="O512" t="s">
        <v>77</v>
      </c>
      <c r="P512">
        <v>2</v>
      </c>
      <c r="Q512" t="s">
        <v>57</v>
      </c>
      <c r="R512" t="s">
        <v>58</v>
      </c>
      <c r="S512">
        <v>2</v>
      </c>
      <c r="T512" t="s">
        <v>44</v>
      </c>
      <c r="U512" t="s">
        <v>59</v>
      </c>
      <c r="V512">
        <v>15</v>
      </c>
      <c r="W512" t="s">
        <v>45</v>
      </c>
      <c r="X512">
        <v>16</v>
      </c>
      <c r="Y512">
        <v>4</v>
      </c>
      <c r="Z512" t="s">
        <v>61</v>
      </c>
      <c r="AA512">
        <v>9</v>
      </c>
      <c r="AB512" t="s">
        <v>47</v>
      </c>
      <c r="AC512">
        <v>7</v>
      </c>
      <c r="AD512" t="s">
        <v>47</v>
      </c>
      <c r="AE512">
        <v>7</v>
      </c>
      <c r="AF512" t="s">
        <v>71</v>
      </c>
    </row>
    <row r="513" spans="1:32" x14ac:dyDescent="0.25">
      <c r="A513">
        <v>36</v>
      </c>
      <c r="B513" t="s">
        <v>32</v>
      </c>
      <c r="C513" t="s">
        <v>50</v>
      </c>
      <c r="D513" t="s">
        <v>34</v>
      </c>
      <c r="E513" t="s">
        <v>52</v>
      </c>
      <c r="F513">
        <v>9</v>
      </c>
      <c r="G513" t="s">
        <v>53</v>
      </c>
      <c r="H513">
        <v>2</v>
      </c>
      <c r="I513" t="s">
        <v>37</v>
      </c>
      <c r="J513" t="s">
        <v>54</v>
      </c>
      <c r="K513">
        <v>2</v>
      </c>
      <c r="L513" t="s">
        <v>55</v>
      </c>
      <c r="M513">
        <v>2</v>
      </c>
      <c r="N513" t="s">
        <v>40</v>
      </c>
      <c r="O513" t="s">
        <v>69</v>
      </c>
      <c r="P513">
        <v>2</v>
      </c>
      <c r="Q513" t="s">
        <v>57</v>
      </c>
      <c r="R513" t="s">
        <v>67</v>
      </c>
      <c r="S513">
        <v>2</v>
      </c>
      <c r="T513" t="s">
        <v>44</v>
      </c>
      <c r="U513" t="s">
        <v>44</v>
      </c>
      <c r="V513">
        <v>11</v>
      </c>
      <c r="W513" t="s">
        <v>45</v>
      </c>
      <c r="X513">
        <v>13</v>
      </c>
      <c r="Y513">
        <v>3</v>
      </c>
      <c r="Z513" t="s">
        <v>61</v>
      </c>
      <c r="AA513">
        <v>3</v>
      </c>
      <c r="AB513" t="s">
        <v>48</v>
      </c>
      <c r="AC513">
        <v>2</v>
      </c>
      <c r="AD513" t="s">
        <v>48</v>
      </c>
      <c r="AE513">
        <v>0</v>
      </c>
      <c r="AF513" t="s">
        <v>49</v>
      </c>
    </row>
    <row r="514" spans="1:32" x14ac:dyDescent="0.25">
      <c r="A514">
        <v>27</v>
      </c>
      <c r="B514" t="s">
        <v>63</v>
      </c>
      <c r="C514" t="s">
        <v>50</v>
      </c>
      <c r="D514" t="s">
        <v>34</v>
      </c>
      <c r="E514" t="s">
        <v>52</v>
      </c>
      <c r="F514">
        <v>3</v>
      </c>
      <c r="G514" t="s">
        <v>36</v>
      </c>
      <c r="H514">
        <v>1</v>
      </c>
      <c r="I514" t="s">
        <v>37</v>
      </c>
      <c r="J514" t="s">
        <v>54</v>
      </c>
      <c r="K514">
        <v>2</v>
      </c>
      <c r="L514" t="s">
        <v>55</v>
      </c>
      <c r="M514">
        <v>1</v>
      </c>
      <c r="N514" t="s">
        <v>40</v>
      </c>
      <c r="O514" t="s">
        <v>56</v>
      </c>
      <c r="P514">
        <v>4</v>
      </c>
      <c r="Q514" t="s">
        <v>42</v>
      </c>
      <c r="R514" t="s">
        <v>43</v>
      </c>
      <c r="S514">
        <v>0</v>
      </c>
      <c r="T514" t="s">
        <v>44</v>
      </c>
      <c r="U514" t="s">
        <v>59</v>
      </c>
      <c r="V514">
        <v>13</v>
      </c>
      <c r="W514" t="s">
        <v>45</v>
      </c>
      <c r="X514">
        <v>5</v>
      </c>
      <c r="Y514">
        <v>3</v>
      </c>
      <c r="Z514" t="s">
        <v>61</v>
      </c>
      <c r="AA514">
        <v>4</v>
      </c>
      <c r="AB514" t="s">
        <v>48</v>
      </c>
      <c r="AC514">
        <v>2</v>
      </c>
      <c r="AD514" t="s">
        <v>48</v>
      </c>
      <c r="AE514">
        <v>1</v>
      </c>
      <c r="AF514" t="s">
        <v>49</v>
      </c>
    </row>
    <row r="515" spans="1:32" x14ac:dyDescent="0.25">
      <c r="A515">
        <v>20</v>
      </c>
      <c r="B515" t="s">
        <v>63</v>
      </c>
      <c r="C515" t="s">
        <v>33</v>
      </c>
      <c r="D515" t="s">
        <v>34</v>
      </c>
      <c r="E515" t="s">
        <v>52</v>
      </c>
      <c r="F515">
        <v>10</v>
      </c>
      <c r="G515" t="s">
        <v>53</v>
      </c>
      <c r="H515">
        <v>4</v>
      </c>
      <c r="I515" t="s">
        <v>42</v>
      </c>
      <c r="J515" t="s">
        <v>54</v>
      </c>
      <c r="K515">
        <v>3</v>
      </c>
      <c r="L515" t="s">
        <v>39</v>
      </c>
      <c r="M515">
        <v>1</v>
      </c>
      <c r="N515" t="s">
        <v>40</v>
      </c>
      <c r="O515" t="s">
        <v>56</v>
      </c>
      <c r="P515">
        <v>3</v>
      </c>
      <c r="Q515" t="s">
        <v>42</v>
      </c>
      <c r="R515" t="s">
        <v>43</v>
      </c>
      <c r="S515">
        <v>1</v>
      </c>
      <c r="T515" t="s">
        <v>44</v>
      </c>
      <c r="U515" t="s">
        <v>44</v>
      </c>
      <c r="V515">
        <v>11</v>
      </c>
      <c r="W515" t="s">
        <v>45</v>
      </c>
      <c r="X515">
        <v>1</v>
      </c>
      <c r="Y515">
        <v>3</v>
      </c>
      <c r="Z515" t="s">
        <v>61</v>
      </c>
      <c r="AA515">
        <v>1</v>
      </c>
      <c r="AB515" t="s">
        <v>48</v>
      </c>
      <c r="AC515">
        <v>0</v>
      </c>
      <c r="AD515" t="s">
        <v>48</v>
      </c>
      <c r="AE515">
        <v>1</v>
      </c>
      <c r="AF515" t="s">
        <v>49</v>
      </c>
    </row>
    <row r="516" spans="1:32" x14ac:dyDescent="0.25">
      <c r="A516">
        <v>33</v>
      </c>
      <c r="B516" t="s">
        <v>32</v>
      </c>
      <c r="C516" t="s">
        <v>33</v>
      </c>
      <c r="D516" t="s">
        <v>51</v>
      </c>
      <c r="E516" t="s">
        <v>52</v>
      </c>
      <c r="F516">
        <v>3</v>
      </c>
      <c r="G516" t="s">
        <v>36</v>
      </c>
      <c r="H516">
        <v>1</v>
      </c>
      <c r="I516" t="s">
        <v>37</v>
      </c>
      <c r="J516" t="s">
        <v>54</v>
      </c>
      <c r="K516">
        <v>3</v>
      </c>
      <c r="L516" t="s">
        <v>39</v>
      </c>
      <c r="M516">
        <v>1</v>
      </c>
      <c r="N516" t="s">
        <v>40</v>
      </c>
      <c r="O516" t="s">
        <v>56</v>
      </c>
      <c r="P516">
        <v>1</v>
      </c>
      <c r="Q516" t="s">
        <v>57</v>
      </c>
      <c r="R516" t="s">
        <v>43</v>
      </c>
      <c r="S516">
        <v>1</v>
      </c>
      <c r="T516" t="s">
        <v>44</v>
      </c>
      <c r="U516" t="s">
        <v>44</v>
      </c>
      <c r="V516">
        <v>11</v>
      </c>
      <c r="W516" t="s">
        <v>45</v>
      </c>
      <c r="X516">
        <v>10</v>
      </c>
      <c r="Y516">
        <v>3</v>
      </c>
      <c r="Z516" t="s">
        <v>61</v>
      </c>
      <c r="AA516">
        <v>10</v>
      </c>
      <c r="AB516" t="s">
        <v>47</v>
      </c>
      <c r="AC516">
        <v>8</v>
      </c>
      <c r="AD516" t="s">
        <v>47</v>
      </c>
      <c r="AE516">
        <v>9</v>
      </c>
      <c r="AF516" t="s">
        <v>71</v>
      </c>
    </row>
    <row r="517" spans="1:32" x14ac:dyDescent="0.25">
      <c r="A517">
        <v>35</v>
      </c>
      <c r="B517" t="s">
        <v>32</v>
      </c>
      <c r="C517" t="s">
        <v>50</v>
      </c>
      <c r="D517" t="s">
        <v>34</v>
      </c>
      <c r="E517" t="s">
        <v>52</v>
      </c>
      <c r="F517">
        <v>3</v>
      </c>
      <c r="G517" t="s">
        <v>36</v>
      </c>
      <c r="H517">
        <v>3</v>
      </c>
      <c r="I517" t="s">
        <v>42</v>
      </c>
      <c r="J517" t="s">
        <v>54</v>
      </c>
      <c r="K517">
        <v>2</v>
      </c>
      <c r="L517" t="s">
        <v>55</v>
      </c>
      <c r="M517">
        <v>1</v>
      </c>
      <c r="N517" t="s">
        <v>40</v>
      </c>
      <c r="O517" t="s">
        <v>62</v>
      </c>
      <c r="P517">
        <v>3</v>
      </c>
      <c r="Q517" t="s">
        <v>42</v>
      </c>
      <c r="R517" t="s">
        <v>58</v>
      </c>
      <c r="S517">
        <v>1</v>
      </c>
      <c r="T517" t="s">
        <v>44</v>
      </c>
      <c r="U517" t="s">
        <v>59</v>
      </c>
      <c r="V517">
        <v>18</v>
      </c>
      <c r="W517" t="s">
        <v>45</v>
      </c>
      <c r="X517">
        <v>1</v>
      </c>
      <c r="Y517">
        <v>3</v>
      </c>
      <c r="Z517" t="s">
        <v>61</v>
      </c>
      <c r="AA517">
        <v>1</v>
      </c>
      <c r="AB517" t="s">
        <v>48</v>
      </c>
      <c r="AC517">
        <v>0</v>
      </c>
      <c r="AD517" t="s">
        <v>48</v>
      </c>
      <c r="AE517">
        <v>0</v>
      </c>
      <c r="AF517" t="s">
        <v>49</v>
      </c>
    </row>
    <row r="518" spans="1:32" x14ac:dyDescent="0.25">
      <c r="A518">
        <v>23</v>
      </c>
      <c r="B518" t="s">
        <v>63</v>
      </c>
      <c r="C518" t="s">
        <v>50</v>
      </c>
      <c r="D518" t="s">
        <v>34</v>
      </c>
      <c r="E518" t="s">
        <v>52</v>
      </c>
      <c r="F518">
        <v>4</v>
      </c>
      <c r="G518" t="s">
        <v>36</v>
      </c>
      <c r="H518">
        <v>1</v>
      </c>
      <c r="I518" t="s">
        <v>37</v>
      </c>
      <c r="J518" t="s">
        <v>54</v>
      </c>
      <c r="K518">
        <v>4</v>
      </c>
      <c r="L518" t="s">
        <v>65</v>
      </c>
      <c r="M518">
        <v>1</v>
      </c>
      <c r="N518" t="s">
        <v>40</v>
      </c>
      <c r="O518" t="s">
        <v>56</v>
      </c>
      <c r="P518">
        <v>1</v>
      </c>
      <c r="Q518" t="s">
        <v>57</v>
      </c>
      <c r="R518" t="s">
        <v>58</v>
      </c>
      <c r="S518">
        <v>2</v>
      </c>
      <c r="T518" t="s">
        <v>44</v>
      </c>
      <c r="U518" t="s">
        <v>59</v>
      </c>
      <c r="V518">
        <v>16</v>
      </c>
      <c r="W518" t="s">
        <v>45</v>
      </c>
      <c r="X518">
        <v>5</v>
      </c>
      <c r="Y518">
        <v>4</v>
      </c>
      <c r="Z518" t="s">
        <v>61</v>
      </c>
      <c r="AA518">
        <v>3</v>
      </c>
      <c r="AB518" t="s">
        <v>48</v>
      </c>
      <c r="AC518">
        <v>2</v>
      </c>
      <c r="AD518" t="s">
        <v>48</v>
      </c>
      <c r="AE518">
        <v>0</v>
      </c>
      <c r="AF518" t="s">
        <v>49</v>
      </c>
    </row>
    <row r="519" spans="1:32" x14ac:dyDescent="0.25">
      <c r="A519">
        <v>25</v>
      </c>
      <c r="B519" t="s">
        <v>63</v>
      </c>
      <c r="C519" t="s">
        <v>50</v>
      </c>
      <c r="D519" t="s">
        <v>34</v>
      </c>
      <c r="E519" t="s">
        <v>35</v>
      </c>
      <c r="F519">
        <v>8</v>
      </c>
      <c r="G519" t="s">
        <v>53</v>
      </c>
      <c r="H519">
        <v>4</v>
      </c>
      <c r="I519" t="s">
        <v>42</v>
      </c>
      <c r="J519" t="s">
        <v>54</v>
      </c>
      <c r="K519">
        <v>4</v>
      </c>
      <c r="L519" t="s">
        <v>65</v>
      </c>
      <c r="M519">
        <v>2</v>
      </c>
      <c r="N519" t="s">
        <v>40</v>
      </c>
      <c r="O519" t="s">
        <v>41</v>
      </c>
      <c r="P519">
        <v>2</v>
      </c>
      <c r="Q519" t="s">
        <v>57</v>
      </c>
      <c r="R519" t="s">
        <v>58</v>
      </c>
      <c r="S519">
        <v>0</v>
      </c>
      <c r="T519" t="s">
        <v>44</v>
      </c>
      <c r="U519" t="s">
        <v>59</v>
      </c>
      <c r="V519">
        <v>22</v>
      </c>
      <c r="W519" t="s">
        <v>60</v>
      </c>
      <c r="X519">
        <v>4</v>
      </c>
      <c r="Y519">
        <v>3</v>
      </c>
      <c r="Z519" t="s">
        <v>61</v>
      </c>
      <c r="AA519">
        <v>3</v>
      </c>
      <c r="AB519" t="s">
        <v>48</v>
      </c>
      <c r="AC519">
        <v>2</v>
      </c>
      <c r="AD519" t="s">
        <v>48</v>
      </c>
      <c r="AE519">
        <v>1</v>
      </c>
      <c r="AF519" t="s">
        <v>49</v>
      </c>
    </row>
    <row r="520" spans="1:32" x14ac:dyDescent="0.25">
      <c r="A520">
        <v>38</v>
      </c>
      <c r="B520" t="s">
        <v>32</v>
      </c>
      <c r="C520" t="s">
        <v>50</v>
      </c>
      <c r="D520" t="s">
        <v>34</v>
      </c>
      <c r="E520" t="s">
        <v>35</v>
      </c>
      <c r="F520">
        <v>7</v>
      </c>
      <c r="G520" t="s">
        <v>53</v>
      </c>
      <c r="H520">
        <v>4</v>
      </c>
      <c r="I520" t="s">
        <v>42</v>
      </c>
      <c r="J520" t="s">
        <v>38</v>
      </c>
      <c r="K520">
        <v>2</v>
      </c>
      <c r="L520" t="s">
        <v>55</v>
      </c>
      <c r="M520">
        <v>2</v>
      </c>
      <c r="N520" t="s">
        <v>40</v>
      </c>
      <c r="O520" t="s">
        <v>41</v>
      </c>
      <c r="P520">
        <v>4</v>
      </c>
      <c r="Q520" t="s">
        <v>42</v>
      </c>
      <c r="R520" t="s">
        <v>43</v>
      </c>
      <c r="S520">
        <v>0</v>
      </c>
      <c r="T520" t="s">
        <v>44</v>
      </c>
      <c r="U520" t="s">
        <v>59</v>
      </c>
      <c r="V520">
        <v>20</v>
      </c>
      <c r="W520" t="s">
        <v>60</v>
      </c>
      <c r="X520">
        <v>8</v>
      </c>
      <c r="Y520">
        <v>3</v>
      </c>
      <c r="Z520" t="s">
        <v>61</v>
      </c>
      <c r="AA520">
        <v>7</v>
      </c>
      <c r="AB520" t="s">
        <v>47</v>
      </c>
      <c r="AC520">
        <v>7</v>
      </c>
      <c r="AD520" t="s">
        <v>47</v>
      </c>
      <c r="AE520">
        <v>0</v>
      </c>
      <c r="AF520" t="s">
        <v>49</v>
      </c>
    </row>
    <row r="521" spans="1:32" x14ac:dyDescent="0.25">
      <c r="A521">
        <v>29</v>
      </c>
      <c r="B521" t="s">
        <v>63</v>
      </c>
      <c r="C521" t="s">
        <v>50</v>
      </c>
      <c r="D521" t="s">
        <v>51</v>
      </c>
      <c r="E521" t="s">
        <v>52</v>
      </c>
      <c r="F521">
        <v>1</v>
      </c>
      <c r="G521" t="s">
        <v>36</v>
      </c>
      <c r="H521">
        <v>2</v>
      </c>
      <c r="I521" t="s">
        <v>37</v>
      </c>
      <c r="J521" t="s">
        <v>54</v>
      </c>
      <c r="K521">
        <v>1</v>
      </c>
      <c r="L521" t="s">
        <v>55</v>
      </c>
      <c r="M521">
        <v>1</v>
      </c>
      <c r="N521" t="s">
        <v>40</v>
      </c>
      <c r="O521" t="s">
        <v>56</v>
      </c>
      <c r="P521">
        <v>4</v>
      </c>
      <c r="Q521" t="s">
        <v>42</v>
      </c>
      <c r="R521" t="s">
        <v>67</v>
      </c>
      <c r="S521">
        <v>1</v>
      </c>
      <c r="T521" t="s">
        <v>44</v>
      </c>
      <c r="U521" t="s">
        <v>59</v>
      </c>
      <c r="V521">
        <v>18</v>
      </c>
      <c r="W521" t="s">
        <v>45</v>
      </c>
      <c r="X521">
        <v>10</v>
      </c>
      <c r="Y521">
        <v>3</v>
      </c>
      <c r="Z521" t="s">
        <v>61</v>
      </c>
      <c r="AA521">
        <v>10</v>
      </c>
      <c r="AB521" t="s">
        <v>47</v>
      </c>
      <c r="AC521">
        <v>7</v>
      </c>
      <c r="AD521" t="s">
        <v>47</v>
      </c>
      <c r="AE521">
        <v>2</v>
      </c>
      <c r="AF521" t="s">
        <v>49</v>
      </c>
    </row>
    <row r="522" spans="1:32" x14ac:dyDescent="0.25">
      <c r="A522">
        <v>48</v>
      </c>
      <c r="B522" t="s">
        <v>32</v>
      </c>
      <c r="C522" t="s">
        <v>50</v>
      </c>
      <c r="D522" t="s">
        <v>34</v>
      </c>
      <c r="E522" t="s">
        <v>35</v>
      </c>
      <c r="F522">
        <v>2</v>
      </c>
      <c r="G522" t="s">
        <v>36</v>
      </c>
      <c r="H522">
        <v>2</v>
      </c>
      <c r="I522" t="s">
        <v>37</v>
      </c>
      <c r="J522" t="s">
        <v>54</v>
      </c>
      <c r="K522">
        <v>4</v>
      </c>
      <c r="L522" t="s">
        <v>65</v>
      </c>
      <c r="M522">
        <v>2</v>
      </c>
      <c r="N522" t="s">
        <v>40</v>
      </c>
      <c r="O522" t="s">
        <v>41</v>
      </c>
      <c r="P522">
        <v>2</v>
      </c>
      <c r="Q522" t="s">
        <v>57</v>
      </c>
      <c r="R522" t="s">
        <v>58</v>
      </c>
      <c r="S522">
        <v>3</v>
      </c>
      <c r="T522" t="s">
        <v>44</v>
      </c>
      <c r="U522" t="s">
        <v>59</v>
      </c>
      <c r="V522">
        <v>12</v>
      </c>
      <c r="W522" t="s">
        <v>45</v>
      </c>
      <c r="X522">
        <v>12</v>
      </c>
      <c r="Y522">
        <v>3</v>
      </c>
      <c r="Z522" t="s">
        <v>61</v>
      </c>
      <c r="AA522">
        <v>2</v>
      </c>
      <c r="AB522" t="s">
        <v>48</v>
      </c>
      <c r="AC522">
        <v>2</v>
      </c>
      <c r="AD522" t="s">
        <v>48</v>
      </c>
      <c r="AE522">
        <v>2</v>
      </c>
      <c r="AF522" t="s">
        <v>49</v>
      </c>
    </row>
    <row r="523" spans="1:32" x14ac:dyDescent="0.25">
      <c r="A523">
        <v>27</v>
      </c>
      <c r="B523" t="s">
        <v>63</v>
      </c>
      <c r="C523" t="s">
        <v>50</v>
      </c>
      <c r="D523" t="s">
        <v>51</v>
      </c>
      <c r="E523" t="s">
        <v>35</v>
      </c>
      <c r="F523">
        <v>3</v>
      </c>
      <c r="G523" t="s">
        <v>36</v>
      </c>
      <c r="H523">
        <v>4</v>
      </c>
      <c r="I523" t="s">
        <v>42</v>
      </c>
      <c r="J523" t="s">
        <v>38</v>
      </c>
      <c r="K523">
        <v>4</v>
      </c>
      <c r="L523" t="s">
        <v>65</v>
      </c>
      <c r="M523">
        <v>2</v>
      </c>
      <c r="N523" t="s">
        <v>40</v>
      </c>
      <c r="O523" t="s">
        <v>41</v>
      </c>
      <c r="P523">
        <v>4</v>
      </c>
      <c r="Q523" t="s">
        <v>42</v>
      </c>
      <c r="R523" t="s">
        <v>67</v>
      </c>
      <c r="S523">
        <v>1</v>
      </c>
      <c r="T523" t="s">
        <v>44</v>
      </c>
      <c r="U523" t="s">
        <v>44</v>
      </c>
      <c r="V523">
        <v>20</v>
      </c>
      <c r="W523" t="s">
        <v>60</v>
      </c>
      <c r="X523">
        <v>6</v>
      </c>
      <c r="Y523">
        <v>3</v>
      </c>
      <c r="Z523" t="s">
        <v>61</v>
      </c>
      <c r="AA523">
        <v>6</v>
      </c>
      <c r="AB523" t="s">
        <v>47</v>
      </c>
      <c r="AC523">
        <v>5</v>
      </c>
      <c r="AD523" t="s">
        <v>47</v>
      </c>
      <c r="AE523">
        <v>0</v>
      </c>
      <c r="AF523" t="s">
        <v>49</v>
      </c>
    </row>
    <row r="524" spans="1:32" x14ac:dyDescent="0.25">
      <c r="A524">
        <v>37</v>
      </c>
      <c r="B524" t="s">
        <v>32</v>
      </c>
      <c r="C524" t="s">
        <v>50</v>
      </c>
      <c r="D524" t="s">
        <v>34</v>
      </c>
      <c r="E524" t="s">
        <v>52</v>
      </c>
      <c r="F524">
        <v>10</v>
      </c>
      <c r="G524" t="s">
        <v>53</v>
      </c>
      <c r="H524">
        <v>4</v>
      </c>
      <c r="I524" t="s">
        <v>42</v>
      </c>
      <c r="J524" t="s">
        <v>54</v>
      </c>
      <c r="K524">
        <v>4</v>
      </c>
      <c r="L524" t="s">
        <v>65</v>
      </c>
      <c r="M524">
        <v>1</v>
      </c>
      <c r="N524" t="s">
        <v>40</v>
      </c>
      <c r="O524" t="s">
        <v>56</v>
      </c>
      <c r="P524">
        <v>4</v>
      </c>
      <c r="Q524" t="s">
        <v>42</v>
      </c>
      <c r="R524" t="s">
        <v>43</v>
      </c>
      <c r="S524">
        <v>3</v>
      </c>
      <c r="T524" t="s">
        <v>44</v>
      </c>
      <c r="U524" t="s">
        <v>59</v>
      </c>
      <c r="V524">
        <v>17</v>
      </c>
      <c r="W524" t="s">
        <v>45</v>
      </c>
      <c r="X524">
        <v>4</v>
      </c>
      <c r="Y524">
        <v>3</v>
      </c>
      <c r="Z524" t="s">
        <v>61</v>
      </c>
      <c r="AA524">
        <v>1</v>
      </c>
      <c r="AB524" t="s">
        <v>48</v>
      </c>
      <c r="AC524">
        <v>0</v>
      </c>
      <c r="AD524" t="s">
        <v>48</v>
      </c>
      <c r="AE524">
        <v>0</v>
      </c>
      <c r="AF524" t="s">
        <v>49</v>
      </c>
    </row>
    <row r="525" spans="1:32" x14ac:dyDescent="0.25">
      <c r="A525">
        <v>50</v>
      </c>
      <c r="B525" t="s">
        <v>32</v>
      </c>
      <c r="C525" t="s">
        <v>50</v>
      </c>
      <c r="D525" t="s">
        <v>34</v>
      </c>
      <c r="E525" t="s">
        <v>52</v>
      </c>
      <c r="F525">
        <v>28</v>
      </c>
      <c r="G525" t="s">
        <v>66</v>
      </c>
      <c r="H525">
        <v>4</v>
      </c>
      <c r="I525" t="s">
        <v>42</v>
      </c>
      <c r="J525" t="s">
        <v>54</v>
      </c>
      <c r="K525">
        <v>4</v>
      </c>
      <c r="L525" t="s">
        <v>65</v>
      </c>
      <c r="M525">
        <v>1</v>
      </c>
      <c r="N525" t="s">
        <v>40</v>
      </c>
      <c r="O525" t="s">
        <v>62</v>
      </c>
      <c r="P525">
        <v>3</v>
      </c>
      <c r="Q525" t="s">
        <v>42</v>
      </c>
      <c r="R525" t="s">
        <v>58</v>
      </c>
      <c r="S525">
        <v>1</v>
      </c>
      <c r="T525" t="s">
        <v>44</v>
      </c>
      <c r="U525" t="s">
        <v>44</v>
      </c>
      <c r="V525">
        <v>11</v>
      </c>
      <c r="W525" t="s">
        <v>45</v>
      </c>
      <c r="X525">
        <v>20</v>
      </c>
      <c r="Y525">
        <v>3</v>
      </c>
      <c r="Z525" t="s">
        <v>61</v>
      </c>
      <c r="AA525">
        <v>20</v>
      </c>
      <c r="AB525" t="s">
        <v>74</v>
      </c>
      <c r="AC525">
        <v>8</v>
      </c>
      <c r="AD525" t="s">
        <v>47</v>
      </c>
      <c r="AE525">
        <v>3</v>
      </c>
      <c r="AF525" t="s">
        <v>49</v>
      </c>
    </row>
    <row r="526" spans="1:32" x14ac:dyDescent="0.25">
      <c r="A526">
        <v>34</v>
      </c>
      <c r="B526" t="s">
        <v>32</v>
      </c>
      <c r="C526" t="s">
        <v>50</v>
      </c>
      <c r="D526" t="s">
        <v>34</v>
      </c>
      <c r="E526" t="s">
        <v>52</v>
      </c>
      <c r="F526">
        <v>9</v>
      </c>
      <c r="G526" t="s">
        <v>53</v>
      </c>
      <c r="H526">
        <v>4</v>
      </c>
      <c r="I526" t="s">
        <v>42</v>
      </c>
      <c r="J526" t="s">
        <v>38</v>
      </c>
      <c r="K526">
        <v>2</v>
      </c>
      <c r="L526" t="s">
        <v>55</v>
      </c>
      <c r="M526">
        <v>3</v>
      </c>
      <c r="N526" t="s">
        <v>68</v>
      </c>
      <c r="O526" t="s">
        <v>70</v>
      </c>
      <c r="P526">
        <v>2</v>
      </c>
      <c r="Q526" t="s">
        <v>57</v>
      </c>
      <c r="R526" t="s">
        <v>43</v>
      </c>
      <c r="S526">
        <v>1</v>
      </c>
      <c r="T526" t="s">
        <v>44</v>
      </c>
      <c r="U526" t="s">
        <v>59</v>
      </c>
      <c r="V526">
        <v>14</v>
      </c>
      <c r="W526" t="s">
        <v>45</v>
      </c>
      <c r="X526">
        <v>9</v>
      </c>
      <c r="Y526">
        <v>4</v>
      </c>
      <c r="Z526" t="s">
        <v>61</v>
      </c>
      <c r="AA526">
        <v>8</v>
      </c>
      <c r="AB526" t="s">
        <v>47</v>
      </c>
      <c r="AC526">
        <v>7</v>
      </c>
      <c r="AD526" t="s">
        <v>47</v>
      </c>
      <c r="AE526">
        <v>7</v>
      </c>
      <c r="AF526" t="s">
        <v>71</v>
      </c>
    </row>
    <row r="527" spans="1:32" x14ac:dyDescent="0.25">
      <c r="A527">
        <v>24</v>
      </c>
      <c r="B527" t="s">
        <v>63</v>
      </c>
      <c r="C527" t="s">
        <v>33</v>
      </c>
      <c r="D527" t="s">
        <v>34</v>
      </c>
      <c r="E527" t="s">
        <v>35</v>
      </c>
      <c r="F527">
        <v>3</v>
      </c>
      <c r="G527" t="s">
        <v>36</v>
      </c>
      <c r="H527">
        <v>1</v>
      </c>
      <c r="I527" t="s">
        <v>37</v>
      </c>
      <c r="J527" t="s">
        <v>38</v>
      </c>
      <c r="K527">
        <v>3</v>
      </c>
      <c r="L527" t="s">
        <v>39</v>
      </c>
      <c r="M527">
        <v>2</v>
      </c>
      <c r="N527" t="s">
        <v>40</v>
      </c>
      <c r="O527" t="s">
        <v>41</v>
      </c>
      <c r="P527">
        <v>3</v>
      </c>
      <c r="Q527" t="s">
        <v>42</v>
      </c>
      <c r="R527" t="s">
        <v>43</v>
      </c>
      <c r="S527">
        <v>9</v>
      </c>
      <c r="T527" t="s">
        <v>44</v>
      </c>
      <c r="U527" t="s">
        <v>59</v>
      </c>
      <c r="V527">
        <v>14</v>
      </c>
      <c r="W527" t="s">
        <v>45</v>
      </c>
      <c r="X527">
        <v>4</v>
      </c>
      <c r="Y527">
        <v>3</v>
      </c>
      <c r="Z527" t="s">
        <v>61</v>
      </c>
      <c r="AA527">
        <v>2</v>
      </c>
      <c r="AB527" t="s">
        <v>48</v>
      </c>
      <c r="AC527">
        <v>2</v>
      </c>
      <c r="AD527" t="s">
        <v>48</v>
      </c>
      <c r="AE527">
        <v>2</v>
      </c>
      <c r="AF527" t="s">
        <v>49</v>
      </c>
    </row>
    <row r="528" spans="1:32" x14ac:dyDescent="0.25">
      <c r="A528">
        <v>39</v>
      </c>
      <c r="B528" t="s">
        <v>32</v>
      </c>
      <c r="C528" t="s">
        <v>50</v>
      </c>
      <c r="D528" t="s">
        <v>34</v>
      </c>
      <c r="E528" t="s">
        <v>52</v>
      </c>
      <c r="F528">
        <v>2</v>
      </c>
      <c r="G528" t="s">
        <v>36</v>
      </c>
      <c r="H528">
        <v>4</v>
      </c>
      <c r="I528" t="s">
        <v>42</v>
      </c>
      <c r="J528" t="s">
        <v>38</v>
      </c>
      <c r="K528">
        <v>2</v>
      </c>
      <c r="L528" t="s">
        <v>55</v>
      </c>
      <c r="M528">
        <v>2</v>
      </c>
      <c r="N528" t="s">
        <v>40</v>
      </c>
      <c r="O528" t="s">
        <v>70</v>
      </c>
      <c r="P528">
        <v>3</v>
      </c>
      <c r="Q528" t="s">
        <v>42</v>
      </c>
      <c r="R528" t="s">
        <v>43</v>
      </c>
      <c r="S528">
        <v>1</v>
      </c>
      <c r="T528" t="s">
        <v>44</v>
      </c>
      <c r="U528" t="s">
        <v>59</v>
      </c>
      <c r="V528">
        <v>11</v>
      </c>
      <c r="W528" t="s">
        <v>45</v>
      </c>
      <c r="X528">
        <v>20</v>
      </c>
      <c r="Y528">
        <v>3</v>
      </c>
      <c r="Z528" t="s">
        <v>61</v>
      </c>
      <c r="AA528">
        <v>20</v>
      </c>
      <c r="AB528" t="s">
        <v>74</v>
      </c>
      <c r="AC528">
        <v>7</v>
      </c>
      <c r="AD528" t="s">
        <v>47</v>
      </c>
      <c r="AE528">
        <v>11</v>
      </c>
      <c r="AF528" t="s">
        <v>71</v>
      </c>
    </row>
    <row r="529" spans="1:32" x14ac:dyDescent="0.25">
      <c r="A529">
        <v>32</v>
      </c>
      <c r="B529" t="s">
        <v>32</v>
      </c>
      <c r="C529" t="s">
        <v>50</v>
      </c>
      <c r="D529" t="s">
        <v>34</v>
      </c>
      <c r="E529" t="s">
        <v>35</v>
      </c>
      <c r="F529">
        <v>10</v>
      </c>
      <c r="G529" t="s">
        <v>53</v>
      </c>
      <c r="H529">
        <v>4</v>
      </c>
      <c r="I529" t="s">
        <v>42</v>
      </c>
      <c r="J529" t="s">
        <v>54</v>
      </c>
      <c r="K529">
        <v>3</v>
      </c>
      <c r="L529" t="s">
        <v>39</v>
      </c>
      <c r="M529">
        <v>2</v>
      </c>
      <c r="N529" t="s">
        <v>40</v>
      </c>
      <c r="O529" t="s">
        <v>41</v>
      </c>
      <c r="P529">
        <v>4</v>
      </c>
      <c r="Q529" t="s">
        <v>42</v>
      </c>
      <c r="R529" t="s">
        <v>43</v>
      </c>
      <c r="S529">
        <v>1</v>
      </c>
      <c r="T529" t="s">
        <v>44</v>
      </c>
      <c r="U529" t="s">
        <v>59</v>
      </c>
      <c r="V529">
        <v>12</v>
      </c>
      <c r="W529" t="s">
        <v>45</v>
      </c>
      <c r="X529">
        <v>10</v>
      </c>
      <c r="Y529">
        <v>2</v>
      </c>
      <c r="Z529" t="s">
        <v>46</v>
      </c>
      <c r="AA529">
        <v>10</v>
      </c>
      <c r="AB529" t="s">
        <v>47</v>
      </c>
      <c r="AC529">
        <v>7</v>
      </c>
      <c r="AD529" t="s">
        <v>47</v>
      </c>
      <c r="AE529">
        <v>0</v>
      </c>
      <c r="AF529" t="s">
        <v>49</v>
      </c>
    </row>
    <row r="530" spans="1:32" x14ac:dyDescent="0.25">
      <c r="A530">
        <v>50</v>
      </c>
      <c r="B530" t="s">
        <v>32</v>
      </c>
      <c r="C530" t="s">
        <v>33</v>
      </c>
      <c r="D530" t="s">
        <v>51</v>
      </c>
      <c r="E530" t="s">
        <v>35</v>
      </c>
      <c r="F530">
        <v>8</v>
      </c>
      <c r="G530" t="s">
        <v>53</v>
      </c>
      <c r="H530">
        <v>2</v>
      </c>
      <c r="I530" t="s">
        <v>37</v>
      </c>
      <c r="J530" t="s">
        <v>54</v>
      </c>
      <c r="K530">
        <v>3</v>
      </c>
      <c r="L530" t="s">
        <v>39</v>
      </c>
      <c r="M530">
        <v>2</v>
      </c>
      <c r="N530" t="s">
        <v>40</v>
      </c>
      <c r="O530" t="s">
        <v>41</v>
      </c>
      <c r="P530">
        <v>3</v>
      </c>
      <c r="Q530" t="s">
        <v>42</v>
      </c>
      <c r="R530" t="s">
        <v>58</v>
      </c>
      <c r="S530">
        <v>3</v>
      </c>
      <c r="T530" t="s">
        <v>44</v>
      </c>
      <c r="U530" t="s">
        <v>44</v>
      </c>
      <c r="V530">
        <v>14</v>
      </c>
      <c r="W530" t="s">
        <v>45</v>
      </c>
      <c r="X530">
        <v>18</v>
      </c>
      <c r="Y530">
        <v>3</v>
      </c>
      <c r="Z530" t="s">
        <v>61</v>
      </c>
      <c r="AA530">
        <v>4</v>
      </c>
      <c r="AB530" t="s">
        <v>48</v>
      </c>
      <c r="AC530">
        <v>3</v>
      </c>
      <c r="AD530" t="s">
        <v>48</v>
      </c>
      <c r="AE530">
        <v>1</v>
      </c>
      <c r="AF530" t="s">
        <v>49</v>
      </c>
    </row>
    <row r="531" spans="1:32" x14ac:dyDescent="0.25">
      <c r="A531">
        <v>38</v>
      </c>
      <c r="B531" t="s">
        <v>32</v>
      </c>
      <c r="C531" t="s">
        <v>50</v>
      </c>
      <c r="D531" t="s">
        <v>34</v>
      </c>
      <c r="E531" t="s">
        <v>52</v>
      </c>
      <c r="F531">
        <v>1</v>
      </c>
      <c r="G531" t="s">
        <v>36</v>
      </c>
      <c r="H531">
        <v>2</v>
      </c>
      <c r="I531" t="s">
        <v>37</v>
      </c>
      <c r="J531" t="s">
        <v>38</v>
      </c>
      <c r="K531">
        <v>4</v>
      </c>
      <c r="L531" t="s">
        <v>65</v>
      </c>
      <c r="M531">
        <v>2</v>
      </c>
      <c r="N531" t="s">
        <v>40</v>
      </c>
      <c r="O531" t="s">
        <v>70</v>
      </c>
      <c r="P531">
        <v>4</v>
      </c>
      <c r="Q531" t="s">
        <v>42</v>
      </c>
      <c r="R531" t="s">
        <v>43</v>
      </c>
      <c r="S531">
        <v>0</v>
      </c>
      <c r="T531" t="s">
        <v>44</v>
      </c>
      <c r="U531" t="s">
        <v>59</v>
      </c>
      <c r="V531">
        <v>13</v>
      </c>
      <c r="W531" t="s">
        <v>45</v>
      </c>
      <c r="X531">
        <v>10</v>
      </c>
      <c r="Y531">
        <v>2</v>
      </c>
      <c r="Z531" t="s">
        <v>46</v>
      </c>
      <c r="AA531">
        <v>9</v>
      </c>
      <c r="AB531" t="s">
        <v>47</v>
      </c>
      <c r="AC531">
        <v>7</v>
      </c>
      <c r="AD531" t="s">
        <v>47</v>
      </c>
      <c r="AE531">
        <v>1</v>
      </c>
      <c r="AF531" t="s">
        <v>49</v>
      </c>
    </row>
    <row r="532" spans="1:32" x14ac:dyDescent="0.25">
      <c r="A532">
        <v>27</v>
      </c>
      <c r="B532" t="s">
        <v>63</v>
      </c>
      <c r="C532" t="s">
        <v>50</v>
      </c>
      <c r="D532" t="s">
        <v>34</v>
      </c>
      <c r="E532" t="s">
        <v>52</v>
      </c>
      <c r="F532">
        <v>1</v>
      </c>
      <c r="G532" t="s">
        <v>36</v>
      </c>
      <c r="H532">
        <v>3</v>
      </c>
      <c r="I532" t="s">
        <v>42</v>
      </c>
      <c r="J532" t="s">
        <v>38</v>
      </c>
      <c r="K532">
        <v>3</v>
      </c>
      <c r="L532" t="s">
        <v>39</v>
      </c>
      <c r="M532">
        <v>3</v>
      </c>
      <c r="N532" t="s">
        <v>68</v>
      </c>
      <c r="O532" t="s">
        <v>69</v>
      </c>
      <c r="P532">
        <v>1</v>
      </c>
      <c r="Q532" t="s">
        <v>57</v>
      </c>
      <c r="R532" t="s">
        <v>58</v>
      </c>
      <c r="S532">
        <v>1</v>
      </c>
      <c r="T532" t="s">
        <v>44</v>
      </c>
      <c r="U532" t="s">
        <v>59</v>
      </c>
      <c r="V532">
        <v>11</v>
      </c>
      <c r="W532" t="s">
        <v>45</v>
      </c>
      <c r="X532">
        <v>9</v>
      </c>
      <c r="Y532">
        <v>3</v>
      </c>
      <c r="Z532" t="s">
        <v>61</v>
      </c>
      <c r="AA532">
        <v>9</v>
      </c>
      <c r="AB532" t="s">
        <v>47</v>
      </c>
      <c r="AC532">
        <v>7</v>
      </c>
      <c r="AD532" t="s">
        <v>47</v>
      </c>
      <c r="AE532">
        <v>0</v>
      </c>
      <c r="AF532" t="s">
        <v>49</v>
      </c>
    </row>
    <row r="533" spans="1:32" x14ac:dyDescent="0.25">
      <c r="A533">
        <v>32</v>
      </c>
      <c r="B533" t="s">
        <v>32</v>
      </c>
      <c r="C533" t="s">
        <v>50</v>
      </c>
      <c r="D533" t="s">
        <v>34</v>
      </c>
      <c r="E533" t="s">
        <v>52</v>
      </c>
      <c r="F533">
        <v>3</v>
      </c>
      <c r="G533" t="s">
        <v>36</v>
      </c>
      <c r="H533">
        <v>3</v>
      </c>
      <c r="I533" t="s">
        <v>42</v>
      </c>
      <c r="J533" t="s">
        <v>38</v>
      </c>
      <c r="K533">
        <v>3</v>
      </c>
      <c r="L533" t="s">
        <v>39</v>
      </c>
      <c r="M533">
        <v>3</v>
      </c>
      <c r="N533" t="s">
        <v>68</v>
      </c>
      <c r="O533" t="s">
        <v>76</v>
      </c>
      <c r="P533">
        <v>4</v>
      </c>
      <c r="Q533" t="s">
        <v>42</v>
      </c>
      <c r="R533" t="s">
        <v>43</v>
      </c>
      <c r="S533">
        <v>3</v>
      </c>
      <c r="T533" t="s">
        <v>44</v>
      </c>
      <c r="U533" t="s">
        <v>59</v>
      </c>
      <c r="V533">
        <v>15</v>
      </c>
      <c r="W533" t="s">
        <v>45</v>
      </c>
      <c r="X533">
        <v>10</v>
      </c>
      <c r="Y533">
        <v>3</v>
      </c>
      <c r="Z533" t="s">
        <v>61</v>
      </c>
      <c r="AA533">
        <v>7</v>
      </c>
      <c r="AB533" t="s">
        <v>47</v>
      </c>
      <c r="AC533">
        <v>7</v>
      </c>
      <c r="AD533" t="s">
        <v>47</v>
      </c>
      <c r="AE533">
        <v>7</v>
      </c>
      <c r="AF533" t="s">
        <v>71</v>
      </c>
    </row>
    <row r="534" spans="1:32" x14ac:dyDescent="0.25">
      <c r="A534">
        <v>47</v>
      </c>
      <c r="B534" t="s">
        <v>32</v>
      </c>
      <c r="C534" t="s">
        <v>50</v>
      </c>
      <c r="D534" t="s">
        <v>34</v>
      </c>
      <c r="E534" t="s">
        <v>35</v>
      </c>
      <c r="F534">
        <v>14</v>
      </c>
      <c r="G534" t="s">
        <v>53</v>
      </c>
      <c r="H534">
        <v>4</v>
      </c>
      <c r="I534" t="s">
        <v>42</v>
      </c>
      <c r="J534" t="s">
        <v>54</v>
      </c>
      <c r="K534">
        <v>3</v>
      </c>
      <c r="L534" t="s">
        <v>39</v>
      </c>
      <c r="M534">
        <v>2</v>
      </c>
      <c r="N534" t="s">
        <v>40</v>
      </c>
      <c r="O534" t="s">
        <v>41</v>
      </c>
      <c r="P534">
        <v>1</v>
      </c>
      <c r="Q534" t="s">
        <v>57</v>
      </c>
      <c r="R534" t="s">
        <v>43</v>
      </c>
      <c r="S534">
        <v>2</v>
      </c>
      <c r="T534" t="s">
        <v>44</v>
      </c>
      <c r="U534" t="s">
        <v>59</v>
      </c>
      <c r="V534">
        <v>12</v>
      </c>
      <c r="W534" t="s">
        <v>45</v>
      </c>
      <c r="X534">
        <v>20</v>
      </c>
      <c r="Y534">
        <v>3</v>
      </c>
      <c r="Z534" t="s">
        <v>61</v>
      </c>
      <c r="AA534">
        <v>7</v>
      </c>
      <c r="AB534" t="s">
        <v>47</v>
      </c>
      <c r="AC534">
        <v>7</v>
      </c>
      <c r="AD534" t="s">
        <v>47</v>
      </c>
      <c r="AE534">
        <v>1</v>
      </c>
      <c r="AF534" t="s">
        <v>49</v>
      </c>
    </row>
    <row r="535" spans="1:32" x14ac:dyDescent="0.25">
      <c r="A535">
        <v>40</v>
      </c>
      <c r="B535" t="s">
        <v>32</v>
      </c>
      <c r="C535" t="s">
        <v>50</v>
      </c>
      <c r="D535" t="s">
        <v>51</v>
      </c>
      <c r="E535" t="s">
        <v>35</v>
      </c>
      <c r="F535">
        <v>5</v>
      </c>
      <c r="G535" t="s">
        <v>36</v>
      </c>
      <c r="H535">
        <v>4</v>
      </c>
      <c r="I535" t="s">
        <v>42</v>
      </c>
      <c r="J535" t="s">
        <v>54</v>
      </c>
      <c r="K535">
        <v>2</v>
      </c>
      <c r="L535" t="s">
        <v>55</v>
      </c>
      <c r="M535">
        <v>3</v>
      </c>
      <c r="N535" t="s">
        <v>68</v>
      </c>
      <c r="O535" t="s">
        <v>41</v>
      </c>
      <c r="P535">
        <v>1</v>
      </c>
      <c r="Q535" t="s">
        <v>57</v>
      </c>
      <c r="R535" t="s">
        <v>58</v>
      </c>
      <c r="S535">
        <v>5</v>
      </c>
      <c r="T535" t="s">
        <v>44</v>
      </c>
      <c r="U535" t="s">
        <v>44</v>
      </c>
      <c r="V535">
        <v>21</v>
      </c>
      <c r="W535" t="s">
        <v>60</v>
      </c>
      <c r="X535">
        <v>20</v>
      </c>
      <c r="Y535">
        <v>3</v>
      </c>
      <c r="Z535" t="s">
        <v>61</v>
      </c>
      <c r="AA535">
        <v>18</v>
      </c>
      <c r="AB535" t="s">
        <v>74</v>
      </c>
      <c r="AC535">
        <v>13</v>
      </c>
      <c r="AD535" t="s">
        <v>74</v>
      </c>
      <c r="AE535">
        <v>1</v>
      </c>
      <c r="AF535" t="s">
        <v>49</v>
      </c>
    </row>
    <row r="536" spans="1:32" x14ac:dyDescent="0.25">
      <c r="A536">
        <v>53</v>
      </c>
      <c r="B536" t="s">
        <v>64</v>
      </c>
      <c r="C536" t="s">
        <v>50</v>
      </c>
      <c r="D536" t="s">
        <v>34</v>
      </c>
      <c r="E536" t="s">
        <v>52</v>
      </c>
      <c r="F536">
        <v>7</v>
      </c>
      <c r="G536" t="s">
        <v>53</v>
      </c>
      <c r="H536">
        <v>3</v>
      </c>
      <c r="I536" t="s">
        <v>42</v>
      </c>
      <c r="J536" t="s">
        <v>54</v>
      </c>
      <c r="K536">
        <v>4</v>
      </c>
      <c r="L536" t="s">
        <v>65</v>
      </c>
      <c r="M536">
        <v>4</v>
      </c>
      <c r="N536" t="s">
        <v>72</v>
      </c>
      <c r="O536" t="s">
        <v>76</v>
      </c>
      <c r="P536">
        <v>3</v>
      </c>
      <c r="Q536" t="s">
        <v>42</v>
      </c>
      <c r="R536" t="s">
        <v>58</v>
      </c>
      <c r="S536">
        <v>3</v>
      </c>
      <c r="T536" t="s">
        <v>44</v>
      </c>
      <c r="U536" t="s">
        <v>59</v>
      </c>
      <c r="V536">
        <v>19</v>
      </c>
      <c r="W536" t="s">
        <v>45</v>
      </c>
      <c r="X536">
        <v>32</v>
      </c>
      <c r="Y536">
        <v>3</v>
      </c>
      <c r="Z536" t="s">
        <v>61</v>
      </c>
      <c r="AA536">
        <v>5</v>
      </c>
      <c r="AB536" t="s">
        <v>47</v>
      </c>
      <c r="AC536">
        <v>1</v>
      </c>
      <c r="AD536" t="s">
        <v>48</v>
      </c>
      <c r="AE536">
        <v>1</v>
      </c>
      <c r="AF536" t="s">
        <v>49</v>
      </c>
    </row>
    <row r="537" spans="1:32" x14ac:dyDescent="0.25">
      <c r="A537">
        <v>41</v>
      </c>
      <c r="B537" t="s">
        <v>32</v>
      </c>
      <c r="C537" t="s">
        <v>50</v>
      </c>
      <c r="D537" t="s">
        <v>34</v>
      </c>
      <c r="E537" t="s">
        <v>77</v>
      </c>
      <c r="F537">
        <v>10</v>
      </c>
      <c r="G537" t="s">
        <v>53</v>
      </c>
      <c r="H537">
        <v>2</v>
      </c>
      <c r="I537" t="s">
        <v>37</v>
      </c>
      <c r="J537" t="s">
        <v>54</v>
      </c>
      <c r="K537">
        <v>2</v>
      </c>
      <c r="L537" t="s">
        <v>55</v>
      </c>
      <c r="M537">
        <v>5</v>
      </c>
      <c r="N537" t="s">
        <v>72</v>
      </c>
      <c r="O537" t="s">
        <v>73</v>
      </c>
      <c r="P537">
        <v>4</v>
      </c>
      <c r="Q537" t="s">
        <v>42</v>
      </c>
      <c r="R537" t="s">
        <v>67</v>
      </c>
      <c r="S537">
        <v>3</v>
      </c>
      <c r="T537" t="s">
        <v>44</v>
      </c>
      <c r="U537" t="s">
        <v>59</v>
      </c>
      <c r="V537">
        <v>15</v>
      </c>
      <c r="W537" t="s">
        <v>45</v>
      </c>
      <c r="X537">
        <v>23</v>
      </c>
      <c r="Y537">
        <v>2</v>
      </c>
      <c r="Z537" t="s">
        <v>46</v>
      </c>
      <c r="AA537">
        <v>21</v>
      </c>
      <c r="AB537" t="s">
        <v>74</v>
      </c>
      <c r="AC537">
        <v>6</v>
      </c>
      <c r="AD537" t="s">
        <v>47</v>
      </c>
      <c r="AE537">
        <v>12</v>
      </c>
      <c r="AF537" t="s">
        <v>71</v>
      </c>
    </row>
    <row r="538" spans="1:32" x14ac:dyDescent="0.25">
      <c r="A538">
        <v>60</v>
      </c>
      <c r="B538" t="s">
        <v>64</v>
      </c>
      <c r="C538" t="s">
        <v>50</v>
      </c>
      <c r="D538" t="s">
        <v>34</v>
      </c>
      <c r="E538" t="s">
        <v>35</v>
      </c>
      <c r="F538">
        <v>16</v>
      </c>
      <c r="G538" t="s">
        <v>66</v>
      </c>
      <c r="H538">
        <v>1</v>
      </c>
      <c r="I538" t="s">
        <v>37</v>
      </c>
      <c r="J538" t="s">
        <v>54</v>
      </c>
      <c r="K538">
        <v>3</v>
      </c>
      <c r="L538" t="s">
        <v>39</v>
      </c>
      <c r="M538">
        <v>2</v>
      </c>
      <c r="N538" t="s">
        <v>40</v>
      </c>
      <c r="O538" t="s">
        <v>41</v>
      </c>
      <c r="P538">
        <v>1</v>
      </c>
      <c r="Q538" t="s">
        <v>57</v>
      </c>
      <c r="R538" t="s">
        <v>43</v>
      </c>
      <c r="S538">
        <v>8</v>
      </c>
      <c r="T538" t="s">
        <v>44</v>
      </c>
      <c r="U538" t="s">
        <v>59</v>
      </c>
      <c r="V538">
        <v>14</v>
      </c>
      <c r="W538" t="s">
        <v>45</v>
      </c>
      <c r="X538">
        <v>10</v>
      </c>
      <c r="Y538">
        <v>3</v>
      </c>
      <c r="Z538" t="s">
        <v>61</v>
      </c>
      <c r="AA538">
        <v>2</v>
      </c>
      <c r="AB538" t="s">
        <v>48</v>
      </c>
      <c r="AC538">
        <v>2</v>
      </c>
      <c r="AD538" t="s">
        <v>48</v>
      </c>
      <c r="AE538">
        <v>2</v>
      </c>
      <c r="AF538" t="s">
        <v>49</v>
      </c>
    </row>
    <row r="539" spans="1:32" x14ac:dyDescent="0.25">
      <c r="A539">
        <v>27</v>
      </c>
      <c r="B539" t="s">
        <v>63</v>
      </c>
      <c r="C539" t="s">
        <v>50</v>
      </c>
      <c r="D539" t="s">
        <v>51</v>
      </c>
      <c r="E539" t="s">
        <v>52</v>
      </c>
      <c r="F539">
        <v>10</v>
      </c>
      <c r="G539" t="s">
        <v>53</v>
      </c>
      <c r="H539">
        <v>4</v>
      </c>
      <c r="I539" t="s">
        <v>42</v>
      </c>
      <c r="J539" t="s">
        <v>54</v>
      </c>
      <c r="K539">
        <v>3</v>
      </c>
      <c r="L539" t="s">
        <v>39</v>
      </c>
      <c r="M539">
        <v>3</v>
      </c>
      <c r="N539" t="s">
        <v>68</v>
      </c>
      <c r="O539" t="s">
        <v>69</v>
      </c>
      <c r="P539">
        <v>1</v>
      </c>
      <c r="Q539" t="s">
        <v>57</v>
      </c>
      <c r="R539" t="s">
        <v>67</v>
      </c>
      <c r="S539">
        <v>1</v>
      </c>
      <c r="T539" t="s">
        <v>44</v>
      </c>
      <c r="U539" t="s">
        <v>59</v>
      </c>
      <c r="V539">
        <v>21</v>
      </c>
      <c r="W539" t="s">
        <v>60</v>
      </c>
      <c r="X539">
        <v>9</v>
      </c>
      <c r="Y539">
        <v>2</v>
      </c>
      <c r="Z539" t="s">
        <v>46</v>
      </c>
      <c r="AA539">
        <v>9</v>
      </c>
      <c r="AB539" t="s">
        <v>47</v>
      </c>
      <c r="AC539">
        <v>7</v>
      </c>
      <c r="AD539" t="s">
        <v>47</v>
      </c>
      <c r="AE539">
        <v>1</v>
      </c>
      <c r="AF539" t="s">
        <v>49</v>
      </c>
    </row>
    <row r="540" spans="1:32" x14ac:dyDescent="0.25">
      <c r="A540">
        <v>41</v>
      </c>
      <c r="B540" t="s">
        <v>32</v>
      </c>
      <c r="C540" t="s">
        <v>50</v>
      </c>
      <c r="D540" t="s">
        <v>34</v>
      </c>
      <c r="E540" t="s">
        <v>77</v>
      </c>
      <c r="F540">
        <v>1</v>
      </c>
      <c r="G540" t="s">
        <v>36</v>
      </c>
      <c r="H540">
        <v>4</v>
      </c>
      <c r="I540" t="s">
        <v>42</v>
      </c>
      <c r="J540" t="s">
        <v>54</v>
      </c>
      <c r="K540">
        <v>2</v>
      </c>
      <c r="L540" t="s">
        <v>55</v>
      </c>
      <c r="M540">
        <v>5</v>
      </c>
      <c r="N540" t="s">
        <v>72</v>
      </c>
      <c r="O540" t="s">
        <v>73</v>
      </c>
      <c r="P540">
        <v>3</v>
      </c>
      <c r="Q540" t="s">
        <v>42</v>
      </c>
      <c r="R540" t="s">
        <v>58</v>
      </c>
      <c r="S540">
        <v>1</v>
      </c>
      <c r="T540" t="s">
        <v>44</v>
      </c>
      <c r="U540" t="s">
        <v>59</v>
      </c>
      <c r="V540">
        <v>12</v>
      </c>
      <c r="W540" t="s">
        <v>45</v>
      </c>
      <c r="X540">
        <v>22</v>
      </c>
      <c r="Y540">
        <v>3</v>
      </c>
      <c r="Z540" t="s">
        <v>61</v>
      </c>
      <c r="AA540">
        <v>22</v>
      </c>
      <c r="AB540" t="s">
        <v>74</v>
      </c>
      <c r="AC540">
        <v>7</v>
      </c>
      <c r="AD540" t="s">
        <v>47</v>
      </c>
      <c r="AE540">
        <v>2</v>
      </c>
      <c r="AF540" t="s">
        <v>49</v>
      </c>
    </row>
    <row r="541" spans="1:32" x14ac:dyDescent="0.25">
      <c r="A541">
        <v>50</v>
      </c>
      <c r="B541" t="s">
        <v>32</v>
      </c>
      <c r="C541" t="s">
        <v>50</v>
      </c>
      <c r="D541" t="s">
        <v>34</v>
      </c>
      <c r="E541" t="s">
        <v>35</v>
      </c>
      <c r="F541">
        <v>8</v>
      </c>
      <c r="G541" t="s">
        <v>53</v>
      </c>
      <c r="H541">
        <v>4</v>
      </c>
      <c r="I541" t="s">
        <v>42</v>
      </c>
      <c r="J541" t="s">
        <v>54</v>
      </c>
      <c r="K541">
        <v>3</v>
      </c>
      <c r="L541" t="s">
        <v>39</v>
      </c>
      <c r="M541">
        <v>1</v>
      </c>
      <c r="N541" t="s">
        <v>40</v>
      </c>
      <c r="O541" t="s">
        <v>75</v>
      </c>
      <c r="P541">
        <v>2</v>
      </c>
      <c r="Q541" t="s">
        <v>57</v>
      </c>
      <c r="R541" t="s">
        <v>58</v>
      </c>
      <c r="S541">
        <v>7</v>
      </c>
      <c r="T541" t="s">
        <v>44</v>
      </c>
      <c r="U541" t="s">
        <v>59</v>
      </c>
      <c r="V541">
        <v>15</v>
      </c>
      <c r="W541" t="s">
        <v>45</v>
      </c>
      <c r="X541">
        <v>4</v>
      </c>
      <c r="Y541">
        <v>3</v>
      </c>
      <c r="Z541" t="s">
        <v>61</v>
      </c>
      <c r="AA541">
        <v>2</v>
      </c>
      <c r="AB541" t="s">
        <v>48</v>
      </c>
      <c r="AC541">
        <v>2</v>
      </c>
      <c r="AD541" t="s">
        <v>48</v>
      </c>
      <c r="AE541">
        <v>2</v>
      </c>
      <c r="AF541" t="s">
        <v>49</v>
      </c>
    </row>
    <row r="542" spans="1:32" x14ac:dyDescent="0.25">
      <c r="A542">
        <v>28</v>
      </c>
      <c r="B542" t="s">
        <v>63</v>
      </c>
      <c r="C542" t="s">
        <v>33</v>
      </c>
      <c r="D542" t="s">
        <v>34</v>
      </c>
      <c r="E542" t="s">
        <v>52</v>
      </c>
      <c r="F542">
        <v>1</v>
      </c>
      <c r="G542" t="s">
        <v>36</v>
      </c>
      <c r="H542">
        <v>1</v>
      </c>
      <c r="I542" t="s">
        <v>37</v>
      </c>
      <c r="J542" t="s">
        <v>38</v>
      </c>
      <c r="K542">
        <v>1</v>
      </c>
      <c r="L542" t="s">
        <v>55</v>
      </c>
      <c r="M542">
        <v>1</v>
      </c>
      <c r="N542" t="s">
        <v>40</v>
      </c>
      <c r="O542" t="s">
        <v>56</v>
      </c>
      <c r="P542">
        <v>2</v>
      </c>
      <c r="Q542" t="s">
        <v>57</v>
      </c>
      <c r="R542" t="s">
        <v>43</v>
      </c>
      <c r="S542">
        <v>7</v>
      </c>
      <c r="T542" t="s">
        <v>44</v>
      </c>
      <c r="U542" t="s">
        <v>44</v>
      </c>
      <c r="V542">
        <v>13</v>
      </c>
      <c r="W542" t="s">
        <v>45</v>
      </c>
      <c r="X542">
        <v>10</v>
      </c>
      <c r="Y542">
        <v>3</v>
      </c>
      <c r="Z542" t="s">
        <v>61</v>
      </c>
      <c r="AA542">
        <v>7</v>
      </c>
      <c r="AB542" t="s">
        <v>47</v>
      </c>
      <c r="AC542">
        <v>7</v>
      </c>
      <c r="AD542" t="s">
        <v>47</v>
      </c>
      <c r="AE542">
        <v>3</v>
      </c>
      <c r="AF542" t="s">
        <v>49</v>
      </c>
    </row>
    <row r="543" spans="1:32" x14ac:dyDescent="0.25">
      <c r="A543">
        <v>36</v>
      </c>
      <c r="B543" t="s">
        <v>32</v>
      </c>
      <c r="C543" t="s">
        <v>50</v>
      </c>
      <c r="D543" t="s">
        <v>34</v>
      </c>
      <c r="E543" t="s">
        <v>52</v>
      </c>
      <c r="F543">
        <v>8</v>
      </c>
      <c r="G543" t="s">
        <v>53</v>
      </c>
      <c r="H543">
        <v>1</v>
      </c>
      <c r="I543" t="s">
        <v>37</v>
      </c>
      <c r="J543" t="s">
        <v>38</v>
      </c>
      <c r="K543">
        <v>4</v>
      </c>
      <c r="L543" t="s">
        <v>65</v>
      </c>
      <c r="M543">
        <v>3</v>
      </c>
      <c r="N543" t="s">
        <v>68</v>
      </c>
      <c r="O543" t="s">
        <v>76</v>
      </c>
      <c r="P543">
        <v>1</v>
      </c>
      <c r="Q543" t="s">
        <v>57</v>
      </c>
      <c r="R543" t="s">
        <v>58</v>
      </c>
      <c r="S543">
        <v>9</v>
      </c>
      <c r="T543" t="s">
        <v>44</v>
      </c>
      <c r="U543" t="s">
        <v>59</v>
      </c>
      <c r="V543">
        <v>14</v>
      </c>
      <c r="W543" t="s">
        <v>45</v>
      </c>
      <c r="X543">
        <v>10</v>
      </c>
      <c r="Y543">
        <v>3</v>
      </c>
      <c r="Z543" t="s">
        <v>61</v>
      </c>
      <c r="AA543">
        <v>8</v>
      </c>
      <c r="AB543" t="s">
        <v>47</v>
      </c>
      <c r="AC543">
        <v>7</v>
      </c>
      <c r="AD543" t="s">
        <v>47</v>
      </c>
      <c r="AE543">
        <v>0</v>
      </c>
      <c r="AF543" t="s">
        <v>49</v>
      </c>
    </row>
    <row r="544" spans="1:32" x14ac:dyDescent="0.25">
      <c r="A544">
        <v>38</v>
      </c>
      <c r="B544" t="s">
        <v>32</v>
      </c>
      <c r="C544" t="s">
        <v>50</v>
      </c>
      <c r="D544" t="s">
        <v>34</v>
      </c>
      <c r="E544" t="s">
        <v>52</v>
      </c>
      <c r="F544">
        <v>1</v>
      </c>
      <c r="G544" t="s">
        <v>36</v>
      </c>
      <c r="H544">
        <v>3</v>
      </c>
      <c r="I544" t="s">
        <v>42</v>
      </c>
      <c r="J544" t="s">
        <v>38</v>
      </c>
      <c r="K544">
        <v>3</v>
      </c>
      <c r="L544" t="s">
        <v>39</v>
      </c>
      <c r="M544">
        <v>3</v>
      </c>
      <c r="N544" t="s">
        <v>68</v>
      </c>
      <c r="O544" t="s">
        <v>69</v>
      </c>
      <c r="P544">
        <v>3</v>
      </c>
      <c r="Q544" t="s">
        <v>42</v>
      </c>
      <c r="R544" t="s">
        <v>43</v>
      </c>
      <c r="S544">
        <v>4</v>
      </c>
      <c r="T544" t="s">
        <v>44</v>
      </c>
      <c r="U544" t="s">
        <v>44</v>
      </c>
      <c r="V544">
        <v>14</v>
      </c>
      <c r="W544" t="s">
        <v>45</v>
      </c>
      <c r="X544">
        <v>10</v>
      </c>
      <c r="Y544">
        <v>4</v>
      </c>
      <c r="Z544" t="s">
        <v>61</v>
      </c>
      <c r="AA544">
        <v>1</v>
      </c>
      <c r="AB544" t="s">
        <v>48</v>
      </c>
      <c r="AC544">
        <v>0</v>
      </c>
      <c r="AD544" t="s">
        <v>48</v>
      </c>
      <c r="AE544">
        <v>0</v>
      </c>
      <c r="AF544" t="s">
        <v>49</v>
      </c>
    </row>
    <row r="545" spans="1:32" x14ac:dyDescent="0.25">
      <c r="A545">
        <v>44</v>
      </c>
      <c r="B545" t="s">
        <v>32</v>
      </c>
      <c r="C545" t="s">
        <v>50</v>
      </c>
      <c r="D545" t="s">
        <v>34</v>
      </c>
      <c r="E545" t="s">
        <v>52</v>
      </c>
      <c r="F545">
        <v>24</v>
      </c>
      <c r="G545" t="s">
        <v>66</v>
      </c>
      <c r="H545">
        <v>1</v>
      </c>
      <c r="I545" t="s">
        <v>37</v>
      </c>
      <c r="J545" t="s">
        <v>54</v>
      </c>
      <c r="K545">
        <v>1</v>
      </c>
      <c r="L545" t="s">
        <v>55</v>
      </c>
      <c r="M545">
        <v>1</v>
      </c>
      <c r="N545" t="s">
        <v>40</v>
      </c>
      <c r="O545" t="s">
        <v>62</v>
      </c>
      <c r="P545">
        <v>3</v>
      </c>
      <c r="Q545" t="s">
        <v>42</v>
      </c>
      <c r="R545" t="s">
        <v>43</v>
      </c>
      <c r="S545">
        <v>2</v>
      </c>
      <c r="T545" t="s">
        <v>44</v>
      </c>
      <c r="U545" t="s">
        <v>59</v>
      </c>
      <c r="V545">
        <v>14</v>
      </c>
      <c r="W545" t="s">
        <v>45</v>
      </c>
      <c r="X545">
        <v>9</v>
      </c>
      <c r="Y545">
        <v>3</v>
      </c>
      <c r="Z545" t="s">
        <v>61</v>
      </c>
      <c r="AA545">
        <v>5</v>
      </c>
      <c r="AB545" t="s">
        <v>47</v>
      </c>
      <c r="AC545">
        <v>2</v>
      </c>
      <c r="AD545" t="s">
        <v>48</v>
      </c>
      <c r="AE545">
        <v>1</v>
      </c>
      <c r="AF545" t="s">
        <v>49</v>
      </c>
    </row>
    <row r="546" spans="1:32" x14ac:dyDescent="0.25">
      <c r="A546">
        <v>47</v>
      </c>
      <c r="B546" t="s">
        <v>32</v>
      </c>
      <c r="C546" t="s">
        <v>50</v>
      </c>
      <c r="D546" t="s">
        <v>51</v>
      </c>
      <c r="E546" t="s">
        <v>35</v>
      </c>
      <c r="F546">
        <v>3</v>
      </c>
      <c r="G546" t="s">
        <v>36</v>
      </c>
      <c r="H546">
        <v>4</v>
      </c>
      <c r="I546" t="s">
        <v>42</v>
      </c>
      <c r="J546" t="s">
        <v>38</v>
      </c>
      <c r="K546">
        <v>3</v>
      </c>
      <c r="L546" t="s">
        <v>39</v>
      </c>
      <c r="M546">
        <v>4</v>
      </c>
      <c r="N546" t="s">
        <v>72</v>
      </c>
      <c r="O546" t="s">
        <v>41</v>
      </c>
      <c r="P546">
        <v>3</v>
      </c>
      <c r="Q546" t="s">
        <v>42</v>
      </c>
      <c r="R546" t="s">
        <v>67</v>
      </c>
      <c r="S546">
        <v>9</v>
      </c>
      <c r="T546" t="s">
        <v>44</v>
      </c>
      <c r="U546" t="s">
        <v>44</v>
      </c>
      <c r="V546">
        <v>12</v>
      </c>
      <c r="W546" t="s">
        <v>45</v>
      </c>
      <c r="X546">
        <v>28</v>
      </c>
      <c r="Y546">
        <v>2</v>
      </c>
      <c r="Z546" t="s">
        <v>46</v>
      </c>
      <c r="AA546">
        <v>22</v>
      </c>
      <c r="AB546" t="s">
        <v>74</v>
      </c>
      <c r="AC546">
        <v>2</v>
      </c>
      <c r="AD546" t="s">
        <v>48</v>
      </c>
      <c r="AE546">
        <v>11</v>
      </c>
      <c r="AF546" t="s">
        <v>71</v>
      </c>
    </row>
    <row r="547" spans="1:32" x14ac:dyDescent="0.25">
      <c r="A547">
        <v>30</v>
      </c>
      <c r="B547" t="s">
        <v>32</v>
      </c>
      <c r="C547" t="s">
        <v>50</v>
      </c>
      <c r="D547" t="s">
        <v>34</v>
      </c>
      <c r="E547" t="s">
        <v>35</v>
      </c>
      <c r="F547">
        <v>27</v>
      </c>
      <c r="G547" t="s">
        <v>66</v>
      </c>
      <c r="H547">
        <v>3</v>
      </c>
      <c r="I547" t="s">
        <v>42</v>
      </c>
      <c r="J547" t="s">
        <v>54</v>
      </c>
      <c r="K547">
        <v>3</v>
      </c>
      <c r="L547" t="s">
        <v>39</v>
      </c>
      <c r="M547">
        <v>2</v>
      </c>
      <c r="N547" t="s">
        <v>40</v>
      </c>
      <c r="O547" t="s">
        <v>41</v>
      </c>
      <c r="P547">
        <v>4</v>
      </c>
      <c r="Q547" t="s">
        <v>42</v>
      </c>
      <c r="R547" t="s">
        <v>67</v>
      </c>
      <c r="S547">
        <v>7</v>
      </c>
      <c r="T547" t="s">
        <v>44</v>
      </c>
      <c r="U547" t="s">
        <v>59</v>
      </c>
      <c r="V547">
        <v>23</v>
      </c>
      <c r="W547" t="s">
        <v>60</v>
      </c>
      <c r="X547">
        <v>10</v>
      </c>
      <c r="Y547">
        <v>2</v>
      </c>
      <c r="Z547" t="s">
        <v>46</v>
      </c>
      <c r="AA547">
        <v>8</v>
      </c>
      <c r="AB547" t="s">
        <v>47</v>
      </c>
      <c r="AC547">
        <v>7</v>
      </c>
      <c r="AD547" t="s">
        <v>47</v>
      </c>
      <c r="AE547">
        <v>7</v>
      </c>
      <c r="AF547" t="s">
        <v>71</v>
      </c>
    </row>
    <row r="548" spans="1:32" x14ac:dyDescent="0.25">
      <c r="A548">
        <v>29</v>
      </c>
      <c r="B548" t="s">
        <v>63</v>
      </c>
      <c r="C548" t="s">
        <v>50</v>
      </c>
      <c r="D548" t="s">
        <v>34</v>
      </c>
      <c r="E548" t="s">
        <v>35</v>
      </c>
      <c r="F548">
        <v>10</v>
      </c>
      <c r="G548" t="s">
        <v>53</v>
      </c>
      <c r="H548">
        <v>3</v>
      </c>
      <c r="I548" t="s">
        <v>42</v>
      </c>
      <c r="J548" t="s">
        <v>54</v>
      </c>
      <c r="K548">
        <v>3</v>
      </c>
      <c r="L548" t="s">
        <v>39</v>
      </c>
      <c r="M548">
        <v>1</v>
      </c>
      <c r="N548" t="s">
        <v>40</v>
      </c>
      <c r="O548" t="s">
        <v>75</v>
      </c>
      <c r="P548">
        <v>3</v>
      </c>
      <c r="Q548" t="s">
        <v>42</v>
      </c>
      <c r="R548" t="s">
        <v>43</v>
      </c>
      <c r="S548">
        <v>1</v>
      </c>
      <c r="T548" t="s">
        <v>44</v>
      </c>
      <c r="U548" t="s">
        <v>59</v>
      </c>
      <c r="V548">
        <v>11</v>
      </c>
      <c r="W548" t="s">
        <v>45</v>
      </c>
      <c r="X548">
        <v>1</v>
      </c>
      <c r="Y548">
        <v>3</v>
      </c>
      <c r="Z548" t="s">
        <v>61</v>
      </c>
      <c r="AA548">
        <v>1</v>
      </c>
      <c r="AB548" t="s">
        <v>48</v>
      </c>
      <c r="AC548">
        <v>0</v>
      </c>
      <c r="AD548" t="s">
        <v>48</v>
      </c>
      <c r="AE548">
        <v>0</v>
      </c>
      <c r="AF548" t="s">
        <v>49</v>
      </c>
    </row>
    <row r="549" spans="1:32" x14ac:dyDescent="0.25">
      <c r="A549">
        <v>42</v>
      </c>
      <c r="B549" t="s">
        <v>32</v>
      </c>
      <c r="C549" t="s">
        <v>33</v>
      </c>
      <c r="D549" t="s">
        <v>51</v>
      </c>
      <c r="E549" t="s">
        <v>52</v>
      </c>
      <c r="F549">
        <v>19</v>
      </c>
      <c r="G549" t="s">
        <v>66</v>
      </c>
      <c r="H549">
        <v>3</v>
      </c>
      <c r="I549" t="s">
        <v>42</v>
      </c>
      <c r="J549" t="s">
        <v>54</v>
      </c>
      <c r="K549">
        <v>4</v>
      </c>
      <c r="L549" t="s">
        <v>65</v>
      </c>
      <c r="M549">
        <v>1</v>
      </c>
      <c r="N549" t="s">
        <v>40</v>
      </c>
      <c r="O549" t="s">
        <v>56</v>
      </c>
      <c r="P549">
        <v>3</v>
      </c>
      <c r="Q549" t="s">
        <v>42</v>
      </c>
      <c r="R549" t="s">
        <v>67</v>
      </c>
      <c r="S549">
        <v>6</v>
      </c>
      <c r="T549" t="s">
        <v>44</v>
      </c>
      <c r="U549" t="s">
        <v>44</v>
      </c>
      <c r="V549">
        <v>12</v>
      </c>
      <c r="W549" t="s">
        <v>45</v>
      </c>
      <c r="X549">
        <v>7</v>
      </c>
      <c r="Y549">
        <v>3</v>
      </c>
      <c r="Z549" t="s">
        <v>61</v>
      </c>
      <c r="AA549">
        <v>2</v>
      </c>
      <c r="AB549" t="s">
        <v>48</v>
      </c>
      <c r="AC549">
        <v>2</v>
      </c>
      <c r="AD549" t="s">
        <v>48</v>
      </c>
      <c r="AE549">
        <v>2</v>
      </c>
      <c r="AF549" t="s">
        <v>49</v>
      </c>
    </row>
    <row r="550" spans="1:32" x14ac:dyDescent="0.25">
      <c r="A550">
        <v>43</v>
      </c>
      <c r="B550" t="s">
        <v>32</v>
      </c>
      <c r="C550" t="s">
        <v>50</v>
      </c>
      <c r="D550" t="s">
        <v>51</v>
      </c>
      <c r="E550" t="s">
        <v>35</v>
      </c>
      <c r="F550">
        <v>15</v>
      </c>
      <c r="G550" t="s">
        <v>66</v>
      </c>
      <c r="H550">
        <v>4</v>
      </c>
      <c r="I550" t="s">
        <v>42</v>
      </c>
      <c r="J550" t="s">
        <v>54</v>
      </c>
      <c r="K550">
        <v>2</v>
      </c>
      <c r="L550" t="s">
        <v>55</v>
      </c>
      <c r="M550">
        <v>2</v>
      </c>
      <c r="N550" t="s">
        <v>40</v>
      </c>
      <c r="O550" t="s">
        <v>41</v>
      </c>
      <c r="P550">
        <v>4</v>
      </c>
      <c r="Q550" t="s">
        <v>42</v>
      </c>
      <c r="R550" t="s">
        <v>58</v>
      </c>
      <c r="S550">
        <v>3</v>
      </c>
      <c r="T550" t="s">
        <v>44</v>
      </c>
      <c r="U550" t="s">
        <v>59</v>
      </c>
      <c r="V550">
        <v>18</v>
      </c>
      <c r="W550" t="s">
        <v>45</v>
      </c>
      <c r="X550">
        <v>7</v>
      </c>
      <c r="Y550">
        <v>3</v>
      </c>
      <c r="Z550" t="s">
        <v>61</v>
      </c>
      <c r="AA550">
        <v>2</v>
      </c>
      <c r="AB550" t="s">
        <v>48</v>
      </c>
      <c r="AC550">
        <v>2</v>
      </c>
      <c r="AD550" t="s">
        <v>48</v>
      </c>
      <c r="AE550">
        <v>2</v>
      </c>
      <c r="AF550" t="s">
        <v>49</v>
      </c>
    </row>
    <row r="551" spans="1:32" x14ac:dyDescent="0.25">
      <c r="A551">
        <v>34</v>
      </c>
      <c r="B551" t="s">
        <v>32</v>
      </c>
      <c r="C551" t="s">
        <v>50</v>
      </c>
      <c r="D551" t="s">
        <v>34</v>
      </c>
      <c r="E551" t="s">
        <v>52</v>
      </c>
      <c r="F551">
        <v>8</v>
      </c>
      <c r="G551" t="s">
        <v>53</v>
      </c>
      <c r="H551">
        <v>2</v>
      </c>
      <c r="I551" t="s">
        <v>37</v>
      </c>
      <c r="J551" t="s">
        <v>38</v>
      </c>
      <c r="K551">
        <v>3</v>
      </c>
      <c r="L551" t="s">
        <v>39</v>
      </c>
      <c r="M551">
        <v>2</v>
      </c>
      <c r="N551" t="s">
        <v>40</v>
      </c>
      <c r="O551" t="s">
        <v>70</v>
      </c>
      <c r="P551">
        <v>3</v>
      </c>
      <c r="Q551" t="s">
        <v>42</v>
      </c>
      <c r="R551" t="s">
        <v>43</v>
      </c>
      <c r="S551">
        <v>3</v>
      </c>
      <c r="T551" t="s">
        <v>44</v>
      </c>
      <c r="U551" t="s">
        <v>59</v>
      </c>
      <c r="V551">
        <v>11</v>
      </c>
      <c r="W551" t="s">
        <v>45</v>
      </c>
      <c r="X551">
        <v>10</v>
      </c>
      <c r="Y551">
        <v>3</v>
      </c>
      <c r="Z551" t="s">
        <v>61</v>
      </c>
      <c r="AA551">
        <v>5</v>
      </c>
      <c r="AB551" t="s">
        <v>47</v>
      </c>
      <c r="AC551">
        <v>1</v>
      </c>
      <c r="AD551" t="s">
        <v>48</v>
      </c>
      <c r="AE551">
        <v>4</v>
      </c>
      <c r="AF551" t="s">
        <v>71</v>
      </c>
    </row>
    <row r="552" spans="1:32" x14ac:dyDescent="0.25">
      <c r="A552">
        <v>23</v>
      </c>
      <c r="B552" t="s">
        <v>63</v>
      </c>
      <c r="C552" t="s">
        <v>50</v>
      </c>
      <c r="D552" t="s">
        <v>34</v>
      </c>
      <c r="E552" t="s">
        <v>52</v>
      </c>
      <c r="F552">
        <v>9</v>
      </c>
      <c r="G552" t="s">
        <v>53</v>
      </c>
      <c r="H552">
        <v>2</v>
      </c>
      <c r="I552" t="s">
        <v>37</v>
      </c>
      <c r="J552" t="s">
        <v>54</v>
      </c>
      <c r="K552">
        <v>3</v>
      </c>
      <c r="L552" t="s">
        <v>39</v>
      </c>
      <c r="M552">
        <v>1</v>
      </c>
      <c r="N552" t="s">
        <v>40</v>
      </c>
      <c r="O552" t="s">
        <v>62</v>
      </c>
      <c r="P552">
        <v>1</v>
      </c>
      <c r="Q552" t="s">
        <v>57</v>
      </c>
      <c r="R552" t="s">
        <v>58</v>
      </c>
      <c r="S552">
        <v>1</v>
      </c>
      <c r="T552" t="s">
        <v>44</v>
      </c>
      <c r="U552" t="s">
        <v>59</v>
      </c>
      <c r="V552">
        <v>14</v>
      </c>
      <c r="W552" t="s">
        <v>45</v>
      </c>
      <c r="X552">
        <v>5</v>
      </c>
      <c r="Y552">
        <v>4</v>
      </c>
      <c r="Z552" t="s">
        <v>61</v>
      </c>
      <c r="AA552">
        <v>4</v>
      </c>
      <c r="AB552" t="s">
        <v>48</v>
      </c>
      <c r="AC552">
        <v>3</v>
      </c>
      <c r="AD552" t="s">
        <v>48</v>
      </c>
      <c r="AE552">
        <v>0</v>
      </c>
      <c r="AF552" t="s">
        <v>49</v>
      </c>
    </row>
    <row r="553" spans="1:32" x14ac:dyDescent="0.25">
      <c r="A553">
        <v>39</v>
      </c>
      <c r="B553" t="s">
        <v>32</v>
      </c>
      <c r="C553" t="s">
        <v>50</v>
      </c>
      <c r="D553" t="s">
        <v>34</v>
      </c>
      <c r="E553" t="s">
        <v>77</v>
      </c>
      <c r="F553">
        <v>3</v>
      </c>
      <c r="G553" t="s">
        <v>36</v>
      </c>
      <c r="H553">
        <v>3</v>
      </c>
      <c r="I553" t="s">
        <v>42</v>
      </c>
      <c r="J553" t="s">
        <v>38</v>
      </c>
      <c r="K553">
        <v>4</v>
      </c>
      <c r="L553" t="s">
        <v>65</v>
      </c>
      <c r="M553">
        <v>2</v>
      </c>
      <c r="N553" t="s">
        <v>40</v>
      </c>
      <c r="O553" t="s">
        <v>77</v>
      </c>
      <c r="P553">
        <v>2</v>
      </c>
      <c r="Q553" t="s">
        <v>57</v>
      </c>
      <c r="R553" t="s">
        <v>58</v>
      </c>
      <c r="S553">
        <v>9</v>
      </c>
      <c r="T553" t="s">
        <v>44</v>
      </c>
      <c r="U553" t="s">
        <v>59</v>
      </c>
      <c r="V553">
        <v>15</v>
      </c>
      <c r="W553" t="s">
        <v>45</v>
      </c>
      <c r="X553">
        <v>12</v>
      </c>
      <c r="Y553">
        <v>1</v>
      </c>
      <c r="Z553" t="s">
        <v>46</v>
      </c>
      <c r="AA553">
        <v>8</v>
      </c>
      <c r="AB553" t="s">
        <v>47</v>
      </c>
      <c r="AC553">
        <v>3</v>
      </c>
      <c r="AD553" t="s">
        <v>48</v>
      </c>
      <c r="AE553">
        <v>3</v>
      </c>
      <c r="AF553" t="s">
        <v>49</v>
      </c>
    </row>
    <row r="554" spans="1:32" x14ac:dyDescent="0.25">
      <c r="A554">
        <v>56</v>
      </c>
      <c r="B554" t="s">
        <v>64</v>
      </c>
      <c r="C554" t="s">
        <v>50</v>
      </c>
      <c r="D554" t="s">
        <v>34</v>
      </c>
      <c r="E554" t="s">
        <v>52</v>
      </c>
      <c r="F554">
        <v>9</v>
      </c>
      <c r="G554" t="s">
        <v>53</v>
      </c>
      <c r="H554">
        <v>3</v>
      </c>
      <c r="I554" t="s">
        <v>42</v>
      </c>
      <c r="J554" t="s">
        <v>54</v>
      </c>
      <c r="K554">
        <v>3</v>
      </c>
      <c r="L554" t="s">
        <v>39</v>
      </c>
      <c r="M554">
        <v>4</v>
      </c>
      <c r="N554" t="s">
        <v>72</v>
      </c>
      <c r="O554" t="s">
        <v>70</v>
      </c>
      <c r="P554">
        <v>4</v>
      </c>
      <c r="Q554" t="s">
        <v>42</v>
      </c>
      <c r="R554" t="s">
        <v>58</v>
      </c>
      <c r="S554">
        <v>7</v>
      </c>
      <c r="T554" t="s">
        <v>44</v>
      </c>
      <c r="U554" t="s">
        <v>59</v>
      </c>
      <c r="V554">
        <v>11</v>
      </c>
      <c r="W554" t="s">
        <v>45</v>
      </c>
      <c r="X554">
        <v>30</v>
      </c>
      <c r="Y554">
        <v>2</v>
      </c>
      <c r="Z554" t="s">
        <v>46</v>
      </c>
      <c r="AA554">
        <v>10</v>
      </c>
      <c r="AB554" t="s">
        <v>47</v>
      </c>
      <c r="AC554">
        <v>7</v>
      </c>
      <c r="AD554" t="s">
        <v>47</v>
      </c>
      <c r="AE554">
        <v>1</v>
      </c>
      <c r="AF554" t="s">
        <v>49</v>
      </c>
    </row>
    <row r="555" spans="1:32" x14ac:dyDescent="0.25">
      <c r="A555">
        <v>40</v>
      </c>
      <c r="B555" t="s">
        <v>32</v>
      </c>
      <c r="C555" t="s">
        <v>50</v>
      </c>
      <c r="D555" t="s">
        <v>34</v>
      </c>
      <c r="E555" t="s">
        <v>52</v>
      </c>
      <c r="F555">
        <v>2</v>
      </c>
      <c r="G555" t="s">
        <v>36</v>
      </c>
      <c r="H555">
        <v>4</v>
      </c>
      <c r="I555" t="s">
        <v>42</v>
      </c>
      <c r="J555" t="s">
        <v>38</v>
      </c>
      <c r="K555">
        <v>2</v>
      </c>
      <c r="L555" t="s">
        <v>55</v>
      </c>
      <c r="M555">
        <v>1</v>
      </c>
      <c r="N555" t="s">
        <v>40</v>
      </c>
      <c r="O555" t="s">
        <v>56</v>
      </c>
      <c r="P555">
        <v>4</v>
      </c>
      <c r="Q555" t="s">
        <v>42</v>
      </c>
      <c r="R555" t="s">
        <v>43</v>
      </c>
      <c r="S555">
        <v>0</v>
      </c>
      <c r="T555" t="s">
        <v>44</v>
      </c>
      <c r="U555" t="s">
        <v>44</v>
      </c>
      <c r="V555">
        <v>20</v>
      </c>
      <c r="W555" t="s">
        <v>60</v>
      </c>
      <c r="X555">
        <v>5</v>
      </c>
      <c r="Y555">
        <v>2</v>
      </c>
      <c r="Z555" t="s">
        <v>46</v>
      </c>
      <c r="AA555">
        <v>4</v>
      </c>
      <c r="AB555" t="s">
        <v>48</v>
      </c>
      <c r="AC555">
        <v>2</v>
      </c>
      <c r="AD555" t="s">
        <v>48</v>
      </c>
      <c r="AE555">
        <v>2</v>
      </c>
      <c r="AF555" t="s">
        <v>49</v>
      </c>
    </row>
    <row r="556" spans="1:32" x14ac:dyDescent="0.25">
      <c r="A556">
        <v>27</v>
      </c>
      <c r="B556" t="s">
        <v>63</v>
      </c>
      <c r="C556" t="s">
        <v>50</v>
      </c>
      <c r="D556" t="s">
        <v>34</v>
      </c>
      <c r="E556" t="s">
        <v>52</v>
      </c>
      <c r="F556">
        <v>7</v>
      </c>
      <c r="G556" t="s">
        <v>53</v>
      </c>
      <c r="H556">
        <v>4</v>
      </c>
      <c r="I556" t="s">
        <v>42</v>
      </c>
      <c r="J556" t="s">
        <v>38</v>
      </c>
      <c r="K556">
        <v>2</v>
      </c>
      <c r="L556" t="s">
        <v>55</v>
      </c>
      <c r="M556">
        <v>2</v>
      </c>
      <c r="N556" t="s">
        <v>40</v>
      </c>
      <c r="O556" t="s">
        <v>70</v>
      </c>
      <c r="P556">
        <v>1</v>
      </c>
      <c r="Q556" t="s">
        <v>57</v>
      </c>
      <c r="R556" t="s">
        <v>43</v>
      </c>
      <c r="S556">
        <v>8</v>
      </c>
      <c r="T556" t="s">
        <v>44</v>
      </c>
      <c r="U556" t="s">
        <v>59</v>
      </c>
      <c r="V556">
        <v>19</v>
      </c>
      <c r="W556" t="s">
        <v>45</v>
      </c>
      <c r="X556">
        <v>9</v>
      </c>
      <c r="Y556">
        <v>1</v>
      </c>
      <c r="Z556" t="s">
        <v>46</v>
      </c>
      <c r="AA556">
        <v>7</v>
      </c>
      <c r="AB556" t="s">
        <v>47</v>
      </c>
      <c r="AC556">
        <v>6</v>
      </c>
      <c r="AD556" t="s">
        <v>47</v>
      </c>
      <c r="AE556">
        <v>0</v>
      </c>
      <c r="AF556" t="s">
        <v>49</v>
      </c>
    </row>
    <row r="557" spans="1:32" x14ac:dyDescent="0.25">
      <c r="A557">
        <v>29</v>
      </c>
      <c r="B557" t="s">
        <v>63</v>
      </c>
      <c r="C557" t="s">
        <v>50</v>
      </c>
      <c r="D557" t="s">
        <v>34</v>
      </c>
      <c r="E557" t="s">
        <v>35</v>
      </c>
      <c r="F557">
        <v>10</v>
      </c>
      <c r="G557" t="s">
        <v>53</v>
      </c>
      <c r="H557">
        <v>4</v>
      </c>
      <c r="I557" t="s">
        <v>42</v>
      </c>
      <c r="J557" t="s">
        <v>54</v>
      </c>
      <c r="K557">
        <v>3</v>
      </c>
      <c r="L557" t="s">
        <v>39</v>
      </c>
      <c r="M557">
        <v>1</v>
      </c>
      <c r="N557" t="s">
        <v>40</v>
      </c>
      <c r="O557" t="s">
        <v>75</v>
      </c>
      <c r="P557">
        <v>2</v>
      </c>
      <c r="Q557" t="s">
        <v>57</v>
      </c>
      <c r="R557" t="s">
        <v>67</v>
      </c>
      <c r="S557">
        <v>1</v>
      </c>
      <c r="T557" t="s">
        <v>44</v>
      </c>
      <c r="U557" t="s">
        <v>59</v>
      </c>
      <c r="V557">
        <v>14</v>
      </c>
      <c r="W557" t="s">
        <v>45</v>
      </c>
      <c r="X557">
        <v>2</v>
      </c>
      <c r="Y557">
        <v>3</v>
      </c>
      <c r="Z557" t="s">
        <v>61</v>
      </c>
      <c r="AA557">
        <v>2</v>
      </c>
      <c r="AB557" t="s">
        <v>48</v>
      </c>
      <c r="AC557">
        <v>2</v>
      </c>
      <c r="AD557" t="s">
        <v>48</v>
      </c>
      <c r="AE557">
        <v>2</v>
      </c>
      <c r="AF557" t="s">
        <v>49</v>
      </c>
    </row>
    <row r="558" spans="1:32" x14ac:dyDescent="0.25">
      <c r="A558">
        <v>53</v>
      </c>
      <c r="B558" t="s">
        <v>64</v>
      </c>
      <c r="C558" t="s">
        <v>50</v>
      </c>
      <c r="D558" t="s">
        <v>34</v>
      </c>
      <c r="E558" t="s">
        <v>52</v>
      </c>
      <c r="F558">
        <v>6</v>
      </c>
      <c r="G558" t="s">
        <v>53</v>
      </c>
      <c r="H558">
        <v>4</v>
      </c>
      <c r="I558" t="s">
        <v>42</v>
      </c>
      <c r="J558" t="s">
        <v>54</v>
      </c>
      <c r="K558">
        <v>3</v>
      </c>
      <c r="L558" t="s">
        <v>39</v>
      </c>
      <c r="M558">
        <v>2</v>
      </c>
      <c r="N558" t="s">
        <v>40</v>
      </c>
      <c r="O558" t="s">
        <v>62</v>
      </c>
      <c r="P558">
        <v>4</v>
      </c>
      <c r="Q558" t="s">
        <v>42</v>
      </c>
      <c r="R558" t="s">
        <v>43</v>
      </c>
      <c r="S558">
        <v>2</v>
      </c>
      <c r="T558" t="s">
        <v>44</v>
      </c>
      <c r="U558" t="s">
        <v>59</v>
      </c>
      <c r="V558">
        <v>17</v>
      </c>
      <c r="W558" t="s">
        <v>45</v>
      </c>
      <c r="X558">
        <v>19</v>
      </c>
      <c r="Y558">
        <v>3</v>
      </c>
      <c r="Z558" t="s">
        <v>61</v>
      </c>
      <c r="AA558">
        <v>2</v>
      </c>
      <c r="AB558" t="s">
        <v>48</v>
      </c>
      <c r="AC558">
        <v>2</v>
      </c>
      <c r="AD558" t="s">
        <v>48</v>
      </c>
      <c r="AE558">
        <v>2</v>
      </c>
      <c r="AF558" t="s">
        <v>49</v>
      </c>
    </row>
    <row r="559" spans="1:32" x14ac:dyDescent="0.25">
      <c r="A559">
        <v>35</v>
      </c>
      <c r="B559" t="s">
        <v>32</v>
      </c>
      <c r="C559" t="s">
        <v>50</v>
      </c>
      <c r="D559" t="s">
        <v>34</v>
      </c>
      <c r="E559" t="s">
        <v>52</v>
      </c>
      <c r="F559">
        <v>2</v>
      </c>
      <c r="G559" t="s">
        <v>36</v>
      </c>
      <c r="H559">
        <v>4</v>
      </c>
      <c r="I559" t="s">
        <v>42</v>
      </c>
      <c r="J559" t="s">
        <v>38</v>
      </c>
      <c r="K559">
        <v>3</v>
      </c>
      <c r="L559" t="s">
        <v>39</v>
      </c>
      <c r="M559">
        <v>2</v>
      </c>
      <c r="N559" t="s">
        <v>40</v>
      </c>
      <c r="O559" t="s">
        <v>70</v>
      </c>
      <c r="P559">
        <v>1</v>
      </c>
      <c r="Q559" t="s">
        <v>57</v>
      </c>
      <c r="R559" t="s">
        <v>67</v>
      </c>
      <c r="S559">
        <v>2</v>
      </c>
      <c r="T559" t="s">
        <v>44</v>
      </c>
      <c r="U559" t="s">
        <v>59</v>
      </c>
      <c r="V559">
        <v>11</v>
      </c>
      <c r="W559" t="s">
        <v>45</v>
      </c>
      <c r="X559">
        <v>16</v>
      </c>
      <c r="Y559">
        <v>4</v>
      </c>
      <c r="Z559" t="s">
        <v>61</v>
      </c>
      <c r="AA559">
        <v>1</v>
      </c>
      <c r="AB559" t="s">
        <v>48</v>
      </c>
      <c r="AC559">
        <v>0</v>
      </c>
      <c r="AD559" t="s">
        <v>48</v>
      </c>
      <c r="AE559">
        <v>0</v>
      </c>
      <c r="AF559" t="s">
        <v>49</v>
      </c>
    </row>
    <row r="560" spans="1:32" x14ac:dyDescent="0.25">
      <c r="A560">
        <v>32</v>
      </c>
      <c r="B560" t="s">
        <v>32</v>
      </c>
      <c r="C560" t="s">
        <v>50</v>
      </c>
      <c r="D560" t="s">
        <v>51</v>
      </c>
      <c r="E560" t="s">
        <v>52</v>
      </c>
      <c r="F560">
        <v>24</v>
      </c>
      <c r="G560" t="s">
        <v>66</v>
      </c>
      <c r="H560">
        <v>1</v>
      </c>
      <c r="I560" t="s">
        <v>37</v>
      </c>
      <c r="J560" t="s">
        <v>54</v>
      </c>
      <c r="K560">
        <v>3</v>
      </c>
      <c r="L560" t="s">
        <v>39</v>
      </c>
      <c r="M560">
        <v>2</v>
      </c>
      <c r="N560" t="s">
        <v>40</v>
      </c>
      <c r="O560" t="s">
        <v>62</v>
      </c>
      <c r="P560">
        <v>4</v>
      </c>
      <c r="Q560" t="s">
        <v>42</v>
      </c>
      <c r="R560" t="s">
        <v>58</v>
      </c>
      <c r="S560">
        <v>1</v>
      </c>
      <c r="T560" t="s">
        <v>44</v>
      </c>
      <c r="U560" t="s">
        <v>59</v>
      </c>
      <c r="V560">
        <v>15</v>
      </c>
      <c r="W560" t="s">
        <v>45</v>
      </c>
      <c r="X560">
        <v>10</v>
      </c>
      <c r="Y560">
        <v>3</v>
      </c>
      <c r="Z560" t="s">
        <v>61</v>
      </c>
      <c r="AA560">
        <v>10</v>
      </c>
      <c r="AB560" t="s">
        <v>47</v>
      </c>
      <c r="AC560">
        <v>8</v>
      </c>
      <c r="AD560" t="s">
        <v>47</v>
      </c>
      <c r="AE560">
        <v>4</v>
      </c>
      <c r="AF560" t="s">
        <v>71</v>
      </c>
    </row>
    <row r="561" spans="1:32" x14ac:dyDescent="0.25">
      <c r="A561">
        <v>38</v>
      </c>
      <c r="B561" t="s">
        <v>32</v>
      </c>
      <c r="C561" t="s">
        <v>50</v>
      </c>
      <c r="D561" t="s">
        <v>34</v>
      </c>
      <c r="E561" t="s">
        <v>52</v>
      </c>
      <c r="F561">
        <v>2</v>
      </c>
      <c r="G561" t="s">
        <v>36</v>
      </c>
      <c r="H561">
        <v>4</v>
      </c>
      <c r="I561" t="s">
        <v>42</v>
      </c>
      <c r="J561" t="s">
        <v>54</v>
      </c>
      <c r="K561">
        <v>3</v>
      </c>
      <c r="L561" t="s">
        <v>39</v>
      </c>
      <c r="M561">
        <v>1</v>
      </c>
      <c r="N561" t="s">
        <v>40</v>
      </c>
      <c r="O561" t="s">
        <v>56</v>
      </c>
      <c r="P561">
        <v>3</v>
      </c>
      <c r="Q561" t="s">
        <v>42</v>
      </c>
      <c r="R561" t="s">
        <v>58</v>
      </c>
      <c r="S561">
        <v>6</v>
      </c>
      <c r="T561" t="s">
        <v>44</v>
      </c>
      <c r="U561" t="s">
        <v>44</v>
      </c>
      <c r="V561">
        <v>13</v>
      </c>
      <c r="W561" t="s">
        <v>45</v>
      </c>
      <c r="X561">
        <v>6</v>
      </c>
      <c r="Y561">
        <v>1</v>
      </c>
      <c r="Z561" t="s">
        <v>46</v>
      </c>
      <c r="AA561">
        <v>1</v>
      </c>
      <c r="AB561" t="s">
        <v>48</v>
      </c>
      <c r="AC561">
        <v>0</v>
      </c>
      <c r="AD561" t="s">
        <v>48</v>
      </c>
      <c r="AE561">
        <v>0</v>
      </c>
      <c r="AF561" t="s">
        <v>49</v>
      </c>
    </row>
    <row r="562" spans="1:32" x14ac:dyDescent="0.25">
      <c r="A562">
        <v>34</v>
      </c>
      <c r="B562" t="s">
        <v>32</v>
      </c>
      <c r="C562" t="s">
        <v>50</v>
      </c>
      <c r="D562" t="s">
        <v>34</v>
      </c>
      <c r="E562" t="s">
        <v>52</v>
      </c>
      <c r="F562">
        <v>8</v>
      </c>
      <c r="G562" t="s">
        <v>53</v>
      </c>
      <c r="H562">
        <v>2</v>
      </c>
      <c r="I562" t="s">
        <v>37</v>
      </c>
      <c r="J562" t="s">
        <v>38</v>
      </c>
      <c r="K562">
        <v>3</v>
      </c>
      <c r="L562" t="s">
        <v>39</v>
      </c>
      <c r="M562">
        <v>2</v>
      </c>
      <c r="N562" t="s">
        <v>40</v>
      </c>
      <c r="O562" t="s">
        <v>69</v>
      </c>
      <c r="P562">
        <v>1</v>
      </c>
      <c r="Q562" t="s">
        <v>57</v>
      </c>
      <c r="R562" t="s">
        <v>67</v>
      </c>
      <c r="S562">
        <v>3</v>
      </c>
      <c r="T562" t="s">
        <v>44</v>
      </c>
      <c r="U562" t="s">
        <v>59</v>
      </c>
      <c r="V562">
        <v>14</v>
      </c>
      <c r="W562" t="s">
        <v>45</v>
      </c>
      <c r="X562">
        <v>7</v>
      </c>
      <c r="Y562">
        <v>3</v>
      </c>
      <c r="Z562" t="s">
        <v>61</v>
      </c>
      <c r="AA562">
        <v>0</v>
      </c>
      <c r="AB562" t="s">
        <v>48</v>
      </c>
      <c r="AC562">
        <v>0</v>
      </c>
      <c r="AD562" t="s">
        <v>48</v>
      </c>
      <c r="AE562">
        <v>0</v>
      </c>
      <c r="AF562" t="s">
        <v>49</v>
      </c>
    </row>
    <row r="563" spans="1:32" x14ac:dyDescent="0.25">
      <c r="A563">
        <v>52</v>
      </c>
      <c r="B563" t="s">
        <v>64</v>
      </c>
      <c r="C563" t="s">
        <v>50</v>
      </c>
      <c r="D563" t="s">
        <v>34</v>
      </c>
      <c r="E563" t="s">
        <v>35</v>
      </c>
      <c r="F563">
        <v>3</v>
      </c>
      <c r="G563" t="s">
        <v>36</v>
      </c>
      <c r="H563">
        <v>3</v>
      </c>
      <c r="I563" t="s">
        <v>42</v>
      </c>
      <c r="J563" t="s">
        <v>54</v>
      </c>
      <c r="K563">
        <v>2</v>
      </c>
      <c r="L563" t="s">
        <v>55</v>
      </c>
      <c r="M563">
        <v>4</v>
      </c>
      <c r="N563" t="s">
        <v>72</v>
      </c>
      <c r="O563" t="s">
        <v>73</v>
      </c>
      <c r="P563">
        <v>1</v>
      </c>
      <c r="Q563" t="s">
        <v>57</v>
      </c>
      <c r="R563" t="s">
        <v>58</v>
      </c>
      <c r="S563">
        <v>1</v>
      </c>
      <c r="T563" t="s">
        <v>44</v>
      </c>
      <c r="U563" t="s">
        <v>59</v>
      </c>
      <c r="V563">
        <v>11</v>
      </c>
      <c r="W563" t="s">
        <v>45</v>
      </c>
      <c r="X563">
        <v>34</v>
      </c>
      <c r="Y563">
        <v>4</v>
      </c>
      <c r="Z563" t="s">
        <v>61</v>
      </c>
      <c r="AA563">
        <v>34</v>
      </c>
      <c r="AB563" t="s">
        <v>74</v>
      </c>
      <c r="AC563">
        <v>6</v>
      </c>
      <c r="AD563" t="s">
        <v>47</v>
      </c>
      <c r="AE563">
        <v>1</v>
      </c>
      <c r="AF563" t="s">
        <v>49</v>
      </c>
    </row>
    <row r="564" spans="1:32" x14ac:dyDescent="0.25">
      <c r="A564">
        <v>33</v>
      </c>
      <c r="B564" t="s">
        <v>32</v>
      </c>
      <c r="C564" t="s">
        <v>33</v>
      </c>
      <c r="D564" t="s">
        <v>34</v>
      </c>
      <c r="E564" t="s">
        <v>52</v>
      </c>
      <c r="F564">
        <v>1</v>
      </c>
      <c r="G564" t="s">
        <v>36</v>
      </c>
      <c r="H564">
        <v>4</v>
      </c>
      <c r="I564" t="s">
        <v>42</v>
      </c>
      <c r="J564" t="s">
        <v>54</v>
      </c>
      <c r="K564">
        <v>3</v>
      </c>
      <c r="L564" t="s">
        <v>39</v>
      </c>
      <c r="M564">
        <v>1</v>
      </c>
      <c r="N564" t="s">
        <v>40</v>
      </c>
      <c r="O564" t="s">
        <v>56</v>
      </c>
      <c r="P564">
        <v>4</v>
      </c>
      <c r="Q564" t="s">
        <v>42</v>
      </c>
      <c r="R564" t="s">
        <v>43</v>
      </c>
      <c r="S564">
        <v>1</v>
      </c>
      <c r="T564" t="s">
        <v>44</v>
      </c>
      <c r="U564" t="s">
        <v>44</v>
      </c>
      <c r="V564">
        <v>13</v>
      </c>
      <c r="W564" t="s">
        <v>45</v>
      </c>
      <c r="X564">
        <v>10</v>
      </c>
      <c r="Y564">
        <v>2</v>
      </c>
      <c r="Z564" t="s">
        <v>46</v>
      </c>
      <c r="AA564">
        <v>10</v>
      </c>
      <c r="AB564" t="s">
        <v>47</v>
      </c>
      <c r="AC564">
        <v>9</v>
      </c>
      <c r="AD564" t="s">
        <v>47</v>
      </c>
      <c r="AE564">
        <v>7</v>
      </c>
      <c r="AF564" t="s">
        <v>71</v>
      </c>
    </row>
    <row r="565" spans="1:32" x14ac:dyDescent="0.25">
      <c r="A565">
        <v>25</v>
      </c>
      <c r="B565" t="s">
        <v>63</v>
      </c>
      <c r="C565" t="s">
        <v>50</v>
      </c>
      <c r="D565" t="s">
        <v>34</v>
      </c>
      <c r="E565" t="s">
        <v>35</v>
      </c>
      <c r="F565">
        <v>26</v>
      </c>
      <c r="G565" t="s">
        <v>66</v>
      </c>
      <c r="H565">
        <v>3</v>
      </c>
      <c r="I565" t="s">
        <v>42</v>
      </c>
      <c r="J565" t="s">
        <v>38</v>
      </c>
      <c r="K565">
        <v>3</v>
      </c>
      <c r="L565" t="s">
        <v>39</v>
      </c>
      <c r="M565">
        <v>2</v>
      </c>
      <c r="N565" t="s">
        <v>40</v>
      </c>
      <c r="O565" t="s">
        <v>41</v>
      </c>
      <c r="P565">
        <v>4</v>
      </c>
      <c r="Q565" t="s">
        <v>42</v>
      </c>
      <c r="R565" t="s">
        <v>43</v>
      </c>
      <c r="S565">
        <v>1</v>
      </c>
      <c r="T565" t="s">
        <v>44</v>
      </c>
      <c r="U565" t="s">
        <v>59</v>
      </c>
      <c r="V565">
        <v>23</v>
      </c>
      <c r="W565" t="s">
        <v>60</v>
      </c>
      <c r="X565">
        <v>6</v>
      </c>
      <c r="Y565">
        <v>2</v>
      </c>
      <c r="Z565" t="s">
        <v>46</v>
      </c>
      <c r="AA565">
        <v>6</v>
      </c>
      <c r="AB565" t="s">
        <v>47</v>
      </c>
      <c r="AC565">
        <v>5</v>
      </c>
      <c r="AD565" t="s">
        <v>47</v>
      </c>
      <c r="AE565">
        <v>1</v>
      </c>
      <c r="AF565" t="s">
        <v>49</v>
      </c>
    </row>
    <row r="566" spans="1:32" x14ac:dyDescent="0.25">
      <c r="A566">
        <v>45</v>
      </c>
      <c r="B566" t="s">
        <v>32</v>
      </c>
      <c r="C566" t="s">
        <v>50</v>
      </c>
      <c r="D566" t="s">
        <v>34</v>
      </c>
      <c r="E566" t="s">
        <v>35</v>
      </c>
      <c r="F566">
        <v>2</v>
      </c>
      <c r="G566" t="s">
        <v>36</v>
      </c>
      <c r="H566">
        <v>2</v>
      </c>
      <c r="I566" t="s">
        <v>37</v>
      </c>
      <c r="J566" t="s">
        <v>54</v>
      </c>
      <c r="K566">
        <v>1</v>
      </c>
      <c r="L566" t="s">
        <v>55</v>
      </c>
      <c r="M566">
        <v>2</v>
      </c>
      <c r="N566" t="s">
        <v>40</v>
      </c>
      <c r="O566" t="s">
        <v>75</v>
      </c>
      <c r="P566">
        <v>3</v>
      </c>
      <c r="Q566" t="s">
        <v>42</v>
      </c>
      <c r="R566" t="s">
        <v>43</v>
      </c>
      <c r="S566">
        <v>0</v>
      </c>
      <c r="T566" t="s">
        <v>44</v>
      </c>
      <c r="U566" t="s">
        <v>59</v>
      </c>
      <c r="V566">
        <v>13</v>
      </c>
      <c r="W566" t="s">
        <v>45</v>
      </c>
      <c r="X566">
        <v>9</v>
      </c>
      <c r="Y566">
        <v>3</v>
      </c>
      <c r="Z566" t="s">
        <v>61</v>
      </c>
      <c r="AA566">
        <v>8</v>
      </c>
      <c r="AB566" t="s">
        <v>47</v>
      </c>
      <c r="AC566">
        <v>7</v>
      </c>
      <c r="AD566" t="s">
        <v>47</v>
      </c>
      <c r="AE566">
        <v>3</v>
      </c>
      <c r="AF566" t="s">
        <v>49</v>
      </c>
    </row>
    <row r="567" spans="1:32" x14ac:dyDescent="0.25">
      <c r="A567">
        <v>23</v>
      </c>
      <c r="B567" t="s">
        <v>63</v>
      </c>
      <c r="C567" t="s">
        <v>50</v>
      </c>
      <c r="D567" t="s">
        <v>34</v>
      </c>
      <c r="E567" t="s">
        <v>52</v>
      </c>
      <c r="F567">
        <v>10</v>
      </c>
      <c r="G567" t="s">
        <v>53</v>
      </c>
      <c r="H567">
        <v>1</v>
      </c>
      <c r="I567" t="s">
        <v>37</v>
      </c>
      <c r="J567" t="s">
        <v>54</v>
      </c>
      <c r="K567">
        <v>4</v>
      </c>
      <c r="L567" t="s">
        <v>65</v>
      </c>
      <c r="M567">
        <v>1</v>
      </c>
      <c r="N567" t="s">
        <v>40</v>
      </c>
      <c r="O567" t="s">
        <v>56</v>
      </c>
      <c r="P567">
        <v>3</v>
      </c>
      <c r="Q567" t="s">
        <v>42</v>
      </c>
      <c r="R567" t="s">
        <v>43</v>
      </c>
      <c r="S567">
        <v>1</v>
      </c>
      <c r="T567" t="s">
        <v>44</v>
      </c>
      <c r="U567" t="s">
        <v>59</v>
      </c>
      <c r="V567">
        <v>18</v>
      </c>
      <c r="W567" t="s">
        <v>45</v>
      </c>
      <c r="X567">
        <v>2</v>
      </c>
      <c r="Y567">
        <v>3</v>
      </c>
      <c r="Z567" t="s">
        <v>61</v>
      </c>
      <c r="AA567">
        <v>2</v>
      </c>
      <c r="AB567" t="s">
        <v>48</v>
      </c>
      <c r="AC567">
        <v>2</v>
      </c>
      <c r="AD567" t="s">
        <v>48</v>
      </c>
      <c r="AE567">
        <v>0</v>
      </c>
      <c r="AF567" t="s">
        <v>49</v>
      </c>
    </row>
    <row r="568" spans="1:32" x14ac:dyDescent="0.25">
      <c r="A568">
        <v>47</v>
      </c>
      <c r="B568" t="s">
        <v>32</v>
      </c>
      <c r="C568" t="s">
        <v>33</v>
      </c>
      <c r="D568" t="s">
        <v>51</v>
      </c>
      <c r="E568" t="s">
        <v>35</v>
      </c>
      <c r="F568">
        <v>27</v>
      </c>
      <c r="G568" t="s">
        <v>66</v>
      </c>
      <c r="H568">
        <v>2</v>
      </c>
      <c r="I568" t="s">
        <v>37</v>
      </c>
      <c r="J568" t="s">
        <v>38</v>
      </c>
      <c r="K568">
        <v>4</v>
      </c>
      <c r="L568" t="s">
        <v>65</v>
      </c>
      <c r="M568">
        <v>2</v>
      </c>
      <c r="N568" t="s">
        <v>40</v>
      </c>
      <c r="O568" t="s">
        <v>41</v>
      </c>
      <c r="P568">
        <v>3</v>
      </c>
      <c r="Q568" t="s">
        <v>42</v>
      </c>
      <c r="R568" t="s">
        <v>43</v>
      </c>
      <c r="S568">
        <v>4</v>
      </c>
      <c r="T568" t="s">
        <v>44</v>
      </c>
      <c r="U568" t="s">
        <v>44</v>
      </c>
      <c r="V568">
        <v>12</v>
      </c>
      <c r="W568" t="s">
        <v>45</v>
      </c>
      <c r="X568">
        <v>8</v>
      </c>
      <c r="Y568">
        <v>3</v>
      </c>
      <c r="Z568" t="s">
        <v>61</v>
      </c>
      <c r="AA568">
        <v>5</v>
      </c>
      <c r="AB568" t="s">
        <v>47</v>
      </c>
      <c r="AC568">
        <v>4</v>
      </c>
      <c r="AD568" t="s">
        <v>48</v>
      </c>
      <c r="AE568">
        <v>1</v>
      </c>
      <c r="AF568" t="s">
        <v>49</v>
      </c>
    </row>
    <row r="569" spans="1:32" x14ac:dyDescent="0.25">
      <c r="A569">
        <v>34</v>
      </c>
      <c r="B569" t="s">
        <v>32</v>
      </c>
      <c r="C569" t="s">
        <v>50</v>
      </c>
      <c r="D569" t="s">
        <v>34</v>
      </c>
      <c r="E569" t="s">
        <v>35</v>
      </c>
      <c r="F569">
        <v>2</v>
      </c>
      <c r="G569" t="s">
        <v>36</v>
      </c>
      <c r="H569">
        <v>4</v>
      </c>
      <c r="I569" t="s">
        <v>42</v>
      </c>
      <c r="J569" t="s">
        <v>54</v>
      </c>
      <c r="K569">
        <v>3</v>
      </c>
      <c r="L569" t="s">
        <v>39</v>
      </c>
      <c r="M569">
        <v>2</v>
      </c>
      <c r="N569" t="s">
        <v>40</v>
      </c>
      <c r="O569" t="s">
        <v>41</v>
      </c>
      <c r="P569">
        <v>4</v>
      </c>
      <c r="Q569" t="s">
        <v>42</v>
      </c>
      <c r="R569" t="s">
        <v>43</v>
      </c>
      <c r="S569">
        <v>1</v>
      </c>
      <c r="T569" t="s">
        <v>44</v>
      </c>
      <c r="U569" t="s">
        <v>59</v>
      </c>
      <c r="V569">
        <v>22</v>
      </c>
      <c r="W569" t="s">
        <v>60</v>
      </c>
      <c r="X569">
        <v>6</v>
      </c>
      <c r="Y569">
        <v>3</v>
      </c>
      <c r="Z569" t="s">
        <v>61</v>
      </c>
      <c r="AA569">
        <v>6</v>
      </c>
      <c r="AB569" t="s">
        <v>47</v>
      </c>
      <c r="AC569">
        <v>5</v>
      </c>
      <c r="AD569" t="s">
        <v>47</v>
      </c>
      <c r="AE569">
        <v>1</v>
      </c>
      <c r="AF569" t="s">
        <v>49</v>
      </c>
    </row>
    <row r="570" spans="1:32" x14ac:dyDescent="0.25">
      <c r="A570">
        <v>55</v>
      </c>
      <c r="B570" t="s">
        <v>64</v>
      </c>
      <c r="C570" t="s">
        <v>33</v>
      </c>
      <c r="D570" t="s">
        <v>34</v>
      </c>
      <c r="E570" t="s">
        <v>52</v>
      </c>
      <c r="F570">
        <v>2</v>
      </c>
      <c r="G570" t="s">
        <v>36</v>
      </c>
      <c r="H570">
        <v>4</v>
      </c>
      <c r="I570" t="s">
        <v>42</v>
      </c>
      <c r="J570" t="s">
        <v>54</v>
      </c>
      <c r="K570">
        <v>3</v>
      </c>
      <c r="L570" t="s">
        <v>39</v>
      </c>
      <c r="M570">
        <v>5</v>
      </c>
      <c r="N570" t="s">
        <v>72</v>
      </c>
      <c r="O570" t="s">
        <v>73</v>
      </c>
      <c r="P570">
        <v>1</v>
      </c>
      <c r="Q570" t="s">
        <v>57</v>
      </c>
      <c r="R570" t="s">
        <v>58</v>
      </c>
      <c r="S570">
        <v>5</v>
      </c>
      <c r="T570" t="s">
        <v>44</v>
      </c>
      <c r="U570" t="s">
        <v>44</v>
      </c>
      <c r="V570">
        <v>13</v>
      </c>
      <c r="W570" t="s">
        <v>45</v>
      </c>
      <c r="X570">
        <v>24</v>
      </c>
      <c r="Y570">
        <v>3</v>
      </c>
      <c r="Z570" t="s">
        <v>61</v>
      </c>
      <c r="AA570">
        <v>5</v>
      </c>
      <c r="AB570" t="s">
        <v>47</v>
      </c>
      <c r="AC570">
        <v>2</v>
      </c>
      <c r="AD570" t="s">
        <v>48</v>
      </c>
      <c r="AE570">
        <v>1</v>
      </c>
      <c r="AF570" t="s">
        <v>49</v>
      </c>
    </row>
    <row r="571" spans="1:32" x14ac:dyDescent="0.25">
      <c r="A571">
        <v>36</v>
      </c>
      <c r="B571" t="s">
        <v>32</v>
      </c>
      <c r="C571" t="s">
        <v>50</v>
      </c>
      <c r="D571" t="s">
        <v>34</v>
      </c>
      <c r="E571" t="s">
        <v>35</v>
      </c>
      <c r="F571">
        <v>8</v>
      </c>
      <c r="G571" t="s">
        <v>53</v>
      </c>
      <c r="H571">
        <v>1</v>
      </c>
      <c r="I571" t="s">
        <v>37</v>
      </c>
      <c r="J571" t="s">
        <v>54</v>
      </c>
      <c r="K571">
        <v>2</v>
      </c>
      <c r="L571" t="s">
        <v>55</v>
      </c>
      <c r="M571">
        <v>3</v>
      </c>
      <c r="N571" t="s">
        <v>68</v>
      </c>
      <c r="O571" t="s">
        <v>41</v>
      </c>
      <c r="P571">
        <v>1</v>
      </c>
      <c r="Q571" t="s">
        <v>57</v>
      </c>
      <c r="R571" t="s">
        <v>43</v>
      </c>
      <c r="S571">
        <v>1</v>
      </c>
      <c r="T571" t="s">
        <v>44</v>
      </c>
      <c r="U571" t="s">
        <v>59</v>
      </c>
      <c r="V571">
        <v>15</v>
      </c>
      <c r="W571" t="s">
        <v>45</v>
      </c>
      <c r="X571">
        <v>10</v>
      </c>
      <c r="Y571">
        <v>3</v>
      </c>
      <c r="Z571" t="s">
        <v>61</v>
      </c>
      <c r="AA571">
        <v>10</v>
      </c>
      <c r="AB571" t="s">
        <v>47</v>
      </c>
      <c r="AC571">
        <v>7</v>
      </c>
      <c r="AD571" t="s">
        <v>47</v>
      </c>
      <c r="AE571">
        <v>0</v>
      </c>
      <c r="AF571" t="s">
        <v>49</v>
      </c>
    </row>
    <row r="572" spans="1:32" x14ac:dyDescent="0.25">
      <c r="A572">
        <v>52</v>
      </c>
      <c r="B572" t="s">
        <v>64</v>
      </c>
      <c r="C572" t="s">
        <v>50</v>
      </c>
      <c r="D572" t="s">
        <v>34</v>
      </c>
      <c r="E572" t="s">
        <v>52</v>
      </c>
      <c r="F572">
        <v>19</v>
      </c>
      <c r="G572" t="s">
        <v>66</v>
      </c>
      <c r="H572">
        <v>4</v>
      </c>
      <c r="I572" t="s">
        <v>42</v>
      </c>
      <c r="J572" t="s">
        <v>54</v>
      </c>
      <c r="K572">
        <v>3</v>
      </c>
      <c r="L572" t="s">
        <v>39</v>
      </c>
      <c r="M572">
        <v>1</v>
      </c>
      <c r="N572" t="s">
        <v>40</v>
      </c>
      <c r="O572" t="s">
        <v>56</v>
      </c>
      <c r="P572">
        <v>4</v>
      </c>
      <c r="Q572" t="s">
        <v>42</v>
      </c>
      <c r="R572" t="s">
        <v>58</v>
      </c>
      <c r="S572">
        <v>0</v>
      </c>
      <c r="T572" t="s">
        <v>44</v>
      </c>
      <c r="U572" t="s">
        <v>59</v>
      </c>
      <c r="V572">
        <v>18</v>
      </c>
      <c r="W572" t="s">
        <v>45</v>
      </c>
      <c r="X572">
        <v>5</v>
      </c>
      <c r="Y572">
        <v>3</v>
      </c>
      <c r="Z572" t="s">
        <v>61</v>
      </c>
      <c r="AA572">
        <v>4</v>
      </c>
      <c r="AB572" t="s">
        <v>48</v>
      </c>
      <c r="AC572">
        <v>3</v>
      </c>
      <c r="AD572" t="s">
        <v>48</v>
      </c>
      <c r="AE572">
        <v>1</v>
      </c>
      <c r="AF572" t="s">
        <v>49</v>
      </c>
    </row>
    <row r="573" spans="1:32" x14ac:dyDescent="0.25">
      <c r="A573">
        <v>26</v>
      </c>
      <c r="B573" t="s">
        <v>63</v>
      </c>
      <c r="C573" t="s">
        <v>50</v>
      </c>
      <c r="D573" t="s">
        <v>51</v>
      </c>
      <c r="E573" t="s">
        <v>52</v>
      </c>
      <c r="F573">
        <v>1</v>
      </c>
      <c r="G573" t="s">
        <v>36</v>
      </c>
      <c r="H573">
        <v>1</v>
      </c>
      <c r="I573" t="s">
        <v>37</v>
      </c>
      <c r="J573" t="s">
        <v>38</v>
      </c>
      <c r="K573">
        <v>1</v>
      </c>
      <c r="L573" t="s">
        <v>55</v>
      </c>
      <c r="M573">
        <v>1</v>
      </c>
      <c r="N573" t="s">
        <v>40</v>
      </c>
      <c r="O573" t="s">
        <v>62</v>
      </c>
      <c r="P573">
        <v>4</v>
      </c>
      <c r="Q573" t="s">
        <v>42</v>
      </c>
      <c r="R573" t="s">
        <v>67</v>
      </c>
      <c r="S573">
        <v>3</v>
      </c>
      <c r="T573" t="s">
        <v>44</v>
      </c>
      <c r="U573" t="s">
        <v>59</v>
      </c>
      <c r="V573">
        <v>14</v>
      </c>
      <c r="W573" t="s">
        <v>45</v>
      </c>
      <c r="X573">
        <v>5</v>
      </c>
      <c r="Y573">
        <v>3</v>
      </c>
      <c r="Z573" t="s">
        <v>61</v>
      </c>
      <c r="AA573">
        <v>2</v>
      </c>
      <c r="AB573" t="s">
        <v>48</v>
      </c>
      <c r="AC573">
        <v>2</v>
      </c>
      <c r="AD573" t="s">
        <v>48</v>
      </c>
      <c r="AE573">
        <v>2</v>
      </c>
      <c r="AF573" t="s">
        <v>49</v>
      </c>
    </row>
    <row r="574" spans="1:32" x14ac:dyDescent="0.25">
      <c r="A574">
        <v>29</v>
      </c>
      <c r="B574" t="s">
        <v>63</v>
      </c>
      <c r="C574" t="s">
        <v>50</v>
      </c>
      <c r="D574" t="s">
        <v>34</v>
      </c>
      <c r="E574" t="s">
        <v>52</v>
      </c>
      <c r="F574">
        <v>27</v>
      </c>
      <c r="G574" t="s">
        <v>66</v>
      </c>
      <c r="H574">
        <v>2</v>
      </c>
      <c r="I574" t="s">
        <v>37</v>
      </c>
      <c r="J574" t="s">
        <v>38</v>
      </c>
      <c r="K574">
        <v>3</v>
      </c>
      <c r="L574" t="s">
        <v>39</v>
      </c>
      <c r="M574">
        <v>2</v>
      </c>
      <c r="N574" t="s">
        <v>40</v>
      </c>
      <c r="O574" t="s">
        <v>70</v>
      </c>
      <c r="P574">
        <v>3</v>
      </c>
      <c r="Q574" t="s">
        <v>42</v>
      </c>
      <c r="R574" t="s">
        <v>58</v>
      </c>
      <c r="S574">
        <v>4</v>
      </c>
      <c r="T574" t="s">
        <v>44</v>
      </c>
      <c r="U574" t="s">
        <v>59</v>
      </c>
      <c r="V574">
        <v>12</v>
      </c>
      <c r="W574" t="s">
        <v>45</v>
      </c>
      <c r="X574">
        <v>11</v>
      </c>
      <c r="Y574">
        <v>2</v>
      </c>
      <c r="Z574" t="s">
        <v>46</v>
      </c>
      <c r="AA574">
        <v>8</v>
      </c>
      <c r="AB574" t="s">
        <v>47</v>
      </c>
      <c r="AC574">
        <v>7</v>
      </c>
      <c r="AD574" t="s">
        <v>47</v>
      </c>
      <c r="AE574">
        <v>1</v>
      </c>
      <c r="AF574" t="s">
        <v>49</v>
      </c>
    </row>
    <row r="575" spans="1:32" x14ac:dyDescent="0.25">
      <c r="A575">
        <v>26</v>
      </c>
      <c r="B575" t="s">
        <v>63</v>
      </c>
      <c r="C575" t="s">
        <v>33</v>
      </c>
      <c r="D575" t="s">
        <v>34</v>
      </c>
      <c r="E575" t="s">
        <v>35</v>
      </c>
      <c r="F575">
        <v>8</v>
      </c>
      <c r="G575" t="s">
        <v>53</v>
      </c>
      <c r="H575">
        <v>4</v>
      </c>
      <c r="I575" t="s">
        <v>42</v>
      </c>
      <c r="J575" t="s">
        <v>54</v>
      </c>
      <c r="K575">
        <v>2</v>
      </c>
      <c r="L575" t="s">
        <v>55</v>
      </c>
      <c r="M575">
        <v>2</v>
      </c>
      <c r="N575" t="s">
        <v>40</v>
      </c>
      <c r="O575" t="s">
        <v>41</v>
      </c>
      <c r="P575">
        <v>1</v>
      </c>
      <c r="Q575" t="s">
        <v>57</v>
      </c>
      <c r="R575" t="s">
        <v>43</v>
      </c>
      <c r="S575">
        <v>6</v>
      </c>
      <c r="T575" t="s">
        <v>44</v>
      </c>
      <c r="U575" t="s">
        <v>59</v>
      </c>
      <c r="V575">
        <v>17</v>
      </c>
      <c r="W575" t="s">
        <v>45</v>
      </c>
      <c r="X575">
        <v>6</v>
      </c>
      <c r="Y575">
        <v>2</v>
      </c>
      <c r="Z575" t="s">
        <v>46</v>
      </c>
      <c r="AA575">
        <v>4</v>
      </c>
      <c r="AB575" t="s">
        <v>48</v>
      </c>
      <c r="AC575">
        <v>3</v>
      </c>
      <c r="AD575" t="s">
        <v>48</v>
      </c>
      <c r="AE575">
        <v>1</v>
      </c>
      <c r="AF575" t="s">
        <v>49</v>
      </c>
    </row>
    <row r="576" spans="1:32" x14ac:dyDescent="0.25">
      <c r="A576">
        <v>34</v>
      </c>
      <c r="B576" t="s">
        <v>32</v>
      </c>
      <c r="C576" t="s">
        <v>50</v>
      </c>
      <c r="D576" t="s">
        <v>34</v>
      </c>
      <c r="E576" t="s">
        <v>52</v>
      </c>
      <c r="F576">
        <v>1</v>
      </c>
      <c r="G576" t="s">
        <v>36</v>
      </c>
      <c r="H576">
        <v>2</v>
      </c>
      <c r="I576" t="s">
        <v>37</v>
      </c>
      <c r="J576" t="s">
        <v>38</v>
      </c>
      <c r="K576">
        <v>4</v>
      </c>
      <c r="L576" t="s">
        <v>65</v>
      </c>
      <c r="M576">
        <v>1</v>
      </c>
      <c r="N576" t="s">
        <v>40</v>
      </c>
      <c r="O576" t="s">
        <v>56</v>
      </c>
      <c r="P576">
        <v>4</v>
      </c>
      <c r="Q576" t="s">
        <v>42</v>
      </c>
      <c r="R576" t="s">
        <v>43</v>
      </c>
      <c r="S576">
        <v>2</v>
      </c>
      <c r="T576" t="s">
        <v>44</v>
      </c>
      <c r="U576" t="s">
        <v>59</v>
      </c>
      <c r="V576">
        <v>16</v>
      </c>
      <c r="W576" t="s">
        <v>45</v>
      </c>
      <c r="X576">
        <v>10</v>
      </c>
      <c r="Y576">
        <v>3</v>
      </c>
      <c r="Z576" t="s">
        <v>61</v>
      </c>
      <c r="AA576">
        <v>4</v>
      </c>
      <c r="AB576" t="s">
        <v>48</v>
      </c>
      <c r="AC576">
        <v>2</v>
      </c>
      <c r="AD576" t="s">
        <v>48</v>
      </c>
      <c r="AE576">
        <v>1</v>
      </c>
      <c r="AF576" t="s">
        <v>49</v>
      </c>
    </row>
    <row r="577" spans="1:32" x14ac:dyDescent="0.25">
      <c r="A577">
        <v>54</v>
      </c>
      <c r="B577" t="s">
        <v>64</v>
      </c>
      <c r="C577" t="s">
        <v>50</v>
      </c>
      <c r="D577" t="s">
        <v>34</v>
      </c>
      <c r="E577" t="s">
        <v>52</v>
      </c>
      <c r="F577">
        <v>19</v>
      </c>
      <c r="G577" t="s">
        <v>66</v>
      </c>
      <c r="H577">
        <v>4</v>
      </c>
      <c r="I577" t="s">
        <v>42</v>
      </c>
      <c r="J577" t="s">
        <v>38</v>
      </c>
      <c r="K577">
        <v>3</v>
      </c>
      <c r="L577" t="s">
        <v>39</v>
      </c>
      <c r="M577">
        <v>2</v>
      </c>
      <c r="N577" t="s">
        <v>40</v>
      </c>
      <c r="O577" t="s">
        <v>69</v>
      </c>
      <c r="P577">
        <v>1</v>
      </c>
      <c r="Q577" t="s">
        <v>57</v>
      </c>
      <c r="R577" t="s">
        <v>67</v>
      </c>
      <c r="S577">
        <v>9</v>
      </c>
      <c r="T577" t="s">
        <v>44</v>
      </c>
      <c r="U577" t="s">
        <v>44</v>
      </c>
      <c r="V577">
        <v>11</v>
      </c>
      <c r="W577" t="s">
        <v>45</v>
      </c>
      <c r="X577">
        <v>9</v>
      </c>
      <c r="Y577">
        <v>3</v>
      </c>
      <c r="Z577" t="s">
        <v>61</v>
      </c>
      <c r="AA577">
        <v>5</v>
      </c>
      <c r="AB577" t="s">
        <v>47</v>
      </c>
      <c r="AC577">
        <v>3</v>
      </c>
      <c r="AD577" t="s">
        <v>48</v>
      </c>
      <c r="AE577">
        <v>1</v>
      </c>
      <c r="AF577" t="s">
        <v>49</v>
      </c>
    </row>
    <row r="578" spans="1:32" x14ac:dyDescent="0.25">
      <c r="A578">
        <v>27</v>
      </c>
      <c r="B578" t="s">
        <v>63</v>
      </c>
      <c r="C578" t="s">
        <v>50</v>
      </c>
      <c r="D578" t="s">
        <v>51</v>
      </c>
      <c r="E578" t="s">
        <v>35</v>
      </c>
      <c r="F578">
        <v>8</v>
      </c>
      <c r="G578" t="s">
        <v>53</v>
      </c>
      <c r="H578">
        <v>3</v>
      </c>
      <c r="I578" t="s">
        <v>42</v>
      </c>
      <c r="J578" t="s">
        <v>54</v>
      </c>
      <c r="K578">
        <v>3</v>
      </c>
      <c r="L578" t="s">
        <v>39</v>
      </c>
      <c r="M578">
        <v>2</v>
      </c>
      <c r="N578" t="s">
        <v>40</v>
      </c>
      <c r="O578" t="s">
        <v>41</v>
      </c>
      <c r="P578">
        <v>4</v>
      </c>
      <c r="Q578" t="s">
        <v>42</v>
      </c>
      <c r="R578" t="s">
        <v>58</v>
      </c>
      <c r="S578">
        <v>0</v>
      </c>
      <c r="T578" t="s">
        <v>44</v>
      </c>
      <c r="U578" t="s">
        <v>59</v>
      </c>
      <c r="V578">
        <v>19</v>
      </c>
      <c r="W578" t="s">
        <v>45</v>
      </c>
      <c r="X578">
        <v>5</v>
      </c>
      <c r="Y578">
        <v>3</v>
      </c>
      <c r="Z578" t="s">
        <v>61</v>
      </c>
      <c r="AA578">
        <v>4</v>
      </c>
      <c r="AB578" t="s">
        <v>48</v>
      </c>
      <c r="AC578">
        <v>2</v>
      </c>
      <c r="AD578" t="s">
        <v>48</v>
      </c>
      <c r="AE578">
        <v>1</v>
      </c>
      <c r="AF578" t="s">
        <v>49</v>
      </c>
    </row>
    <row r="579" spans="1:32" x14ac:dyDescent="0.25">
      <c r="A579">
        <v>37</v>
      </c>
      <c r="B579" t="s">
        <v>32</v>
      </c>
      <c r="C579" t="s">
        <v>50</v>
      </c>
      <c r="D579" t="s">
        <v>34</v>
      </c>
      <c r="E579" t="s">
        <v>52</v>
      </c>
      <c r="F579">
        <v>10</v>
      </c>
      <c r="G579" t="s">
        <v>53</v>
      </c>
      <c r="H579">
        <v>4</v>
      </c>
      <c r="I579" t="s">
        <v>42</v>
      </c>
      <c r="J579" t="s">
        <v>38</v>
      </c>
      <c r="K579">
        <v>3</v>
      </c>
      <c r="L579" t="s">
        <v>39</v>
      </c>
      <c r="M579">
        <v>1</v>
      </c>
      <c r="N579" t="s">
        <v>40</v>
      </c>
      <c r="O579" t="s">
        <v>56</v>
      </c>
      <c r="P579">
        <v>1</v>
      </c>
      <c r="Q579" t="s">
        <v>57</v>
      </c>
      <c r="R579" t="s">
        <v>67</v>
      </c>
      <c r="S579">
        <v>0</v>
      </c>
      <c r="T579" t="s">
        <v>44</v>
      </c>
      <c r="U579" t="s">
        <v>44</v>
      </c>
      <c r="V579">
        <v>13</v>
      </c>
      <c r="W579" t="s">
        <v>45</v>
      </c>
      <c r="X579">
        <v>6</v>
      </c>
      <c r="Y579">
        <v>2</v>
      </c>
      <c r="Z579" t="s">
        <v>46</v>
      </c>
      <c r="AA579">
        <v>5</v>
      </c>
      <c r="AB579" t="s">
        <v>47</v>
      </c>
      <c r="AC579">
        <v>3</v>
      </c>
      <c r="AD579" t="s">
        <v>48</v>
      </c>
      <c r="AE579">
        <v>4</v>
      </c>
      <c r="AF579" t="s">
        <v>71</v>
      </c>
    </row>
    <row r="580" spans="1:32" x14ac:dyDescent="0.25">
      <c r="A580">
        <v>38</v>
      </c>
      <c r="B580" t="s">
        <v>32</v>
      </c>
      <c r="C580" t="s">
        <v>50</v>
      </c>
      <c r="D580" t="s">
        <v>51</v>
      </c>
      <c r="E580" t="s">
        <v>52</v>
      </c>
      <c r="F580">
        <v>2</v>
      </c>
      <c r="G580" t="s">
        <v>36</v>
      </c>
      <c r="H580">
        <v>1</v>
      </c>
      <c r="I580" t="s">
        <v>37</v>
      </c>
      <c r="J580" t="s">
        <v>38</v>
      </c>
      <c r="K580">
        <v>4</v>
      </c>
      <c r="L580" t="s">
        <v>65</v>
      </c>
      <c r="M580">
        <v>2</v>
      </c>
      <c r="N580" t="s">
        <v>40</v>
      </c>
      <c r="O580" t="s">
        <v>69</v>
      </c>
      <c r="P580">
        <v>1</v>
      </c>
      <c r="Q580" t="s">
        <v>57</v>
      </c>
      <c r="R580" t="s">
        <v>43</v>
      </c>
      <c r="S580">
        <v>6</v>
      </c>
      <c r="T580" t="s">
        <v>44</v>
      </c>
      <c r="U580" t="s">
        <v>44</v>
      </c>
      <c r="V580">
        <v>12</v>
      </c>
      <c r="W580" t="s">
        <v>45</v>
      </c>
      <c r="X580">
        <v>17</v>
      </c>
      <c r="Y580">
        <v>3</v>
      </c>
      <c r="Z580" t="s">
        <v>61</v>
      </c>
      <c r="AA580">
        <v>15</v>
      </c>
      <c r="AB580" t="s">
        <v>74</v>
      </c>
      <c r="AC580">
        <v>7</v>
      </c>
      <c r="AD580" t="s">
        <v>47</v>
      </c>
      <c r="AE580">
        <v>4</v>
      </c>
      <c r="AF580" t="s">
        <v>71</v>
      </c>
    </row>
    <row r="581" spans="1:32" x14ac:dyDescent="0.25">
      <c r="A581">
        <v>34</v>
      </c>
      <c r="B581" t="s">
        <v>32</v>
      </c>
      <c r="C581" t="s">
        <v>50</v>
      </c>
      <c r="D581" t="s">
        <v>34</v>
      </c>
      <c r="E581" t="s">
        <v>52</v>
      </c>
      <c r="F581">
        <v>2</v>
      </c>
      <c r="G581" t="s">
        <v>36</v>
      </c>
      <c r="H581">
        <v>3</v>
      </c>
      <c r="I581" t="s">
        <v>42</v>
      </c>
      <c r="J581" t="s">
        <v>38</v>
      </c>
      <c r="K581">
        <v>2</v>
      </c>
      <c r="L581" t="s">
        <v>55</v>
      </c>
      <c r="M581">
        <v>1</v>
      </c>
      <c r="N581" t="s">
        <v>40</v>
      </c>
      <c r="O581" t="s">
        <v>56</v>
      </c>
      <c r="P581">
        <v>1</v>
      </c>
      <c r="Q581" t="s">
        <v>57</v>
      </c>
      <c r="R581" t="s">
        <v>43</v>
      </c>
      <c r="S581">
        <v>1</v>
      </c>
      <c r="T581" t="s">
        <v>44</v>
      </c>
      <c r="U581" t="s">
        <v>59</v>
      </c>
      <c r="V581">
        <v>11</v>
      </c>
      <c r="W581" t="s">
        <v>45</v>
      </c>
      <c r="X581">
        <v>6</v>
      </c>
      <c r="Y581">
        <v>3</v>
      </c>
      <c r="Z581" t="s">
        <v>61</v>
      </c>
      <c r="AA581">
        <v>6</v>
      </c>
      <c r="AB581" t="s">
        <v>47</v>
      </c>
      <c r="AC581">
        <v>5</v>
      </c>
      <c r="AD581" t="s">
        <v>47</v>
      </c>
      <c r="AE581">
        <v>1</v>
      </c>
      <c r="AF581" t="s">
        <v>49</v>
      </c>
    </row>
    <row r="582" spans="1:32" x14ac:dyDescent="0.25">
      <c r="A582">
        <v>35</v>
      </c>
      <c r="B582" t="s">
        <v>32</v>
      </c>
      <c r="C582" t="s">
        <v>50</v>
      </c>
      <c r="D582" t="s">
        <v>34</v>
      </c>
      <c r="E582" t="s">
        <v>35</v>
      </c>
      <c r="F582">
        <v>8</v>
      </c>
      <c r="G582" t="s">
        <v>53</v>
      </c>
      <c r="H582">
        <v>1</v>
      </c>
      <c r="I582" t="s">
        <v>37</v>
      </c>
      <c r="J582" t="s">
        <v>38</v>
      </c>
      <c r="K582">
        <v>3</v>
      </c>
      <c r="L582" t="s">
        <v>39</v>
      </c>
      <c r="M582">
        <v>1</v>
      </c>
      <c r="N582" t="s">
        <v>40</v>
      </c>
      <c r="O582" t="s">
        <v>75</v>
      </c>
      <c r="P582">
        <v>4</v>
      </c>
      <c r="Q582" t="s">
        <v>42</v>
      </c>
      <c r="R582" t="s">
        <v>58</v>
      </c>
      <c r="S582">
        <v>1</v>
      </c>
      <c r="T582" t="s">
        <v>44</v>
      </c>
      <c r="U582" t="s">
        <v>59</v>
      </c>
      <c r="V582">
        <v>16</v>
      </c>
      <c r="W582" t="s">
        <v>45</v>
      </c>
      <c r="X582">
        <v>3</v>
      </c>
      <c r="Y582">
        <v>2</v>
      </c>
      <c r="Z582" t="s">
        <v>46</v>
      </c>
      <c r="AA582">
        <v>3</v>
      </c>
      <c r="AB582" t="s">
        <v>48</v>
      </c>
      <c r="AC582">
        <v>2</v>
      </c>
      <c r="AD582" t="s">
        <v>48</v>
      </c>
      <c r="AE582">
        <v>0</v>
      </c>
      <c r="AF582" t="s">
        <v>49</v>
      </c>
    </row>
    <row r="583" spans="1:32" x14ac:dyDescent="0.25">
      <c r="A583">
        <v>30</v>
      </c>
      <c r="B583" t="s">
        <v>32</v>
      </c>
      <c r="C583" t="s">
        <v>50</v>
      </c>
      <c r="D583" t="s">
        <v>34</v>
      </c>
      <c r="E583" t="s">
        <v>52</v>
      </c>
      <c r="F583">
        <v>1</v>
      </c>
      <c r="G583" t="s">
        <v>36</v>
      </c>
      <c r="H583">
        <v>4</v>
      </c>
      <c r="I583" t="s">
        <v>42</v>
      </c>
      <c r="J583" t="s">
        <v>54</v>
      </c>
      <c r="K583">
        <v>1</v>
      </c>
      <c r="L583" t="s">
        <v>55</v>
      </c>
      <c r="M583">
        <v>1</v>
      </c>
      <c r="N583" t="s">
        <v>40</v>
      </c>
      <c r="O583" t="s">
        <v>62</v>
      </c>
      <c r="P583">
        <v>3</v>
      </c>
      <c r="Q583" t="s">
        <v>42</v>
      </c>
      <c r="R583" t="s">
        <v>58</v>
      </c>
      <c r="S583">
        <v>3</v>
      </c>
      <c r="T583" t="s">
        <v>44</v>
      </c>
      <c r="U583" t="s">
        <v>59</v>
      </c>
      <c r="V583">
        <v>21</v>
      </c>
      <c r="W583" t="s">
        <v>60</v>
      </c>
      <c r="X583">
        <v>7</v>
      </c>
      <c r="Y583">
        <v>3</v>
      </c>
      <c r="Z583" t="s">
        <v>61</v>
      </c>
      <c r="AA583">
        <v>2</v>
      </c>
      <c r="AB583" t="s">
        <v>48</v>
      </c>
      <c r="AC583">
        <v>2</v>
      </c>
      <c r="AD583" t="s">
        <v>48</v>
      </c>
      <c r="AE583">
        <v>0</v>
      </c>
      <c r="AF583" t="s">
        <v>49</v>
      </c>
    </row>
    <row r="584" spans="1:32" x14ac:dyDescent="0.25">
      <c r="A584">
        <v>40</v>
      </c>
      <c r="B584" t="s">
        <v>32</v>
      </c>
      <c r="C584" t="s">
        <v>50</v>
      </c>
      <c r="D584" t="s">
        <v>51</v>
      </c>
      <c r="E584" t="s">
        <v>52</v>
      </c>
      <c r="F584">
        <v>2</v>
      </c>
      <c r="G584" t="s">
        <v>36</v>
      </c>
      <c r="H584">
        <v>3</v>
      </c>
      <c r="I584" t="s">
        <v>42</v>
      </c>
      <c r="J584" t="s">
        <v>38</v>
      </c>
      <c r="K584">
        <v>4</v>
      </c>
      <c r="L584" t="s">
        <v>65</v>
      </c>
      <c r="M584">
        <v>2</v>
      </c>
      <c r="N584" t="s">
        <v>40</v>
      </c>
      <c r="O584" t="s">
        <v>70</v>
      </c>
      <c r="P584">
        <v>2</v>
      </c>
      <c r="Q584" t="s">
        <v>57</v>
      </c>
      <c r="R584" t="s">
        <v>58</v>
      </c>
      <c r="S584">
        <v>1</v>
      </c>
      <c r="T584" t="s">
        <v>44</v>
      </c>
      <c r="U584" t="s">
        <v>59</v>
      </c>
      <c r="V584">
        <v>24</v>
      </c>
      <c r="W584" t="s">
        <v>60</v>
      </c>
      <c r="X584">
        <v>8</v>
      </c>
      <c r="Y584">
        <v>3</v>
      </c>
      <c r="Z584" t="s">
        <v>61</v>
      </c>
      <c r="AA584">
        <v>8</v>
      </c>
      <c r="AB584" t="s">
        <v>47</v>
      </c>
      <c r="AC584">
        <v>7</v>
      </c>
      <c r="AD584" t="s">
        <v>47</v>
      </c>
      <c r="AE584">
        <v>3</v>
      </c>
      <c r="AF584" t="s">
        <v>49</v>
      </c>
    </row>
    <row r="585" spans="1:32" x14ac:dyDescent="0.25">
      <c r="A585">
        <v>34</v>
      </c>
      <c r="B585" t="s">
        <v>32</v>
      </c>
      <c r="C585" t="s">
        <v>50</v>
      </c>
      <c r="D585" t="s">
        <v>34</v>
      </c>
      <c r="E585" t="s">
        <v>35</v>
      </c>
      <c r="F585">
        <v>8</v>
      </c>
      <c r="G585" t="s">
        <v>53</v>
      </c>
      <c r="H585">
        <v>3</v>
      </c>
      <c r="I585" t="s">
        <v>42</v>
      </c>
      <c r="J585" t="s">
        <v>38</v>
      </c>
      <c r="K585">
        <v>3</v>
      </c>
      <c r="L585" t="s">
        <v>39</v>
      </c>
      <c r="M585">
        <v>2</v>
      </c>
      <c r="N585" t="s">
        <v>40</v>
      </c>
      <c r="O585" t="s">
        <v>41</v>
      </c>
      <c r="P585">
        <v>1</v>
      </c>
      <c r="Q585" t="s">
        <v>57</v>
      </c>
      <c r="R585" t="s">
        <v>58</v>
      </c>
      <c r="S585">
        <v>5</v>
      </c>
      <c r="T585" t="s">
        <v>44</v>
      </c>
      <c r="U585" t="s">
        <v>59</v>
      </c>
      <c r="V585">
        <v>17</v>
      </c>
      <c r="W585" t="s">
        <v>45</v>
      </c>
      <c r="X585">
        <v>6</v>
      </c>
      <c r="Y585">
        <v>3</v>
      </c>
      <c r="Z585" t="s">
        <v>61</v>
      </c>
      <c r="AA585">
        <v>3</v>
      </c>
      <c r="AB585" t="s">
        <v>48</v>
      </c>
      <c r="AC585">
        <v>2</v>
      </c>
      <c r="AD585" t="s">
        <v>48</v>
      </c>
      <c r="AE585">
        <v>1</v>
      </c>
      <c r="AF585" t="s">
        <v>49</v>
      </c>
    </row>
    <row r="586" spans="1:32" x14ac:dyDescent="0.25">
      <c r="A586">
        <v>42</v>
      </c>
      <c r="B586" t="s">
        <v>32</v>
      </c>
      <c r="C586" t="s">
        <v>50</v>
      </c>
      <c r="D586" t="s">
        <v>51</v>
      </c>
      <c r="E586" t="s">
        <v>52</v>
      </c>
      <c r="F586">
        <v>8</v>
      </c>
      <c r="G586" t="s">
        <v>53</v>
      </c>
      <c r="H586">
        <v>2</v>
      </c>
      <c r="I586" t="s">
        <v>37</v>
      </c>
      <c r="J586" t="s">
        <v>54</v>
      </c>
      <c r="K586">
        <v>3</v>
      </c>
      <c r="L586" t="s">
        <v>39</v>
      </c>
      <c r="M586">
        <v>5</v>
      </c>
      <c r="N586" t="s">
        <v>72</v>
      </c>
      <c r="O586" t="s">
        <v>73</v>
      </c>
      <c r="P586">
        <v>4</v>
      </c>
      <c r="Q586" t="s">
        <v>42</v>
      </c>
      <c r="R586" t="s">
        <v>67</v>
      </c>
      <c r="S586">
        <v>1</v>
      </c>
      <c r="T586" t="s">
        <v>44</v>
      </c>
      <c r="U586" t="s">
        <v>59</v>
      </c>
      <c r="V586">
        <v>13</v>
      </c>
      <c r="W586" t="s">
        <v>45</v>
      </c>
      <c r="X586">
        <v>24</v>
      </c>
      <c r="Y586">
        <v>2</v>
      </c>
      <c r="Z586" t="s">
        <v>46</v>
      </c>
      <c r="AA586">
        <v>24</v>
      </c>
      <c r="AB586" t="s">
        <v>74</v>
      </c>
      <c r="AC586">
        <v>7</v>
      </c>
      <c r="AD586" t="s">
        <v>47</v>
      </c>
      <c r="AE586">
        <v>14</v>
      </c>
      <c r="AF586" t="s">
        <v>71</v>
      </c>
    </row>
    <row r="587" spans="1:32" x14ac:dyDescent="0.25">
      <c r="A587">
        <v>23</v>
      </c>
      <c r="B587" t="s">
        <v>63</v>
      </c>
      <c r="C587" t="s">
        <v>33</v>
      </c>
      <c r="D587" t="s">
        <v>34</v>
      </c>
      <c r="E587" t="s">
        <v>52</v>
      </c>
      <c r="F587">
        <v>6</v>
      </c>
      <c r="G587" t="s">
        <v>53</v>
      </c>
      <c r="H587">
        <v>3</v>
      </c>
      <c r="I587" t="s">
        <v>42</v>
      </c>
      <c r="J587" t="s">
        <v>54</v>
      </c>
      <c r="K587">
        <v>4</v>
      </c>
      <c r="L587" t="s">
        <v>65</v>
      </c>
      <c r="M587">
        <v>1</v>
      </c>
      <c r="N587" t="s">
        <v>40</v>
      </c>
      <c r="O587" t="s">
        <v>62</v>
      </c>
      <c r="P587">
        <v>1</v>
      </c>
      <c r="Q587" t="s">
        <v>57</v>
      </c>
      <c r="R587" t="s">
        <v>58</v>
      </c>
      <c r="S587">
        <v>1</v>
      </c>
      <c r="T587" t="s">
        <v>44</v>
      </c>
      <c r="U587" t="s">
        <v>44</v>
      </c>
      <c r="V587">
        <v>21</v>
      </c>
      <c r="W587" t="s">
        <v>60</v>
      </c>
      <c r="X587">
        <v>1</v>
      </c>
      <c r="Y587">
        <v>3</v>
      </c>
      <c r="Z587" t="s">
        <v>61</v>
      </c>
      <c r="AA587">
        <v>0</v>
      </c>
      <c r="AB587" t="s">
        <v>48</v>
      </c>
      <c r="AC587">
        <v>0</v>
      </c>
      <c r="AD587" t="s">
        <v>48</v>
      </c>
      <c r="AE587">
        <v>0</v>
      </c>
      <c r="AF587" t="s">
        <v>49</v>
      </c>
    </row>
    <row r="588" spans="1:32" x14ac:dyDescent="0.25">
      <c r="A588">
        <v>24</v>
      </c>
      <c r="B588" t="s">
        <v>63</v>
      </c>
      <c r="C588" t="s">
        <v>50</v>
      </c>
      <c r="D588" t="s">
        <v>34</v>
      </c>
      <c r="E588" t="s">
        <v>52</v>
      </c>
      <c r="F588">
        <v>9</v>
      </c>
      <c r="G588" t="s">
        <v>53</v>
      </c>
      <c r="H588">
        <v>3</v>
      </c>
      <c r="I588" t="s">
        <v>42</v>
      </c>
      <c r="J588" t="s">
        <v>54</v>
      </c>
      <c r="K588">
        <v>2</v>
      </c>
      <c r="L588" t="s">
        <v>55</v>
      </c>
      <c r="M588">
        <v>1</v>
      </c>
      <c r="N588" t="s">
        <v>40</v>
      </c>
      <c r="O588" t="s">
        <v>62</v>
      </c>
      <c r="P588">
        <v>2</v>
      </c>
      <c r="Q588" t="s">
        <v>57</v>
      </c>
      <c r="R588" t="s">
        <v>67</v>
      </c>
      <c r="S588">
        <v>1</v>
      </c>
      <c r="T588" t="s">
        <v>44</v>
      </c>
      <c r="U588" t="s">
        <v>59</v>
      </c>
      <c r="V588">
        <v>11</v>
      </c>
      <c r="W588" t="s">
        <v>45</v>
      </c>
      <c r="X588">
        <v>1</v>
      </c>
      <c r="Y588">
        <v>3</v>
      </c>
      <c r="Z588" t="s">
        <v>61</v>
      </c>
      <c r="AA588">
        <v>1</v>
      </c>
      <c r="AB588" t="s">
        <v>48</v>
      </c>
      <c r="AC588">
        <v>0</v>
      </c>
      <c r="AD588" t="s">
        <v>48</v>
      </c>
      <c r="AE588">
        <v>0</v>
      </c>
      <c r="AF588" t="s">
        <v>49</v>
      </c>
    </row>
    <row r="589" spans="1:32" x14ac:dyDescent="0.25">
      <c r="A589">
        <v>52</v>
      </c>
      <c r="B589" t="s">
        <v>64</v>
      </c>
      <c r="C589" t="s">
        <v>50</v>
      </c>
      <c r="D589" t="s">
        <v>34</v>
      </c>
      <c r="E589" t="s">
        <v>52</v>
      </c>
      <c r="F589">
        <v>11</v>
      </c>
      <c r="G589" t="s">
        <v>53</v>
      </c>
      <c r="H589">
        <v>4</v>
      </c>
      <c r="I589" t="s">
        <v>42</v>
      </c>
      <c r="J589" t="s">
        <v>38</v>
      </c>
      <c r="K589">
        <v>3</v>
      </c>
      <c r="L589" t="s">
        <v>39</v>
      </c>
      <c r="M589">
        <v>2</v>
      </c>
      <c r="N589" t="s">
        <v>40</v>
      </c>
      <c r="O589" t="s">
        <v>62</v>
      </c>
      <c r="P589">
        <v>3</v>
      </c>
      <c r="Q589" t="s">
        <v>42</v>
      </c>
      <c r="R589" t="s">
        <v>58</v>
      </c>
      <c r="S589">
        <v>8</v>
      </c>
      <c r="T589" t="s">
        <v>44</v>
      </c>
      <c r="U589" t="s">
        <v>59</v>
      </c>
      <c r="V589">
        <v>20</v>
      </c>
      <c r="W589" t="s">
        <v>60</v>
      </c>
      <c r="X589">
        <v>9</v>
      </c>
      <c r="Y589">
        <v>3</v>
      </c>
      <c r="Z589" t="s">
        <v>61</v>
      </c>
      <c r="AA589">
        <v>5</v>
      </c>
      <c r="AB589" t="s">
        <v>47</v>
      </c>
      <c r="AC589">
        <v>2</v>
      </c>
      <c r="AD589" t="s">
        <v>48</v>
      </c>
      <c r="AE589">
        <v>1</v>
      </c>
      <c r="AF589" t="s">
        <v>49</v>
      </c>
    </row>
    <row r="590" spans="1:32" x14ac:dyDescent="0.25">
      <c r="A590">
        <v>50</v>
      </c>
      <c r="B590" t="s">
        <v>32</v>
      </c>
      <c r="C590" t="s">
        <v>50</v>
      </c>
      <c r="D590" t="s">
        <v>34</v>
      </c>
      <c r="E590" t="s">
        <v>52</v>
      </c>
      <c r="F590">
        <v>2</v>
      </c>
      <c r="G590" t="s">
        <v>36</v>
      </c>
      <c r="H590">
        <v>3</v>
      </c>
      <c r="I590" t="s">
        <v>42</v>
      </c>
      <c r="J590" t="s">
        <v>54</v>
      </c>
      <c r="K590">
        <v>3</v>
      </c>
      <c r="L590" t="s">
        <v>39</v>
      </c>
      <c r="M590">
        <v>4</v>
      </c>
      <c r="N590" t="s">
        <v>72</v>
      </c>
      <c r="O590" t="s">
        <v>76</v>
      </c>
      <c r="P590">
        <v>3</v>
      </c>
      <c r="Q590" t="s">
        <v>42</v>
      </c>
      <c r="R590" t="s">
        <v>58</v>
      </c>
      <c r="S590">
        <v>5</v>
      </c>
      <c r="T590" t="s">
        <v>44</v>
      </c>
      <c r="U590" t="s">
        <v>59</v>
      </c>
      <c r="V590">
        <v>16</v>
      </c>
      <c r="W590" t="s">
        <v>45</v>
      </c>
      <c r="X590">
        <v>30</v>
      </c>
      <c r="Y590">
        <v>3</v>
      </c>
      <c r="Z590" t="s">
        <v>61</v>
      </c>
      <c r="AA590">
        <v>4</v>
      </c>
      <c r="AB590" t="s">
        <v>48</v>
      </c>
      <c r="AC590">
        <v>3</v>
      </c>
      <c r="AD590" t="s">
        <v>48</v>
      </c>
      <c r="AE590">
        <v>0</v>
      </c>
      <c r="AF590" t="s">
        <v>49</v>
      </c>
    </row>
    <row r="591" spans="1:32" x14ac:dyDescent="0.25">
      <c r="A591">
        <v>29</v>
      </c>
      <c r="B591" t="s">
        <v>63</v>
      </c>
      <c r="C591" t="s">
        <v>33</v>
      </c>
      <c r="D591" t="s">
        <v>34</v>
      </c>
      <c r="E591" t="s">
        <v>52</v>
      </c>
      <c r="F591">
        <v>1</v>
      </c>
      <c r="G591" t="s">
        <v>36</v>
      </c>
      <c r="H591">
        <v>2</v>
      </c>
      <c r="I591" t="s">
        <v>37</v>
      </c>
      <c r="J591" t="s">
        <v>38</v>
      </c>
      <c r="K591">
        <v>2</v>
      </c>
      <c r="L591" t="s">
        <v>55</v>
      </c>
      <c r="M591">
        <v>1</v>
      </c>
      <c r="N591" t="s">
        <v>40</v>
      </c>
      <c r="O591" t="s">
        <v>62</v>
      </c>
      <c r="P591">
        <v>1</v>
      </c>
      <c r="Q591" t="s">
        <v>57</v>
      </c>
      <c r="R591" t="s">
        <v>58</v>
      </c>
      <c r="S591">
        <v>1</v>
      </c>
      <c r="T591" t="s">
        <v>44</v>
      </c>
      <c r="U591" t="s">
        <v>44</v>
      </c>
      <c r="V591">
        <v>11</v>
      </c>
      <c r="W591" t="s">
        <v>45</v>
      </c>
      <c r="X591">
        <v>1</v>
      </c>
      <c r="Y591">
        <v>3</v>
      </c>
      <c r="Z591" t="s">
        <v>61</v>
      </c>
      <c r="AA591">
        <v>1</v>
      </c>
      <c r="AB591" t="s">
        <v>48</v>
      </c>
      <c r="AC591">
        <v>0</v>
      </c>
      <c r="AD591" t="s">
        <v>48</v>
      </c>
      <c r="AE591">
        <v>0</v>
      </c>
      <c r="AF591" t="s">
        <v>49</v>
      </c>
    </row>
    <row r="592" spans="1:32" x14ac:dyDescent="0.25">
      <c r="A592">
        <v>33</v>
      </c>
      <c r="B592" t="s">
        <v>32</v>
      </c>
      <c r="C592" t="s">
        <v>50</v>
      </c>
      <c r="D592" t="s">
        <v>34</v>
      </c>
      <c r="E592" t="s">
        <v>52</v>
      </c>
      <c r="F592">
        <v>7</v>
      </c>
      <c r="G592" t="s">
        <v>53</v>
      </c>
      <c r="H592">
        <v>3</v>
      </c>
      <c r="I592" t="s">
        <v>42</v>
      </c>
      <c r="J592" t="s">
        <v>54</v>
      </c>
      <c r="K592">
        <v>3</v>
      </c>
      <c r="L592" t="s">
        <v>39</v>
      </c>
      <c r="M592">
        <v>3</v>
      </c>
      <c r="N592" t="s">
        <v>68</v>
      </c>
      <c r="O592" t="s">
        <v>76</v>
      </c>
      <c r="P592">
        <v>3</v>
      </c>
      <c r="Q592" t="s">
        <v>42</v>
      </c>
      <c r="R592" t="s">
        <v>58</v>
      </c>
      <c r="S592">
        <v>0</v>
      </c>
      <c r="T592" t="s">
        <v>44</v>
      </c>
      <c r="U592" t="s">
        <v>59</v>
      </c>
      <c r="V592">
        <v>11</v>
      </c>
      <c r="W592" t="s">
        <v>45</v>
      </c>
      <c r="X592">
        <v>14</v>
      </c>
      <c r="Y592">
        <v>4</v>
      </c>
      <c r="Z592" t="s">
        <v>61</v>
      </c>
      <c r="AA592">
        <v>13</v>
      </c>
      <c r="AB592" t="s">
        <v>74</v>
      </c>
      <c r="AC592">
        <v>9</v>
      </c>
      <c r="AD592" t="s">
        <v>47</v>
      </c>
      <c r="AE592">
        <v>3</v>
      </c>
      <c r="AF592" t="s">
        <v>49</v>
      </c>
    </row>
    <row r="593" spans="1:32" x14ac:dyDescent="0.25">
      <c r="A593">
        <v>33</v>
      </c>
      <c r="B593" t="s">
        <v>32</v>
      </c>
      <c r="C593" t="s">
        <v>33</v>
      </c>
      <c r="D593" t="s">
        <v>34</v>
      </c>
      <c r="E593" t="s">
        <v>35</v>
      </c>
      <c r="F593">
        <v>16</v>
      </c>
      <c r="G593" t="s">
        <v>66</v>
      </c>
      <c r="H593">
        <v>1</v>
      </c>
      <c r="I593" t="s">
        <v>37</v>
      </c>
      <c r="J593" t="s">
        <v>38</v>
      </c>
      <c r="K593">
        <v>3</v>
      </c>
      <c r="L593" t="s">
        <v>39</v>
      </c>
      <c r="M593">
        <v>2</v>
      </c>
      <c r="N593" t="s">
        <v>40</v>
      </c>
      <c r="O593" t="s">
        <v>41</v>
      </c>
      <c r="P593">
        <v>1</v>
      </c>
      <c r="Q593" t="s">
        <v>57</v>
      </c>
      <c r="R593" t="s">
        <v>43</v>
      </c>
      <c r="S593">
        <v>5</v>
      </c>
      <c r="T593" t="s">
        <v>44</v>
      </c>
      <c r="U593" t="s">
        <v>59</v>
      </c>
      <c r="V593">
        <v>15</v>
      </c>
      <c r="W593" t="s">
        <v>45</v>
      </c>
      <c r="X593">
        <v>6</v>
      </c>
      <c r="Y593">
        <v>3</v>
      </c>
      <c r="Z593" t="s">
        <v>61</v>
      </c>
      <c r="AA593">
        <v>3</v>
      </c>
      <c r="AB593" t="s">
        <v>48</v>
      </c>
      <c r="AC593">
        <v>2</v>
      </c>
      <c r="AD593" t="s">
        <v>48</v>
      </c>
      <c r="AE593">
        <v>0</v>
      </c>
      <c r="AF593" t="s">
        <v>49</v>
      </c>
    </row>
    <row r="594" spans="1:32" x14ac:dyDescent="0.25">
      <c r="A594">
        <v>47</v>
      </c>
      <c r="B594" t="s">
        <v>32</v>
      </c>
      <c r="C594" t="s">
        <v>50</v>
      </c>
      <c r="D594" t="s">
        <v>34</v>
      </c>
      <c r="E594" t="s">
        <v>52</v>
      </c>
      <c r="F594">
        <v>2</v>
      </c>
      <c r="G594" t="s">
        <v>36</v>
      </c>
      <c r="H594">
        <v>3</v>
      </c>
      <c r="I594" t="s">
        <v>42</v>
      </c>
      <c r="J594" t="s">
        <v>38</v>
      </c>
      <c r="K594">
        <v>3</v>
      </c>
      <c r="L594" t="s">
        <v>39</v>
      </c>
      <c r="M594">
        <v>4</v>
      </c>
      <c r="N594" t="s">
        <v>72</v>
      </c>
      <c r="O594" t="s">
        <v>73</v>
      </c>
      <c r="P594">
        <v>4</v>
      </c>
      <c r="Q594" t="s">
        <v>42</v>
      </c>
      <c r="R594" t="s">
        <v>58</v>
      </c>
      <c r="S594">
        <v>1</v>
      </c>
      <c r="T594" t="s">
        <v>44</v>
      </c>
      <c r="U594" t="s">
        <v>44</v>
      </c>
      <c r="V594">
        <v>11</v>
      </c>
      <c r="W594" t="s">
        <v>45</v>
      </c>
      <c r="X594">
        <v>26</v>
      </c>
      <c r="Y594">
        <v>2</v>
      </c>
      <c r="Z594" t="s">
        <v>46</v>
      </c>
      <c r="AA594">
        <v>26</v>
      </c>
      <c r="AB594" t="s">
        <v>74</v>
      </c>
      <c r="AC594">
        <v>14</v>
      </c>
      <c r="AD594" t="s">
        <v>74</v>
      </c>
      <c r="AE594">
        <v>3</v>
      </c>
      <c r="AF594" t="s">
        <v>49</v>
      </c>
    </row>
    <row r="595" spans="1:32" x14ac:dyDescent="0.25">
      <c r="A595">
        <v>36</v>
      </c>
      <c r="B595" t="s">
        <v>32</v>
      </c>
      <c r="C595" t="s">
        <v>50</v>
      </c>
      <c r="D595" t="s">
        <v>34</v>
      </c>
      <c r="E595" t="s">
        <v>52</v>
      </c>
      <c r="F595">
        <v>1</v>
      </c>
      <c r="G595" t="s">
        <v>36</v>
      </c>
      <c r="H595">
        <v>3</v>
      </c>
      <c r="I595" t="s">
        <v>42</v>
      </c>
      <c r="J595" t="s">
        <v>38</v>
      </c>
      <c r="K595">
        <v>3</v>
      </c>
      <c r="L595" t="s">
        <v>39</v>
      </c>
      <c r="M595">
        <v>2</v>
      </c>
      <c r="N595" t="s">
        <v>40</v>
      </c>
      <c r="O595" t="s">
        <v>69</v>
      </c>
      <c r="P595">
        <v>2</v>
      </c>
      <c r="Q595" t="s">
        <v>57</v>
      </c>
      <c r="R595" t="s">
        <v>58</v>
      </c>
      <c r="S595">
        <v>0</v>
      </c>
      <c r="T595" t="s">
        <v>44</v>
      </c>
      <c r="U595" t="s">
        <v>59</v>
      </c>
      <c r="V595">
        <v>15</v>
      </c>
      <c r="W595" t="s">
        <v>45</v>
      </c>
      <c r="X595">
        <v>10</v>
      </c>
      <c r="Y595">
        <v>3</v>
      </c>
      <c r="Z595" t="s">
        <v>61</v>
      </c>
      <c r="AA595">
        <v>9</v>
      </c>
      <c r="AB595" t="s">
        <v>47</v>
      </c>
      <c r="AC595">
        <v>7</v>
      </c>
      <c r="AD595" t="s">
        <v>47</v>
      </c>
      <c r="AE595">
        <v>0</v>
      </c>
      <c r="AF595" t="s">
        <v>49</v>
      </c>
    </row>
    <row r="596" spans="1:32" x14ac:dyDescent="0.25">
      <c r="A596">
        <v>29</v>
      </c>
      <c r="B596" t="s">
        <v>63</v>
      </c>
      <c r="C596" t="s">
        <v>50</v>
      </c>
      <c r="D596" t="s">
        <v>34</v>
      </c>
      <c r="E596" t="s">
        <v>52</v>
      </c>
      <c r="F596">
        <v>23</v>
      </c>
      <c r="G596" t="s">
        <v>66</v>
      </c>
      <c r="H596">
        <v>3</v>
      </c>
      <c r="I596" t="s">
        <v>42</v>
      </c>
      <c r="J596" t="s">
        <v>54</v>
      </c>
      <c r="K596">
        <v>4</v>
      </c>
      <c r="L596" t="s">
        <v>65</v>
      </c>
      <c r="M596">
        <v>1</v>
      </c>
      <c r="N596" t="s">
        <v>40</v>
      </c>
      <c r="O596" t="s">
        <v>56</v>
      </c>
      <c r="P596">
        <v>3</v>
      </c>
      <c r="Q596" t="s">
        <v>42</v>
      </c>
      <c r="R596" t="s">
        <v>58</v>
      </c>
      <c r="S596">
        <v>1</v>
      </c>
      <c r="T596" t="s">
        <v>44</v>
      </c>
      <c r="U596" t="s">
        <v>59</v>
      </c>
      <c r="V596">
        <v>24</v>
      </c>
      <c r="W596" t="s">
        <v>60</v>
      </c>
      <c r="X596">
        <v>10</v>
      </c>
      <c r="Y596">
        <v>3</v>
      </c>
      <c r="Z596" t="s">
        <v>61</v>
      </c>
      <c r="AA596">
        <v>10</v>
      </c>
      <c r="AB596" t="s">
        <v>47</v>
      </c>
      <c r="AC596">
        <v>7</v>
      </c>
      <c r="AD596" t="s">
        <v>47</v>
      </c>
      <c r="AE596">
        <v>0</v>
      </c>
      <c r="AF596" t="s">
        <v>49</v>
      </c>
    </row>
    <row r="597" spans="1:32" x14ac:dyDescent="0.25">
      <c r="A597">
        <v>58</v>
      </c>
      <c r="B597" t="s">
        <v>64</v>
      </c>
      <c r="C597" t="s">
        <v>33</v>
      </c>
      <c r="D597" t="s">
        <v>34</v>
      </c>
      <c r="E597" t="s">
        <v>52</v>
      </c>
      <c r="F597">
        <v>2</v>
      </c>
      <c r="G597" t="s">
        <v>36</v>
      </c>
      <c r="H597">
        <v>4</v>
      </c>
      <c r="I597" t="s">
        <v>42</v>
      </c>
      <c r="J597" t="s">
        <v>54</v>
      </c>
      <c r="K597">
        <v>3</v>
      </c>
      <c r="L597" t="s">
        <v>39</v>
      </c>
      <c r="M597">
        <v>5</v>
      </c>
      <c r="N597" t="s">
        <v>72</v>
      </c>
      <c r="O597" t="s">
        <v>76</v>
      </c>
      <c r="P597">
        <v>2</v>
      </c>
      <c r="Q597" t="s">
        <v>57</v>
      </c>
      <c r="R597" t="s">
        <v>43</v>
      </c>
      <c r="S597">
        <v>7</v>
      </c>
      <c r="T597" t="s">
        <v>44</v>
      </c>
      <c r="U597" t="s">
        <v>44</v>
      </c>
      <c r="V597">
        <v>12</v>
      </c>
      <c r="W597" t="s">
        <v>45</v>
      </c>
      <c r="X597">
        <v>40</v>
      </c>
      <c r="Y597">
        <v>3</v>
      </c>
      <c r="Z597" t="s">
        <v>61</v>
      </c>
      <c r="AA597">
        <v>31</v>
      </c>
      <c r="AB597" t="s">
        <v>74</v>
      </c>
      <c r="AC597">
        <v>15</v>
      </c>
      <c r="AD597" t="s">
        <v>74</v>
      </c>
      <c r="AE597">
        <v>13</v>
      </c>
      <c r="AF597" t="s">
        <v>71</v>
      </c>
    </row>
    <row r="598" spans="1:32" x14ac:dyDescent="0.25">
      <c r="A598">
        <v>35</v>
      </c>
      <c r="B598" t="s">
        <v>32</v>
      </c>
      <c r="C598" t="s">
        <v>50</v>
      </c>
      <c r="D598" t="s">
        <v>34</v>
      </c>
      <c r="E598" t="s">
        <v>52</v>
      </c>
      <c r="F598">
        <v>1</v>
      </c>
      <c r="G598" t="s">
        <v>36</v>
      </c>
      <c r="H598">
        <v>4</v>
      </c>
      <c r="I598" t="s">
        <v>42</v>
      </c>
      <c r="J598" t="s">
        <v>38</v>
      </c>
      <c r="K598">
        <v>4</v>
      </c>
      <c r="L598" t="s">
        <v>65</v>
      </c>
      <c r="M598">
        <v>1</v>
      </c>
      <c r="N598" t="s">
        <v>40</v>
      </c>
      <c r="O598" t="s">
        <v>56</v>
      </c>
      <c r="P598">
        <v>3</v>
      </c>
      <c r="Q598" t="s">
        <v>42</v>
      </c>
      <c r="R598" t="s">
        <v>43</v>
      </c>
      <c r="S598">
        <v>3</v>
      </c>
      <c r="T598" t="s">
        <v>44</v>
      </c>
      <c r="U598" t="s">
        <v>59</v>
      </c>
      <c r="V598">
        <v>13</v>
      </c>
      <c r="W598" t="s">
        <v>45</v>
      </c>
      <c r="X598">
        <v>7</v>
      </c>
      <c r="Y598">
        <v>3</v>
      </c>
      <c r="Z598" t="s">
        <v>61</v>
      </c>
      <c r="AA598">
        <v>2</v>
      </c>
      <c r="AB598" t="s">
        <v>48</v>
      </c>
      <c r="AC598">
        <v>2</v>
      </c>
      <c r="AD598" t="s">
        <v>48</v>
      </c>
      <c r="AE598">
        <v>2</v>
      </c>
      <c r="AF598" t="s">
        <v>49</v>
      </c>
    </row>
    <row r="599" spans="1:32" x14ac:dyDescent="0.25">
      <c r="A599">
        <v>42</v>
      </c>
      <c r="B599" t="s">
        <v>32</v>
      </c>
      <c r="C599" t="s">
        <v>50</v>
      </c>
      <c r="D599" t="s">
        <v>34</v>
      </c>
      <c r="E599" t="s">
        <v>52</v>
      </c>
      <c r="F599">
        <v>1</v>
      </c>
      <c r="G599" t="s">
        <v>36</v>
      </c>
      <c r="H599">
        <v>4</v>
      </c>
      <c r="I599" t="s">
        <v>42</v>
      </c>
      <c r="J599" t="s">
        <v>38</v>
      </c>
      <c r="K599">
        <v>2</v>
      </c>
      <c r="L599" t="s">
        <v>55</v>
      </c>
      <c r="M599">
        <v>2</v>
      </c>
      <c r="N599" t="s">
        <v>40</v>
      </c>
      <c r="O599" t="s">
        <v>69</v>
      </c>
      <c r="P599">
        <v>4</v>
      </c>
      <c r="Q599" t="s">
        <v>42</v>
      </c>
      <c r="R599" t="s">
        <v>58</v>
      </c>
      <c r="S599">
        <v>9</v>
      </c>
      <c r="T599" t="s">
        <v>44</v>
      </c>
      <c r="U599" t="s">
        <v>44</v>
      </c>
      <c r="V599">
        <v>13</v>
      </c>
      <c r="W599" t="s">
        <v>45</v>
      </c>
      <c r="X599">
        <v>8</v>
      </c>
      <c r="Y599">
        <v>3</v>
      </c>
      <c r="Z599" t="s">
        <v>61</v>
      </c>
      <c r="AA599">
        <v>4</v>
      </c>
      <c r="AB599" t="s">
        <v>48</v>
      </c>
      <c r="AC599">
        <v>3</v>
      </c>
      <c r="AD599" t="s">
        <v>48</v>
      </c>
      <c r="AE599">
        <v>0</v>
      </c>
      <c r="AF599" t="s">
        <v>49</v>
      </c>
    </row>
    <row r="600" spans="1:32" x14ac:dyDescent="0.25">
      <c r="A600">
        <v>28</v>
      </c>
      <c r="B600" t="s">
        <v>63</v>
      </c>
      <c r="C600" t="s">
        <v>33</v>
      </c>
      <c r="D600" t="s">
        <v>34</v>
      </c>
      <c r="E600" t="s">
        <v>52</v>
      </c>
      <c r="F600">
        <v>2</v>
      </c>
      <c r="G600" t="s">
        <v>36</v>
      </c>
      <c r="H600">
        <v>3</v>
      </c>
      <c r="I600" t="s">
        <v>42</v>
      </c>
      <c r="J600" t="s">
        <v>54</v>
      </c>
      <c r="K600">
        <v>3</v>
      </c>
      <c r="L600" t="s">
        <v>39</v>
      </c>
      <c r="M600">
        <v>1</v>
      </c>
      <c r="N600" t="s">
        <v>40</v>
      </c>
      <c r="O600" t="s">
        <v>56</v>
      </c>
      <c r="P600">
        <v>3</v>
      </c>
      <c r="Q600" t="s">
        <v>42</v>
      </c>
      <c r="R600" t="s">
        <v>43</v>
      </c>
      <c r="S600">
        <v>6</v>
      </c>
      <c r="T600" t="s">
        <v>44</v>
      </c>
      <c r="U600" t="s">
        <v>59</v>
      </c>
      <c r="V600">
        <v>17</v>
      </c>
      <c r="W600" t="s">
        <v>45</v>
      </c>
      <c r="X600">
        <v>5</v>
      </c>
      <c r="Y600">
        <v>2</v>
      </c>
      <c r="Z600" t="s">
        <v>46</v>
      </c>
      <c r="AA600">
        <v>2</v>
      </c>
      <c r="AB600" t="s">
        <v>48</v>
      </c>
      <c r="AC600">
        <v>2</v>
      </c>
      <c r="AD600" t="s">
        <v>48</v>
      </c>
      <c r="AE600">
        <v>2</v>
      </c>
      <c r="AF600" t="s">
        <v>49</v>
      </c>
    </row>
    <row r="601" spans="1:32" x14ac:dyDescent="0.25">
      <c r="A601">
        <v>36</v>
      </c>
      <c r="B601" t="s">
        <v>32</v>
      </c>
      <c r="C601" t="s">
        <v>50</v>
      </c>
      <c r="D601" t="s">
        <v>34</v>
      </c>
      <c r="E601" t="s">
        <v>77</v>
      </c>
      <c r="F601">
        <v>13</v>
      </c>
      <c r="G601" t="s">
        <v>53</v>
      </c>
      <c r="H601">
        <v>3</v>
      </c>
      <c r="I601" t="s">
        <v>42</v>
      </c>
      <c r="J601" t="s">
        <v>54</v>
      </c>
      <c r="K601">
        <v>3</v>
      </c>
      <c r="L601" t="s">
        <v>39</v>
      </c>
      <c r="M601">
        <v>1</v>
      </c>
      <c r="N601" t="s">
        <v>40</v>
      </c>
      <c r="O601" t="s">
        <v>77</v>
      </c>
      <c r="P601">
        <v>2</v>
      </c>
      <c r="Q601" t="s">
        <v>57</v>
      </c>
      <c r="R601" t="s">
        <v>58</v>
      </c>
      <c r="S601">
        <v>4</v>
      </c>
      <c r="T601" t="s">
        <v>44</v>
      </c>
      <c r="U601" t="s">
        <v>59</v>
      </c>
      <c r="V601">
        <v>13</v>
      </c>
      <c r="W601" t="s">
        <v>45</v>
      </c>
      <c r="X601">
        <v>8</v>
      </c>
      <c r="Y601">
        <v>3</v>
      </c>
      <c r="Z601" t="s">
        <v>61</v>
      </c>
      <c r="AA601">
        <v>5</v>
      </c>
      <c r="AB601" t="s">
        <v>47</v>
      </c>
      <c r="AC601">
        <v>2</v>
      </c>
      <c r="AD601" t="s">
        <v>48</v>
      </c>
      <c r="AE601">
        <v>0</v>
      </c>
      <c r="AF601" t="s">
        <v>49</v>
      </c>
    </row>
    <row r="602" spans="1:32" x14ac:dyDescent="0.25">
      <c r="A602">
        <v>32</v>
      </c>
      <c r="B602" t="s">
        <v>32</v>
      </c>
      <c r="C602" t="s">
        <v>50</v>
      </c>
      <c r="D602" t="s">
        <v>34</v>
      </c>
      <c r="E602" t="s">
        <v>52</v>
      </c>
      <c r="F602">
        <v>4</v>
      </c>
      <c r="G602" t="s">
        <v>36</v>
      </c>
      <c r="H602">
        <v>3</v>
      </c>
      <c r="I602" t="s">
        <v>42</v>
      </c>
      <c r="J602" t="s">
        <v>38</v>
      </c>
      <c r="K602">
        <v>2</v>
      </c>
      <c r="L602" t="s">
        <v>55</v>
      </c>
      <c r="M602">
        <v>2</v>
      </c>
      <c r="N602" t="s">
        <v>40</v>
      </c>
      <c r="O602" t="s">
        <v>69</v>
      </c>
      <c r="P602">
        <v>3</v>
      </c>
      <c r="Q602" t="s">
        <v>42</v>
      </c>
      <c r="R602" t="s">
        <v>58</v>
      </c>
      <c r="S602">
        <v>1</v>
      </c>
      <c r="T602" t="s">
        <v>44</v>
      </c>
      <c r="U602" t="s">
        <v>59</v>
      </c>
      <c r="V602">
        <v>12</v>
      </c>
      <c r="W602" t="s">
        <v>45</v>
      </c>
      <c r="X602">
        <v>14</v>
      </c>
      <c r="Y602">
        <v>3</v>
      </c>
      <c r="Z602" t="s">
        <v>61</v>
      </c>
      <c r="AA602">
        <v>14</v>
      </c>
      <c r="AB602" t="s">
        <v>74</v>
      </c>
      <c r="AC602">
        <v>13</v>
      </c>
      <c r="AD602" t="s">
        <v>74</v>
      </c>
      <c r="AE602">
        <v>6</v>
      </c>
      <c r="AF602" t="s">
        <v>71</v>
      </c>
    </row>
    <row r="603" spans="1:32" x14ac:dyDescent="0.25">
      <c r="A603">
        <v>40</v>
      </c>
      <c r="B603" t="s">
        <v>32</v>
      </c>
      <c r="C603" t="s">
        <v>50</v>
      </c>
      <c r="D603" t="s">
        <v>51</v>
      </c>
      <c r="E603" t="s">
        <v>52</v>
      </c>
      <c r="F603">
        <v>16</v>
      </c>
      <c r="G603" t="s">
        <v>66</v>
      </c>
      <c r="H603">
        <v>1</v>
      </c>
      <c r="I603" t="s">
        <v>37</v>
      </c>
      <c r="J603" t="s">
        <v>54</v>
      </c>
      <c r="K603">
        <v>2</v>
      </c>
      <c r="L603" t="s">
        <v>55</v>
      </c>
      <c r="M603">
        <v>2</v>
      </c>
      <c r="N603" t="s">
        <v>40</v>
      </c>
      <c r="O603" t="s">
        <v>62</v>
      </c>
      <c r="P603">
        <v>3</v>
      </c>
      <c r="Q603" t="s">
        <v>42</v>
      </c>
      <c r="R603" t="s">
        <v>43</v>
      </c>
      <c r="S603">
        <v>6</v>
      </c>
      <c r="T603" t="s">
        <v>44</v>
      </c>
      <c r="U603" t="s">
        <v>59</v>
      </c>
      <c r="V603">
        <v>14</v>
      </c>
      <c r="W603" t="s">
        <v>45</v>
      </c>
      <c r="X603">
        <v>10</v>
      </c>
      <c r="Y603">
        <v>3</v>
      </c>
      <c r="Z603" t="s">
        <v>61</v>
      </c>
      <c r="AA603">
        <v>1</v>
      </c>
      <c r="AB603" t="s">
        <v>48</v>
      </c>
      <c r="AC603">
        <v>0</v>
      </c>
      <c r="AD603" t="s">
        <v>48</v>
      </c>
      <c r="AE603">
        <v>0</v>
      </c>
      <c r="AF603" t="s">
        <v>49</v>
      </c>
    </row>
    <row r="604" spans="1:32" x14ac:dyDescent="0.25">
      <c r="A604">
        <v>30</v>
      </c>
      <c r="B604" t="s">
        <v>32</v>
      </c>
      <c r="C604" t="s">
        <v>50</v>
      </c>
      <c r="D604" t="s">
        <v>34</v>
      </c>
      <c r="E604" t="s">
        <v>52</v>
      </c>
      <c r="F604">
        <v>2</v>
      </c>
      <c r="G604" t="s">
        <v>36</v>
      </c>
      <c r="H604">
        <v>3</v>
      </c>
      <c r="I604" t="s">
        <v>42</v>
      </c>
      <c r="J604" t="s">
        <v>38</v>
      </c>
      <c r="K604">
        <v>2</v>
      </c>
      <c r="L604" t="s">
        <v>55</v>
      </c>
      <c r="M604">
        <v>2</v>
      </c>
      <c r="N604" t="s">
        <v>40</v>
      </c>
      <c r="O604" t="s">
        <v>69</v>
      </c>
      <c r="P604">
        <v>4</v>
      </c>
      <c r="Q604" t="s">
        <v>42</v>
      </c>
      <c r="R604" t="s">
        <v>43</v>
      </c>
      <c r="S604">
        <v>5</v>
      </c>
      <c r="T604" t="s">
        <v>44</v>
      </c>
      <c r="U604" t="s">
        <v>44</v>
      </c>
      <c r="V604">
        <v>24</v>
      </c>
      <c r="W604" t="s">
        <v>60</v>
      </c>
      <c r="X604">
        <v>12</v>
      </c>
      <c r="Y604">
        <v>2</v>
      </c>
      <c r="Z604" t="s">
        <v>46</v>
      </c>
      <c r="AA604">
        <v>0</v>
      </c>
      <c r="AB604" t="s">
        <v>48</v>
      </c>
      <c r="AC604">
        <v>0</v>
      </c>
      <c r="AD604" t="s">
        <v>48</v>
      </c>
      <c r="AE604">
        <v>0</v>
      </c>
      <c r="AF604" t="s">
        <v>49</v>
      </c>
    </row>
    <row r="605" spans="1:32" x14ac:dyDescent="0.25">
      <c r="A605">
        <v>45</v>
      </c>
      <c r="B605" t="s">
        <v>32</v>
      </c>
      <c r="C605" t="s">
        <v>50</v>
      </c>
      <c r="D605" t="s">
        <v>34</v>
      </c>
      <c r="E605" t="s">
        <v>52</v>
      </c>
      <c r="F605">
        <v>2</v>
      </c>
      <c r="G605" t="s">
        <v>36</v>
      </c>
      <c r="H605">
        <v>2</v>
      </c>
      <c r="I605" t="s">
        <v>37</v>
      </c>
      <c r="J605" t="s">
        <v>38</v>
      </c>
      <c r="K605">
        <v>2</v>
      </c>
      <c r="L605" t="s">
        <v>55</v>
      </c>
      <c r="M605">
        <v>1</v>
      </c>
      <c r="N605" t="s">
        <v>40</v>
      </c>
      <c r="O605" t="s">
        <v>56</v>
      </c>
      <c r="P605">
        <v>3</v>
      </c>
      <c r="Q605" t="s">
        <v>42</v>
      </c>
      <c r="R605" t="s">
        <v>43</v>
      </c>
      <c r="S605">
        <v>1</v>
      </c>
      <c r="T605" t="s">
        <v>44</v>
      </c>
      <c r="U605" t="s">
        <v>59</v>
      </c>
      <c r="V605">
        <v>14</v>
      </c>
      <c r="W605" t="s">
        <v>45</v>
      </c>
      <c r="X605">
        <v>1</v>
      </c>
      <c r="Y605">
        <v>3</v>
      </c>
      <c r="Z605" t="s">
        <v>61</v>
      </c>
      <c r="AA605">
        <v>1</v>
      </c>
      <c r="AB605" t="s">
        <v>48</v>
      </c>
      <c r="AC605">
        <v>0</v>
      </c>
      <c r="AD605" t="s">
        <v>48</v>
      </c>
      <c r="AE605">
        <v>0</v>
      </c>
      <c r="AF605" t="s">
        <v>49</v>
      </c>
    </row>
    <row r="606" spans="1:32" x14ac:dyDescent="0.25">
      <c r="A606">
        <v>42</v>
      </c>
      <c r="B606" t="s">
        <v>32</v>
      </c>
      <c r="C606" t="s">
        <v>50</v>
      </c>
      <c r="D606" t="s">
        <v>34</v>
      </c>
      <c r="E606" t="s">
        <v>52</v>
      </c>
      <c r="F606">
        <v>29</v>
      </c>
      <c r="G606" t="s">
        <v>66</v>
      </c>
      <c r="H606">
        <v>2</v>
      </c>
      <c r="I606" t="s">
        <v>37</v>
      </c>
      <c r="J606" t="s">
        <v>54</v>
      </c>
      <c r="K606">
        <v>3</v>
      </c>
      <c r="L606" t="s">
        <v>39</v>
      </c>
      <c r="M606">
        <v>2</v>
      </c>
      <c r="N606" t="s">
        <v>40</v>
      </c>
      <c r="O606" t="s">
        <v>69</v>
      </c>
      <c r="P606">
        <v>2</v>
      </c>
      <c r="Q606" t="s">
        <v>57</v>
      </c>
      <c r="R606" t="s">
        <v>58</v>
      </c>
      <c r="S606">
        <v>1</v>
      </c>
      <c r="T606" t="s">
        <v>44</v>
      </c>
      <c r="U606" t="s">
        <v>59</v>
      </c>
      <c r="V606">
        <v>13</v>
      </c>
      <c r="W606" t="s">
        <v>45</v>
      </c>
      <c r="X606">
        <v>10</v>
      </c>
      <c r="Y606">
        <v>2</v>
      </c>
      <c r="Z606" t="s">
        <v>46</v>
      </c>
      <c r="AA606">
        <v>9</v>
      </c>
      <c r="AB606" t="s">
        <v>47</v>
      </c>
      <c r="AC606">
        <v>8</v>
      </c>
      <c r="AD606" t="s">
        <v>47</v>
      </c>
      <c r="AE606">
        <v>7</v>
      </c>
      <c r="AF606" t="s">
        <v>71</v>
      </c>
    </row>
    <row r="607" spans="1:32" x14ac:dyDescent="0.25">
      <c r="A607">
        <v>38</v>
      </c>
      <c r="B607" t="s">
        <v>32</v>
      </c>
      <c r="C607" t="s">
        <v>50</v>
      </c>
      <c r="D607" t="s">
        <v>51</v>
      </c>
      <c r="E607" t="s">
        <v>52</v>
      </c>
      <c r="F607">
        <v>12</v>
      </c>
      <c r="G607" t="s">
        <v>53</v>
      </c>
      <c r="H607">
        <v>1</v>
      </c>
      <c r="I607" t="s">
        <v>37</v>
      </c>
      <c r="J607" t="s">
        <v>54</v>
      </c>
      <c r="K607">
        <v>2</v>
      </c>
      <c r="L607" t="s">
        <v>55</v>
      </c>
      <c r="M607">
        <v>2</v>
      </c>
      <c r="N607" t="s">
        <v>40</v>
      </c>
      <c r="O607" t="s">
        <v>70</v>
      </c>
      <c r="P607">
        <v>1</v>
      </c>
      <c r="Q607" t="s">
        <v>57</v>
      </c>
      <c r="R607" t="s">
        <v>67</v>
      </c>
      <c r="S607">
        <v>2</v>
      </c>
      <c r="T607" t="s">
        <v>44</v>
      </c>
      <c r="U607" t="s">
        <v>59</v>
      </c>
      <c r="V607">
        <v>15</v>
      </c>
      <c r="W607" t="s">
        <v>45</v>
      </c>
      <c r="X607">
        <v>13</v>
      </c>
      <c r="Y607">
        <v>2</v>
      </c>
      <c r="Z607" t="s">
        <v>46</v>
      </c>
      <c r="AA607">
        <v>4</v>
      </c>
      <c r="AB607" t="s">
        <v>48</v>
      </c>
      <c r="AC607">
        <v>3</v>
      </c>
      <c r="AD607" t="s">
        <v>48</v>
      </c>
      <c r="AE607">
        <v>1</v>
      </c>
      <c r="AF607" t="s">
        <v>49</v>
      </c>
    </row>
    <row r="608" spans="1:32" x14ac:dyDescent="0.25">
      <c r="A608">
        <v>34</v>
      </c>
      <c r="B608" t="s">
        <v>32</v>
      </c>
      <c r="C608" t="s">
        <v>50</v>
      </c>
      <c r="D608" t="s">
        <v>51</v>
      </c>
      <c r="E608" t="s">
        <v>52</v>
      </c>
      <c r="F608">
        <v>16</v>
      </c>
      <c r="G608" t="s">
        <v>66</v>
      </c>
      <c r="H608">
        <v>3</v>
      </c>
      <c r="I608" t="s">
        <v>42</v>
      </c>
      <c r="J608" t="s">
        <v>38</v>
      </c>
      <c r="K608">
        <v>2</v>
      </c>
      <c r="L608" t="s">
        <v>55</v>
      </c>
      <c r="M608">
        <v>1</v>
      </c>
      <c r="N608" t="s">
        <v>40</v>
      </c>
      <c r="O608" t="s">
        <v>56</v>
      </c>
      <c r="P608">
        <v>4</v>
      </c>
      <c r="Q608" t="s">
        <v>42</v>
      </c>
      <c r="R608" t="s">
        <v>43</v>
      </c>
      <c r="S608">
        <v>1</v>
      </c>
      <c r="T608" t="s">
        <v>44</v>
      </c>
      <c r="U608" t="s">
        <v>59</v>
      </c>
      <c r="V608">
        <v>16</v>
      </c>
      <c r="W608" t="s">
        <v>45</v>
      </c>
      <c r="X608">
        <v>6</v>
      </c>
      <c r="Y608">
        <v>3</v>
      </c>
      <c r="Z608" t="s">
        <v>61</v>
      </c>
      <c r="AA608">
        <v>5</v>
      </c>
      <c r="AB608" t="s">
        <v>47</v>
      </c>
      <c r="AC608">
        <v>2</v>
      </c>
      <c r="AD608" t="s">
        <v>48</v>
      </c>
      <c r="AE608">
        <v>1</v>
      </c>
      <c r="AF608" t="s">
        <v>49</v>
      </c>
    </row>
    <row r="609" spans="1:32" x14ac:dyDescent="0.25">
      <c r="A609">
        <v>49</v>
      </c>
      <c r="B609" t="s">
        <v>32</v>
      </c>
      <c r="C609" t="s">
        <v>33</v>
      </c>
      <c r="D609" t="s">
        <v>34</v>
      </c>
      <c r="E609" t="s">
        <v>35</v>
      </c>
      <c r="F609">
        <v>11</v>
      </c>
      <c r="G609" t="s">
        <v>53</v>
      </c>
      <c r="H609">
        <v>3</v>
      </c>
      <c r="I609" t="s">
        <v>42</v>
      </c>
      <c r="J609" t="s">
        <v>38</v>
      </c>
      <c r="K609">
        <v>3</v>
      </c>
      <c r="L609" t="s">
        <v>39</v>
      </c>
      <c r="M609">
        <v>3</v>
      </c>
      <c r="N609" t="s">
        <v>68</v>
      </c>
      <c r="O609" t="s">
        <v>41</v>
      </c>
      <c r="P609">
        <v>4</v>
      </c>
      <c r="Q609" t="s">
        <v>42</v>
      </c>
      <c r="R609" t="s">
        <v>58</v>
      </c>
      <c r="S609">
        <v>1</v>
      </c>
      <c r="T609" t="s">
        <v>44</v>
      </c>
      <c r="U609" t="s">
        <v>59</v>
      </c>
      <c r="V609">
        <v>18</v>
      </c>
      <c r="W609" t="s">
        <v>45</v>
      </c>
      <c r="X609">
        <v>9</v>
      </c>
      <c r="Y609">
        <v>4</v>
      </c>
      <c r="Z609" t="s">
        <v>61</v>
      </c>
      <c r="AA609">
        <v>9</v>
      </c>
      <c r="AB609" t="s">
        <v>47</v>
      </c>
      <c r="AC609">
        <v>8</v>
      </c>
      <c r="AD609" t="s">
        <v>47</v>
      </c>
      <c r="AE609">
        <v>7</v>
      </c>
      <c r="AF609" t="s">
        <v>71</v>
      </c>
    </row>
    <row r="610" spans="1:32" x14ac:dyDescent="0.25">
      <c r="A610">
        <v>55</v>
      </c>
      <c r="B610" t="s">
        <v>64</v>
      </c>
      <c r="C610" t="s">
        <v>33</v>
      </c>
      <c r="D610" t="s">
        <v>34</v>
      </c>
      <c r="E610" t="s">
        <v>35</v>
      </c>
      <c r="F610">
        <v>2</v>
      </c>
      <c r="G610" t="s">
        <v>36</v>
      </c>
      <c r="H610">
        <v>3</v>
      </c>
      <c r="I610" t="s">
        <v>42</v>
      </c>
      <c r="J610" t="s">
        <v>54</v>
      </c>
      <c r="K610">
        <v>3</v>
      </c>
      <c r="L610" t="s">
        <v>39</v>
      </c>
      <c r="M610">
        <v>2</v>
      </c>
      <c r="N610" t="s">
        <v>40</v>
      </c>
      <c r="O610" t="s">
        <v>41</v>
      </c>
      <c r="P610">
        <v>4</v>
      </c>
      <c r="Q610" t="s">
        <v>42</v>
      </c>
      <c r="R610" t="s">
        <v>43</v>
      </c>
      <c r="S610">
        <v>4</v>
      </c>
      <c r="T610" t="s">
        <v>44</v>
      </c>
      <c r="U610" t="s">
        <v>59</v>
      </c>
      <c r="V610">
        <v>16</v>
      </c>
      <c r="W610" t="s">
        <v>45</v>
      </c>
      <c r="X610">
        <v>12</v>
      </c>
      <c r="Y610">
        <v>2</v>
      </c>
      <c r="Z610" t="s">
        <v>46</v>
      </c>
      <c r="AA610">
        <v>9</v>
      </c>
      <c r="AB610" t="s">
        <v>47</v>
      </c>
      <c r="AC610">
        <v>7</v>
      </c>
      <c r="AD610" t="s">
        <v>47</v>
      </c>
      <c r="AE610">
        <v>7</v>
      </c>
      <c r="AF610" t="s">
        <v>71</v>
      </c>
    </row>
    <row r="611" spans="1:32" x14ac:dyDescent="0.25">
      <c r="A611">
        <v>43</v>
      </c>
      <c r="B611" t="s">
        <v>32</v>
      </c>
      <c r="C611" t="s">
        <v>50</v>
      </c>
      <c r="D611" t="s">
        <v>34</v>
      </c>
      <c r="E611" t="s">
        <v>52</v>
      </c>
      <c r="F611">
        <v>14</v>
      </c>
      <c r="G611" t="s">
        <v>53</v>
      </c>
      <c r="H611">
        <v>2</v>
      </c>
      <c r="I611" t="s">
        <v>37</v>
      </c>
      <c r="J611" t="s">
        <v>54</v>
      </c>
      <c r="K611">
        <v>3</v>
      </c>
      <c r="L611" t="s">
        <v>39</v>
      </c>
      <c r="M611">
        <v>4</v>
      </c>
      <c r="N611" t="s">
        <v>72</v>
      </c>
      <c r="O611" t="s">
        <v>76</v>
      </c>
      <c r="P611">
        <v>1</v>
      </c>
      <c r="Q611" t="s">
        <v>57</v>
      </c>
      <c r="R611" t="s">
        <v>58</v>
      </c>
      <c r="S611">
        <v>6</v>
      </c>
      <c r="T611" t="s">
        <v>44</v>
      </c>
      <c r="U611" t="s">
        <v>59</v>
      </c>
      <c r="V611">
        <v>24</v>
      </c>
      <c r="W611" t="s">
        <v>60</v>
      </c>
      <c r="X611">
        <v>22</v>
      </c>
      <c r="Y611">
        <v>3</v>
      </c>
      <c r="Z611" t="s">
        <v>61</v>
      </c>
      <c r="AA611">
        <v>4</v>
      </c>
      <c r="AB611" t="s">
        <v>48</v>
      </c>
      <c r="AC611">
        <v>1</v>
      </c>
      <c r="AD611" t="s">
        <v>48</v>
      </c>
      <c r="AE611">
        <v>1</v>
      </c>
      <c r="AF611" t="s">
        <v>49</v>
      </c>
    </row>
    <row r="612" spans="1:32" x14ac:dyDescent="0.25">
      <c r="A612">
        <v>27</v>
      </c>
      <c r="B612" t="s">
        <v>63</v>
      </c>
      <c r="C612" t="s">
        <v>50</v>
      </c>
      <c r="D612" t="s">
        <v>34</v>
      </c>
      <c r="E612" t="s">
        <v>52</v>
      </c>
      <c r="F612">
        <v>5</v>
      </c>
      <c r="G612" t="s">
        <v>36</v>
      </c>
      <c r="H612">
        <v>3</v>
      </c>
      <c r="I612" t="s">
        <v>42</v>
      </c>
      <c r="J612" t="s">
        <v>54</v>
      </c>
      <c r="K612">
        <v>2</v>
      </c>
      <c r="L612" t="s">
        <v>55</v>
      </c>
      <c r="M612">
        <v>3</v>
      </c>
      <c r="N612" t="s">
        <v>68</v>
      </c>
      <c r="O612" t="s">
        <v>76</v>
      </c>
      <c r="P612">
        <v>4</v>
      </c>
      <c r="Q612" t="s">
        <v>42</v>
      </c>
      <c r="R612" t="s">
        <v>67</v>
      </c>
      <c r="S612">
        <v>1</v>
      </c>
      <c r="T612" t="s">
        <v>44</v>
      </c>
      <c r="U612" t="s">
        <v>44</v>
      </c>
      <c r="V612">
        <v>16</v>
      </c>
      <c r="W612" t="s">
        <v>45</v>
      </c>
      <c r="X612">
        <v>9</v>
      </c>
      <c r="Y612">
        <v>3</v>
      </c>
      <c r="Z612" t="s">
        <v>61</v>
      </c>
      <c r="AA612">
        <v>9</v>
      </c>
      <c r="AB612" t="s">
        <v>47</v>
      </c>
      <c r="AC612">
        <v>8</v>
      </c>
      <c r="AD612" t="s">
        <v>47</v>
      </c>
      <c r="AE612">
        <v>0</v>
      </c>
      <c r="AF612" t="s">
        <v>49</v>
      </c>
    </row>
    <row r="613" spans="1:32" x14ac:dyDescent="0.25">
      <c r="A613">
        <v>35</v>
      </c>
      <c r="B613" t="s">
        <v>32</v>
      </c>
      <c r="C613" t="s">
        <v>50</v>
      </c>
      <c r="D613" t="s">
        <v>34</v>
      </c>
      <c r="E613" t="s">
        <v>52</v>
      </c>
      <c r="F613">
        <v>7</v>
      </c>
      <c r="G613" t="s">
        <v>53</v>
      </c>
      <c r="H613">
        <v>3</v>
      </c>
      <c r="I613" t="s">
        <v>42</v>
      </c>
      <c r="J613" t="s">
        <v>54</v>
      </c>
      <c r="K613">
        <v>3</v>
      </c>
      <c r="L613" t="s">
        <v>39</v>
      </c>
      <c r="M613">
        <v>3</v>
      </c>
      <c r="N613" t="s">
        <v>68</v>
      </c>
      <c r="O613" t="s">
        <v>69</v>
      </c>
      <c r="P613">
        <v>3</v>
      </c>
      <c r="Q613" t="s">
        <v>42</v>
      </c>
      <c r="R613" t="s">
        <v>43</v>
      </c>
      <c r="S613">
        <v>3</v>
      </c>
      <c r="T613" t="s">
        <v>44</v>
      </c>
      <c r="U613" t="s">
        <v>59</v>
      </c>
      <c r="V613">
        <v>21</v>
      </c>
      <c r="W613" t="s">
        <v>60</v>
      </c>
      <c r="X613">
        <v>17</v>
      </c>
      <c r="Y613">
        <v>4</v>
      </c>
      <c r="Z613" t="s">
        <v>61</v>
      </c>
      <c r="AA613">
        <v>8</v>
      </c>
      <c r="AB613" t="s">
        <v>47</v>
      </c>
      <c r="AC613">
        <v>5</v>
      </c>
      <c r="AD613" t="s">
        <v>47</v>
      </c>
      <c r="AE613">
        <v>1</v>
      </c>
      <c r="AF613" t="s">
        <v>49</v>
      </c>
    </row>
    <row r="614" spans="1:32" x14ac:dyDescent="0.25">
      <c r="A614">
        <v>28</v>
      </c>
      <c r="B614" t="s">
        <v>63</v>
      </c>
      <c r="C614" t="s">
        <v>50</v>
      </c>
      <c r="D614" t="s">
        <v>34</v>
      </c>
      <c r="E614" t="s">
        <v>35</v>
      </c>
      <c r="F614">
        <v>2</v>
      </c>
      <c r="G614" t="s">
        <v>36</v>
      </c>
      <c r="H614">
        <v>2</v>
      </c>
      <c r="I614" t="s">
        <v>37</v>
      </c>
      <c r="J614" t="s">
        <v>38</v>
      </c>
      <c r="K614">
        <v>3</v>
      </c>
      <c r="L614" t="s">
        <v>39</v>
      </c>
      <c r="M614">
        <v>2</v>
      </c>
      <c r="N614" t="s">
        <v>40</v>
      </c>
      <c r="O614" t="s">
        <v>41</v>
      </c>
      <c r="P614">
        <v>2</v>
      </c>
      <c r="Q614" t="s">
        <v>57</v>
      </c>
      <c r="R614" t="s">
        <v>58</v>
      </c>
      <c r="S614">
        <v>1</v>
      </c>
      <c r="T614" t="s">
        <v>44</v>
      </c>
      <c r="U614" t="s">
        <v>44</v>
      </c>
      <c r="V614">
        <v>20</v>
      </c>
      <c r="W614" t="s">
        <v>60</v>
      </c>
      <c r="X614">
        <v>8</v>
      </c>
      <c r="Y614">
        <v>3</v>
      </c>
      <c r="Z614" t="s">
        <v>61</v>
      </c>
      <c r="AA614">
        <v>8</v>
      </c>
      <c r="AB614" t="s">
        <v>47</v>
      </c>
      <c r="AC614">
        <v>7</v>
      </c>
      <c r="AD614" t="s">
        <v>47</v>
      </c>
      <c r="AE614">
        <v>7</v>
      </c>
      <c r="AF614" t="s">
        <v>71</v>
      </c>
    </row>
    <row r="615" spans="1:32" x14ac:dyDescent="0.25">
      <c r="A615">
        <v>34</v>
      </c>
      <c r="B615" t="s">
        <v>32</v>
      </c>
      <c r="C615" t="s">
        <v>50</v>
      </c>
      <c r="D615" t="s">
        <v>34</v>
      </c>
      <c r="E615" t="s">
        <v>77</v>
      </c>
      <c r="F615">
        <v>3</v>
      </c>
      <c r="G615" t="s">
        <v>36</v>
      </c>
      <c r="H615">
        <v>3</v>
      </c>
      <c r="I615" t="s">
        <v>42</v>
      </c>
      <c r="J615" t="s">
        <v>54</v>
      </c>
      <c r="K615">
        <v>3</v>
      </c>
      <c r="L615" t="s">
        <v>39</v>
      </c>
      <c r="M615">
        <v>1</v>
      </c>
      <c r="N615" t="s">
        <v>40</v>
      </c>
      <c r="O615" t="s">
        <v>77</v>
      </c>
      <c r="P615">
        <v>4</v>
      </c>
      <c r="Q615" t="s">
        <v>42</v>
      </c>
      <c r="R615" t="s">
        <v>58</v>
      </c>
      <c r="S615">
        <v>0</v>
      </c>
      <c r="T615" t="s">
        <v>44</v>
      </c>
      <c r="U615" t="s">
        <v>59</v>
      </c>
      <c r="V615">
        <v>19</v>
      </c>
      <c r="W615" t="s">
        <v>45</v>
      </c>
      <c r="X615">
        <v>4</v>
      </c>
      <c r="Y615">
        <v>1</v>
      </c>
      <c r="Z615" t="s">
        <v>46</v>
      </c>
      <c r="AA615">
        <v>3</v>
      </c>
      <c r="AB615" t="s">
        <v>48</v>
      </c>
      <c r="AC615">
        <v>2</v>
      </c>
      <c r="AD615" t="s">
        <v>48</v>
      </c>
      <c r="AE615">
        <v>0</v>
      </c>
      <c r="AF615" t="s">
        <v>49</v>
      </c>
    </row>
    <row r="616" spans="1:32" x14ac:dyDescent="0.25">
      <c r="A616">
        <v>26</v>
      </c>
      <c r="B616" t="s">
        <v>63</v>
      </c>
      <c r="C616" t="s">
        <v>33</v>
      </c>
      <c r="D616" t="s">
        <v>51</v>
      </c>
      <c r="E616" t="s">
        <v>52</v>
      </c>
      <c r="F616">
        <v>5</v>
      </c>
      <c r="G616" t="s">
        <v>36</v>
      </c>
      <c r="H616">
        <v>3</v>
      </c>
      <c r="I616" t="s">
        <v>42</v>
      </c>
      <c r="J616" t="s">
        <v>38</v>
      </c>
      <c r="K616">
        <v>2</v>
      </c>
      <c r="L616" t="s">
        <v>55</v>
      </c>
      <c r="M616">
        <v>1</v>
      </c>
      <c r="N616" t="s">
        <v>40</v>
      </c>
      <c r="O616" t="s">
        <v>56</v>
      </c>
      <c r="P616">
        <v>3</v>
      </c>
      <c r="Q616" t="s">
        <v>42</v>
      </c>
      <c r="R616" t="s">
        <v>58</v>
      </c>
      <c r="S616">
        <v>1</v>
      </c>
      <c r="T616" t="s">
        <v>44</v>
      </c>
      <c r="U616" t="s">
        <v>44</v>
      </c>
      <c r="V616">
        <v>14</v>
      </c>
      <c r="W616" t="s">
        <v>45</v>
      </c>
      <c r="X616">
        <v>8</v>
      </c>
      <c r="Y616">
        <v>3</v>
      </c>
      <c r="Z616" t="s">
        <v>61</v>
      </c>
      <c r="AA616">
        <v>8</v>
      </c>
      <c r="AB616" t="s">
        <v>47</v>
      </c>
      <c r="AC616">
        <v>7</v>
      </c>
      <c r="AD616" t="s">
        <v>47</v>
      </c>
      <c r="AE616">
        <v>1</v>
      </c>
      <c r="AF616" t="s">
        <v>49</v>
      </c>
    </row>
    <row r="617" spans="1:32" x14ac:dyDescent="0.25">
      <c r="A617">
        <v>27</v>
      </c>
      <c r="B617" t="s">
        <v>63</v>
      </c>
      <c r="C617" t="s">
        <v>50</v>
      </c>
      <c r="D617" t="s">
        <v>34</v>
      </c>
      <c r="E617" t="s">
        <v>52</v>
      </c>
      <c r="F617">
        <v>3</v>
      </c>
      <c r="G617" t="s">
        <v>36</v>
      </c>
      <c r="H617">
        <v>4</v>
      </c>
      <c r="I617" t="s">
        <v>42</v>
      </c>
      <c r="J617" t="s">
        <v>54</v>
      </c>
      <c r="K617">
        <v>3</v>
      </c>
      <c r="L617" t="s">
        <v>39</v>
      </c>
      <c r="M617">
        <v>1</v>
      </c>
      <c r="N617" t="s">
        <v>40</v>
      </c>
      <c r="O617" t="s">
        <v>56</v>
      </c>
      <c r="P617">
        <v>4</v>
      </c>
      <c r="Q617" t="s">
        <v>42</v>
      </c>
      <c r="R617" t="s">
        <v>58</v>
      </c>
      <c r="S617">
        <v>1</v>
      </c>
      <c r="T617" t="s">
        <v>44</v>
      </c>
      <c r="U617" t="s">
        <v>59</v>
      </c>
      <c r="V617">
        <v>11</v>
      </c>
      <c r="W617" t="s">
        <v>45</v>
      </c>
      <c r="X617">
        <v>0</v>
      </c>
      <c r="Y617">
        <v>2</v>
      </c>
      <c r="Z617" t="s">
        <v>46</v>
      </c>
      <c r="AA617">
        <v>0</v>
      </c>
      <c r="AB617" t="s">
        <v>48</v>
      </c>
      <c r="AC617">
        <v>0</v>
      </c>
      <c r="AD617" t="s">
        <v>48</v>
      </c>
      <c r="AE617">
        <v>0</v>
      </c>
      <c r="AF617" t="s">
        <v>49</v>
      </c>
    </row>
    <row r="618" spans="1:32" x14ac:dyDescent="0.25">
      <c r="A618">
        <v>51</v>
      </c>
      <c r="B618" t="s">
        <v>64</v>
      </c>
      <c r="C618" t="s">
        <v>50</v>
      </c>
      <c r="D618" t="s">
        <v>34</v>
      </c>
      <c r="E618" t="s">
        <v>35</v>
      </c>
      <c r="F618">
        <v>26</v>
      </c>
      <c r="G618" t="s">
        <v>66</v>
      </c>
      <c r="H618">
        <v>1</v>
      </c>
      <c r="I618" t="s">
        <v>37</v>
      </c>
      <c r="J618" t="s">
        <v>38</v>
      </c>
      <c r="K618">
        <v>3</v>
      </c>
      <c r="L618" t="s">
        <v>39</v>
      </c>
      <c r="M618">
        <v>4</v>
      </c>
      <c r="N618" t="s">
        <v>72</v>
      </c>
      <c r="O618" t="s">
        <v>73</v>
      </c>
      <c r="P618">
        <v>3</v>
      </c>
      <c r="Q618" t="s">
        <v>42</v>
      </c>
      <c r="R618" t="s">
        <v>58</v>
      </c>
      <c r="S618">
        <v>2</v>
      </c>
      <c r="T618" t="s">
        <v>44</v>
      </c>
      <c r="U618" t="s">
        <v>59</v>
      </c>
      <c r="V618">
        <v>14</v>
      </c>
      <c r="W618" t="s">
        <v>45</v>
      </c>
      <c r="X618">
        <v>29</v>
      </c>
      <c r="Y618">
        <v>2</v>
      </c>
      <c r="Z618" t="s">
        <v>46</v>
      </c>
      <c r="AA618">
        <v>20</v>
      </c>
      <c r="AB618" t="s">
        <v>74</v>
      </c>
      <c r="AC618">
        <v>6</v>
      </c>
      <c r="AD618" t="s">
        <v>47</v>
      </c>
      <c r="AE618">
        <v>4</v>
      </c>
      <c r="AF618" t="s">
        <v>71</v>
      </c>
    </row>
    <row r="619" spans="1:32" x14ac:dyDescent="0.25">
      <c r="A619">
        <v>44</v>
      </c>
      <c r="B619" t="s">
        <v>32</v>
      </c>
      <c r="C619" t="s">
        <v>50</v>
      </c>
      <c r="D619" t="s">
        <v>34</v>
      </c>
      <c r="E619" t="s">
        <v>52</v>
      </c>
      <c r="F619">
        <v>4</v>
      </c>
      <c r="G619" t="s">
        <v>36</v>
      </c>
      <c r="H619">
        <v>4</v>
      </c>
      <c r="I619" t="s">
        <v>42</v>
      </c>
      <c r="J619" t="s">
        <v>54</v>
      </c>
      <c r="K619">
        <v>3</v>
      </c>
      <c r="L619" t="s">
        <v>39</v>
      </c>
      <c r="M619">
        <v>2</v>
      </c>
      <c r="N619" t="s">
        <v>40</v>
      </c>
      <c r="O619" t="s">
        <v>70</v>
      </c>
      <c r="P619">
        <v>2</v>
      </c>
      <c r="Q619" t="s">
        <v>57</v>
      </c>
      <c r="R619" t="s">
        <v>43</v>
      </c>
      <c r="S619">
        <v>9</v>
      </c>
      <c r="T619" t="s">
        <v>44</v>
      </c>
      <c r="U619" t="s">
        <v>59</v>
      </c>
      <c r="V619">
        <v>12</v>
      </c>
      <c r="W619" t="s">
        <v>45</v>
      </c>
      <c r="X619">
        <v>10</v>
      </c>
      <c r="Y619">
        <v>2</v>
      </c>
      <c r="Z619" t="s">
        <v>46</v>
      </c>
      <c r="AA619">
        <v>5</v>
      </c>
      <c r="AB619" t="s">
        <v>47</v>
      </c>
      <c r="AC619">
        <v>2</v>
      </c>
      <c r="AD619" t="s">
        <v>48</v>
      </c>
      <c r="AE619">
        <v>2</v>
      </c>
      <c r="AF619" t="s">
        <v>49</v>
      </c>
    </row>
    <row r="620" spans="1:32" x14ac:dyDescent="0.25">
      <c r="A620">
        <v>25</v>
      </c>
      <c r="B620" t="s">
        <v>63</v>
      </c>
      <c r="C620" t="s">
        <v>50</v>
      </c>
      <c r="D620" t="s">
        <v>34</v>
      </c>
      <c r="E620" t="s">
        <v>52</v>
      </c>
      <c r="F620">
        <v>2</v>
      </c>
      <c r="G620" t="s">
        <v>36</v>
      </c>
      <c r="H620">
        <v>1</v>
      </c>
      <c r="I620" t="s">
        <v>37</v>
      </c>
      <c r="J620" t="s">
        <v>54</v>
      </c>
      <c r="K620">
        <v>4</v>
      </c>
      <c r="L620" t="s">
        <v>65</v>
      </c>
      <c r="M620">
        <v>1</v>
      </c>
      <c r="N620" t="s">
        <v>40</v>
      </c>
      <c r="O620" t="s">
        <v>56</v>
      </c>
      <c r="P620">
        <v>1</v>
      </c>
      <c r="Q620" t="s">
        <v>57</v>
      </c>
      <c r="R620" t="s">
        <v>43</v>
      </c>
      <c r="S620">
        <v>7</v>
      </c>
      <c r="T620" t="s">
        <v>44</v>
      </c>
      <c r="U620" t="s">
        <v>59</v>
      </c>
      <c r="V620">
        <v>13</v>
      </c>
      <c r="W620" t="s">
        <v>45</v>
      </c>
      <c r="X620">
        <v>6</v>
      </c>
      <c r="Y620">
        <v>2</v>
      </c>
      <c r="Z620" t="s">
        <v>46</v>
      </c>
      <c r="AA620">
        <v>4</v>
      </c>
      <c r="AB620" t="s">
        <v>48</v>
      </c>
      <c r="AC620">
        <v>3</v>
      </c>
      <c r="AD620" t="s">
        <v>48</v>
      </c>
      <c r="AE620">
        <v>0</v>
      </c>
      <c r="AF620" t="s">
        <v>49</v>
      </c>
    </row>
    <row r="621" spans="1:32" x14ac:dyDescent="0.25">
      <c r="A621">
        <v>33</v>
      </c>
      <c r="B621" t="s">
        <v>32</v>
      </c>
      <c r="C621" t="s">
        <v>50</v>
      </c>
      <c r="D621" t="s">
        <v>34</v>
      </c>
      <c r="E621" t="s">
        <v>35</v>
      </c>
      <c r="F621">
        <v>1</v>
      </c>
      <c r="G621" t="s">
        <v>36</v>
      </c>
      <c r="H621">
        <v>1</v>
      </c>
      <c r="I621" t="s">
        <v>37</v>
      </c>
      <c r="J621" t="s">
        <v>54</v>
      </c>
      <c r="K621">
        <v>4</v>
      </c>
      <c r="L621" t="s">
        <v>65</v>
      </c>
      <c r="M621">
        <v>2</v>
      </c>
      <c r="N621" t="s">
        <v>40</v>
      </c>
      <c r="O621" t="s">
        <v>41</v>
      </c>
      <c r="P621">
        <v>1</v>
      </c>
      <c r="Q621" t="s">
        <v>57</v>
      </c>
      <c r="R621" t="s">
        <v>67</v>
      </c>
      <c r="S621">
        <v>1</v>
      </c>
      <c r="T621" t="s">
        <v>44</v>
      </c>
      <c r="U621" t="s">
        <v>59</v>
      </c>
      <c r="V621">
        <v>22</v>
      </c>
      <c r="W621" t="s">
        <v>60</v>
      </c>
      <c r="X621">
        <v>9</v>
      </c>
      <c r="Y621">
        <v>3</v>
      </c>
      <c r="Z621" t="s">
        <v>61</v>
      </c>
      <c r="AA621">
        <v>9</v>
      </c>
      <c r="AB621" t="s">
        <v>47</v>
      </c>
      <c r="AC621">
        <v>8</v>
      </c>
      <c r="AD621" t="s">
        <v>47</v>
      </c>
      <c r="AE621">
        <v>0</v>
      </c>
      <c r="AF621" t="s">
        <v>49</v>
      </c>
    </row>
    <row r="622" spans="1:32" x14ac:dyDescent="0.25">
      <c r="A622">
        <v>35</v>
      </c>
      <c r="B622" t="s">
        <v>32</v>
      </c>
      <c r="C622" t="s">
        <v>50</v>
      </c>
      <c r="D622" t="s">
        <v>34</v>
      </c>
      <c r="E622" t="s">
        <v>52</v>
      </c>
      <c r="F622">
        <v>27</v>
      </c>
      <c r="G622" t="s">
        <v>66</v>
      </c>
      <c r="H622">
        <v>3</v>
      </c>
      <c r="I622" t="s">
        <v>42</v>
      </c>
      <c r="J622" t="s">
        <v>38</v>
      </c>
      <c r="K622">
        <v>2</v>
      </c>
      <c r="L622" t="s">
        <v>55</v>
      </c>
      <c r="M622">
        <v>1</v>
      </c>
      <c r="N622" t="s">
        <v>40</v>
      </c>
      <c r="O622" t="s">
        <v>56</v>
      </c>
      <c r="P622">
        <v>1</v>
      </c>
      <c r="Q622" t="s">
        <v>57</v>
      </c>
      <c r="R622" t="s">
        <v>43</v>
      </c>
      <c r="S622">
        <v>1</v>
      </c>
      <c r="T622" t="s">
        <v>44</v>
      </c>
      <c r="U622" t="s">
        <v>59</v>
      </c>
      <c r="V622">
        <v>11</v>
      </c>
      <c r="W622" t="s">
        <v>45</v>
      </c>
      <c r="X622">
        <v>6</v>
      </c>
      <c r="Y622">
        <v>2</v>
      </c>
      <c r="Z622" t="s">
        <v>46</v>
      </c>
      <c r="AA622">
        <v>6</v>
      </c>
      <c r="AB622" t="s">
        <v>47</v>
      </c>
      <c r="AC622">
        <v>5</v>
      </c>
      <c r="AD622" t="s">
        <v>47</v>
      </c>
      <c r="AE622">
        <v>1</v>
      </c>
      <c r="AF622" t="s">
        <v>49</v>
      </c>
    </row>
    <row r="623" spans="1:32" x14ac:dyDescent="0.25">
      <c r="A623">
        <v>36</v>
      </c>
      <c r="B623" t="s">
        <v>32</v>
      </c>
      <c r="C623" t="s">
        <v>50</v>
      </c>
      <c r="D623" t="s">
        <v>34</v>
      </c>
      <c r="E623" t="s">
        <v>35</v>
      </c>
      <c r="F623">
        <v>1</v>
      </c>
      <c r="G623" t="s">
        <v>36</v>
      </c>
      <c r="H623">
        <v>2</v>
      </c>
      <c r="I623" t="s">
        <v>37</v>
      </c>
      <c r="J623" t="s">
        <v>54</v>
      </c>
      <c r="K623">
        <v>3</v>
      </c>
      <c r="L623" t="s">
        <v>39</v>
      </c>
      <c r="M623">
        <v>2</v>
      </c>
      <c r="N623" t="s">
        <v>40</v>
      </c>
      <c r="O623" t="s">
        <v>41</v>
      </c>
      <c r="P623">
        <v>4</v>
      </c>
      <c r="Q623" t="s">
        <v>42</v>
      </c>
      <c r="R623" t="s">
        <v>58</v>
      </c>
      <c r="S623">
        <v>1</v>
      </c>
      <c r="T623" t="s">
        <v>44</v>
      </c>
      <c r="U623" t="s">
        <v>44</v>
      </c>
      <c r="V623">
        <v>14</v>
      </c>
      <c r="W623" t="s">
        <v>45</v>
      </c>
      <c r="X623">
        <v>18</v>
      </c>
      <c r="Y623">
        <v>2</v>
      </c>
      <c r="Z623" t="s">
        <v>46</v>
      </c>
      <c r="AA623">
        <v>18</v>
      </c>
      <c r="AB623" t="s">
        <v>74</v>
      </c>
      <c r="AC623">
        <v>14</v>
      </c>
      <c r="AD623" t="s">
        <v>74</v>
      </c>
      <c r="AE623">
        <v>4</v>
      </c>
      <c r="AF623" t="s">
        <v>71</v>
      </c>
    </row>
    <row r="624" spans="1:32" x14ac:dyDescent="0.25">
      <c r="A624">
        <v>32</v>
      </c>
      <c r="B624" t="s">
        <v>32</v>
      </c>
      <c r="C624" t="s">
        <v>50</v>
      </c>
      <c r="D624" t="s">
        <v>34</v>
      </c>
      <c r="E624" t="s">
        <v>35</v>
      </c>
      <c r="F624">
        <v>13</v>
      </c>
      <c r="G624" t="s">
        <v>53</v>
      </c>
      <c r="H624">
        <v>2</v>
      </c>
      <c r="I624" t="s">
        <v>37</v>
      </c>
      <c r="J624" t="s">
        <v>54</v>
      </c>
      <c r="K624">
        <v>3</v>
      </c>
      <c r="L624" t="s">
        <v>39</v>
      </c>
      <c r="M624">
        <v>2</v>
      </c>
      <c r="N624" t="s">
        <v>40</v>
      </c>
      <c r="O624" t="s">
        <v>41</v>
      </c>
      <c r="P624">
        <v>4</v>
      </c>
      <c r="Q624" t="s">
        <v>42</v>
      </c>
      <c r="R624" t="s">
        <v>67</v>
      </c>
      <c r="S624">
        <v>2</v>
      </c>
      <c r="T624" t="s">
        <v>44</v>
      </c>
      <c r="U624" t="s">
        <v>59</v>
      </c>
      <c r="V624">
        <v>11</v>
      </c>
      <c r="W624" t="s">
        <v>45</v>
      </c>
      <c r="X624">
        <v>8</v>
      </c>
      <c r="Y624">
        <v>2</v>
      </c>
      <c r="Z624" t="s">
        <v>46</v>
      </c>
      <c r="AA624">
        <v>5</v>
      </c>
      <c r="AB624" t="s">
        <v>47</v>
      </c>
      <c r="AC624">
        <v>2</v>
      </c>
      <c r="AD624" t="s">
        <v>48</v>
      </c>
      <c r="AE624">
        <v>0</v>
      </c>
      <c r="AF624" t="s">
        <v>49</v>
      </c>
    </row>
    <row r="625" spans="1:32" x14ac:dyDescent="0.25">
      <c r="A625">
        <v>30</v>
      </c>
      <c r="B625" t="s">
        <v>32</v>
      </c>
      <c r="C625" t="s">
        <v>50</v>
      </c>
      <c r="D625" t="s">
        <v>51</v>
      </c>
      <c r="E625" t="s">
        <v>52</v>
      </c>
      <c r="F625">
        <v>5</v>
      </c>
      <c r="G625" t="s">
        <v>36</v>
      </c>
      <c r="H625">
        <v>2</v>
      </c>
      <c r="I625" t="s">
        <v>37</v>
      </c>
      <c r="J625" t="s">
        <v>54</v>
      </c>
      <c r="K625">
        <v>2</v>
      </c>
      <c r="L625" t="s">
        <v>55</v>
      </c>
      <c r="M625">
        <v>1</v>
      </c>
      <c r="N625" t="s">
        <v>40</v>
      </c>
      <c r="O625" t="s">
        <v>56</v>
      </c>
      <c r="P625">
        <v>4</v>
      </c>
      <c r="Q625" t="s">
        <v>42</v>
      </c>
      <c r="R625" t="s">
        <v>67</v>
      </c>
      <c r="S625">
        <v>9</v>
      </c>
      <c r="T625" t="s">
        <v>44</v>
      </c>
      <c r="U625" t="s">
        <v>59</v>
      </c>
      <c r="V625">
        <v>12</v>
      </c>
      <c r="W625" t="s">
        <v>45</v>
      </c>
      <c r="X625">
        <v>10</v>
      </c>
      <c r="Y625">
        <v>2</v>
      </c>
      <c r="Z625" t="s">
        <v>46</v>
      </c>
      <c r="AA625">
        <v>5</v>
      </c>
      <c r="AB625" t="s">
        <v>47</v>
      </c>
      <c r="AC625">
        <v>4</v>
      </c>
      <c r="AD625" t="s">
        <v>48</v>
      </c>
      <c r="AE625">
        <v>0</v>
      </c>
      <c r="AF625" t="s">
        <v>49</v>
      </c>
    </row>
    <row r="626" spans="1:32" x14ac:dyDescent="0.25">
      <c r="A626">
        <v>53</v>
      </c>
      <c r="B626" t="s">
        <v>64</v>
      </c>
      <c r="C626" t="s">
        <v>50</v>
      </c>
      <c r="D626" t="s">
        <v>34</v>
      </c>
      <c r="E626" t="s">
        <v>35</v>
      </c>
      <c r="F626">
        <v>7</v>
      </c>
      <c r="G626" t="s">
        <v>53</v>
      </c>
      <c r="H626">
        <v>1</v>
      </c>
      <c r="I626" t="s">
        <v>37</v>
      </c>
      <c r="J626" t="s">
        <v>38</v>
      </c>
      <c r="K626">
        <v>2</v>
      </c>
      <c r="L626" t="s">
        <v>55</v>
      </c>
      <c r="M626">
        <v>3</v>
      </c>
      <c r="N626" t="s">
        <v>68</v>
      </c>
      <c r="O626" t="s">
        <v>41</v>
      </c>
      <c r="P626">
        <v>4</v>
      </c>
      <c r="Q626" t="s">
        <v>42</v>
      </c>
      <c r="R626" t="s">
        <v>58</v>
      </c>
      <c r="S626">
        <v>7</v>
      </c>
      <c r="T626" t="s">
        <v>44</v>
      </c>
      <c r="U626" t="s">
        <v>44</v>
      </c>
      <c r="V626">
        <v>18</v>
      </c>
      <c r="W626" t="s">
        <v>45</v>
      </c>
      <c r="X626">
        <v>35</v>
      </c>
      <c r="Y626">
        <v>3</v>
      </c>
      <c r="Z626" t="s">
        <v>61</v>
      </c>
      <c r="AA626">
        <v>5</v>
      </c>
      <c r="AB626" t="s">
        <v>47</v>
      </c>
      <c r="AC626">
        <v>2</v>
      </c>
      <c r="AD626" t="s">
        <v>48</v>
      </c>
      <c r="AE626">
        <v>0</v>
      </c>
      <c r="AF626" t="s">
        <v>49</v>
      </c>
    </row>
    <row r="627" spans="1:32" x14ac:dyDescent="0.25">
      <c r="A627">
        <v>45</v>
      </c>
      <c r="B627" t="s">
        <v>32</v>
      </c>
      <c r="C627" t="s">
        <v>50</v>
      </c>
      <c r="D627" t="s">
        <v>34</v>
      </c>
      <c r="E627" t="s">
        <v>35</v>
      </c>
      <c r="F627">
        <v>9</v>
      </c>
      <c r="G627" t="s">
        <v>53</v>
      </c>
      <c r="H627">
        <v>4</v>
      </c>
      <c r="I627" t="s">
        <v>42</v>
      </c>
      <c r="J627" t="s">
        <v>54</v>
      </c>
      <c r="K627">
        <v>3</v>
      </c>
      <c r="L627" t="s">
        <v>39</v>
      </c>
      <c r="M627">
        <v>3</v>
      </c>
      <c r="N627" t="s">
        <v>68</v>
      </c>
      <c r="O627" t="s">
        <v>41</v>
      </c>
      <c r="P627">
        <v>1</v>
      </c>
      <c r="Q627" t="s">
        <v>57</v>
      </c>
      <c r="R627" t="s">
        <v>67</v>
      </c>
      <c r="S627">
        <v>4</v>
      </c>
      <c r="T627" t="s">
        <v>44</v>
      </c>
      <c r="U627" t="s">
        <v>44</v>
      </c>
      <c r="V627">
        <v>12</v>
      </c>
      <c r="W627" t="s">
        <v>45</v>
      </c>
      <c r="X627">
        <v>18</v>
      </c>
      <c r="Y627">
        <v>3</v>
      </c>
      <c r="Z627" t="s">
        <v>61</v>
      </c>
      <c r="AA627">
        <v>5</v>
      </c>
      <c r="AB627" t="s">
        <v>47</v>
      </c>
      <c r="AC627">
        <v>4</v>
      </c>
      <c r="AD627" t="s">
        <v>48</v>
      </c>
      <c r="AE627">
        <v>0</v>
      </c>
      <c r="AF627" t="s">
        <v>49</v>
      </c>
    </row>
    <row r="628" spans="1:32" x14ac:dyDescent="0.25">
      <c r="A628">
        <v>32</v>
      </c>
      <c r="B628" t="s">
        <v>32</v>
      </c>
      <c r="C628" t="s">
        <v>50</v>
      </c>
      <c r="D628" t="s">
        <v>34</v>
      </c>
      <c r="E628" t="s">
        <v>52</v>
      </c>
      <c r="F628">
        <v>8</v>
      </c>
      <c r="G628" t="s">
        <v>53</v>
      </c>
      <c r="H628">
        <v>3</v>
      </c>
      <c r="I628" t="s">
        <v>42</v>
      </c>
      <c r="J628" t="s">
        <v>38</v>
      </c>
      <c r="K628">
        <v>4</v>
      </c>
      <c r="L628" t="s">
        <v>65</v>
      </c>
      <c r="M628">
        <v>2</v>
      </c>
      <c r="N628" t="s">
        <v>40</v>
      </c>
      <c r="O628" t="s">
        <v>56</v>
      </c>
      <c r="P628">
        <v>3</v>
      </c>
      <c r="Q628" t="s">
        <v>42</v>
      </c>
      <c r="R628" t="s">
        <v>58</v>
      </c>
      <c r="S628">
        <v>5</v>
      </c>
      <c r="T628" t="s">
        <v>44</v>
      </c>
      <c r="U628" t="s">
        <v>59</v>
      </c>
      <c r="V628">
        <v>12</v>
      </c>
      <c r="W628" t="s">
        <v>45</v>
      </c>
      <c r="X628">
        <v>9</v>
      </c>
      <c r="Y628">
        <v>2</v>
      </c>
      <c r="Z628" t="s">
        <v>46</v>
      </c>
      <c r="AA628">
        <v>5</v>
      </c>
      <c r="AB628" t="s">
        <v>47</v>
      </c>
      <c r="AC628">
        <v>3</v>
      </c>
      <c r="AD628" t="s">
        <v>48</v>
      </c>
      <c r="AE628">
        <v>1</v>
      </c>
      <c r="AF628" t="s">
        <v>49</v>
      </c>
    </row>
    <row r="629" spans="1:32" x14ac:dyDescent="0.25">
      <c r="A629">
        <v>52</v>
      </c>
      <c r="B629" t="s">
        <v>64</v>
      </c>
      <c r="C629" t="s">
        <v>50</v>
      </c>
      <c r="D629" t="s">
        <v>51</v>
      </c>
      <c r="E629" t="s">
        <v>52</v>
      </c>
      <c r="F629">
        <v>25</v>
      </c>
      <c r="G629" t="s">
        <v>66</v>
      </c>
      <c r="H629">
        <v>3</v>
      </c>
      <c r="I629" t="s">
        <v>42</v>
      </c>
      <c r="J629" t="s">
        <v>38</v>
      </c>
      <c r="K629">
        <v>2</v>
      </c>
      <c r="L629" t="s">
        <v>55</v>
      </c>
      <c r="M629">
        <v>4</v>
      </c>
      <c r="N629" t="s">
        <v>72</v>
      </c>
      <c r="O629" t="s">
        <v>69</v>
      </c>
      <c r="P629">
        <v>4</v>
      </c>
      <c r="Q629" t="s">
        <v>42</v>
      </c>
      <c r="R629" t="s">
        <v>58</v>
      </c>
      <c r="S629">
        <v>3</v>
      </c>
      <c r="T629" t="s">
        <v>44</v>
      </c>
      <c r="U629" t="s">
        <v>59</v>
      </c>
      <c r="V629">
        <v>22</v>
      </c>
      <c r="W629" t="s">
        <v>60</v>
      </c>
      <c r="X629">
        <v>31</v>
      </c>
      <c r="Y629">
        <v>3</v>
      </c>
      <c r="Z629" t="s">
        <v>61</v>
      </c>
      <c r="AA629">
        <v>9</v>
      </c>
      <c r="AB629" t="s">
        <v>47</v>
      </c>
      <c r="AC629">
        <v>8</v>
      </c>
      <c r="AD629" t="s">
        <v>47</v>
      </c>
      <c r="AE629">
        <v>0</v>
      </c>
      <c r="AF629" t="s">
        <v>49</v>
      </c>
    </row>
    <row r="630" spans="1:32" x14ac:dyDescent="0.25">
      <c r="A630">
        <v>37</v>
      </c>
      <c r="B630" t="s">
        <v>32</v>
      </c>
      <c r="C630" t="s">
        <v>50</v>
      </c>
      <c r="D630" t="s">
        <v>34</v>
      </c>
      <c r="E630" t="s">
        <v>35</v>
      </c>
      <c r="F630">
        <v>16</v>
      </c>
      <c r="G630" t="s">
        <v>66</v>
      </c>
      <c r="H630">
        <v>4</v>
      </c>
      <c r="I630" t="s">
        <v>42</v>
      </c>
      <c r="J630" t="s">
        <v>54</v>
      </c>
      <c r="K630">
        <v>2</v>
      </c>
      <c r="L630" t="s">
        <v>55</v>
      </c>
      <c r="M630">
        <v>2</v>
      </c>
      <c r="N630" t="s">
        <v>40</v>
      </c>
      <c r="O630" t="s">
        <v>41</v>
      </c>
      <c r="P630">
        <v>3</v>
      </c>
      <c r="Q630" t="s">
        <v>42</v>
      </c>
      <c r="R630" t="s">
        <v>67</v>
      </c>
      <c r="S630">
        <v>4</v>
      </c>
      <c r="T630" t="s">
        <v>44</v>
      </c>
      <c r="U630" t="s">
        <v>59</v>
      </c>
      <c r="V630">
        <v>19</v>
      </c>
      <c r="W630" t="s">
        <v>45</v>
      </c>
      <c r="X630">
        <v>9</v>
      </c>
      <c r="Y630">
        <v>3</v>
      </c>
      <c r="Z630" t="s">
        <v>61</v>
      </c>
      <c r="AA630">
        <v>1</v>
      </c>
      <c r="AB630" t="s">
        <v>48</v>
      </c>
      <c r="AC630">
        <v>0</v>
      </c>
      <c r="AD630" t="s">
        <v>48</v>
      </c>
      <c r="AE630">
        <v>0</v>
      </c>
      <c r="AF630" t="s">
        <v>49</v>
      </c>
    </row>
    <row r="631" spans="1:32" x14ac:dyDescent="0.25">
      <c r="A631">
        <v>28</v>
      </c>
      <c r="B631" t="s">
        <v>63</v>
      </c>
      <c r="C631" t="s">
        <v>50</v>
      </c>
      <c r="D631" t="s">
        <v>34</v>
      </c>
      <c r="E631" t="s">
        <v>77</v>
      </c>
      <c r="F631">
        <v>8</v>
      </c>
      <c r="G631" t="s">
        <v>53</v>
      </c>
      <c r="H631">
        <v>2</v>
      </c>
      <c r="I631" t="s">
        <v>37</v>
      </c>
      <c r="J631" t="s">
        <v>54</v>
      </c>
      <c r="K631">
        <v>2</v>
      </c>
      <c r="L631" t="s">
        <v>55</v>
      </c>
      <c r="M631">
        <v>1</v>
      </c>
      <c r="N631" t="s">
        <v>40</v>
      </c>
      <c r="O631" t="s">
        <v>77</v>
      </c>
      <c r="P631">
        <v>4</v>
      </c>
      <c r="Q631" t="s">
        <v>42</v>
      </c>
      <c r="R631" t="s">
        <v>67</v>
      </c>
      <c r="S631">
        <v>1</v>
      </c>
      <c r="T631" t="s">
        <v>44</v>
      </c>
      <c r="U631" t="s">
        <v>59</v>
      </c>
      <c r="V631">
        <v>13</v>
      </c>
      <c r="W631" t="s">
        <v>45</v>
      </c>
      <c r="X631">
        <v>6</v>
      </c>
      <c r="Y631">
        <v>3</v>
      </c>
      <c r="Z631" t="s">
        <v>61</v>
      </c>
      <c r="AA631">
        <v>5</v>
      </c>
      <c r="AB631" t="s">
        <v>47</v>
      </c>
      <c r="AC631">
        <v>1</v>
      </c>
      <c r="AD631" t="s">
        <v>48</v>
      </c>
      <c r="AE631">
        <v>0</v>
      </c>
      <c r="AF631" t="s">
        <v>49</v>
      </c>
    </row>
    <row r="632" spans="1:32" x14ac:dyDescent="0.25">
      <c r="A632">
        <v>22</v>
      </c>
      <c r="B632" t="s">
        <v>63</v>
      </c>
      <c r="C632" t="s">
        <v>50</v>
      </c>
      <c r="D632" t="s">
        <v>34</v>
      </c>
      <c r="E632" t="s">
        <v>52</v>
      </c>
      <c r="F632">
        <v>1</v>
      </c>
      <c r="G632" t="s">
        <v>36</v>
      </c>
      <c r="H632">
        <v>4</v>
      </c>
      <c r="I632" t="s">
        <v>42</v>
      </c>
      <c r="J632" t="s">
        <v>54</v>
      </c>
      <c r="K632">
        <v>2</v>
      </c>
      <c r="L632" t="s">
        <v>55</v>
      </c>
      <c r="M632">
        <v>2</v>
      </c>
      <c r="N632" t="s">
        <v>40</v>
      </c>
      <c r="O632" t="s">
        <v>69</v>
      </c>
      <c r="P632">
        <v>4</v>
      </c>
      <c r="Q632" t="s">
        <v>42</v>
      </c>
      <c r="R632" t="s">
        <v>58</v>
      </c>
      <c r="S632">
        <v>6</v>
      </c>
      <c r="T632" t="s">
        <v>44</v>
      </c>
      <c r="U632" t="s">
        <v>59</v>
      </c>
      <c r="V632">
        <v>22</v>
      </c>
      <c r="W632" t="s">
        <v>60</v>
      </c>
      <c r="X632">
        <v>4</v>
      </c>
      <c r="Y632">
        <v>1</v>
      </c>
      <c r="Z632" t="s">
        <v>46</v>
      </c>
      <c r="AA632">
        <v>2</v>
      </c>
      <c r="AB632" t="s">
        <v>48</v>
      </c>
      <c r="AC632">
        <v>2</v>
      </c>
      <c r="AD632" t="s">
        <v>48</v>
      </c>
      <c r="AE632">
        <v>2</v>
      </c>
      <c r="AF632" t="s">
        <v>49</v>
      </c>
    </row>
    <row r="633" spans="1:32" x14ac:dyDescent="0.25">
      <c r="A633">
        <v>44</v>
      </c>
      <c r="B633" t="s">
        <v>32</v>
      </c>
      <c r="C633" t="s">
        <v>50</v>
      </c>
      <c r="D633" t="s">
        <v>34</v>
      </c>
      <c r="E633" t="s">
        <v>52</v>
      </c>
      <c r="F633">
        <v>8</v>
      </c>
      <c r="G633" t="s">
        <v>53</v>
      </c>
      <c r="H633">
        <v>1</v>
      </c>
      <c r="I633" t="s">
        <v>37</v>
      </c>
      <c r="J633" t="s">
        <v>54</v>
      </c>
      <c r="K633">
        <v>4</v>
      </c>
      <c r="L633" t="s">
        <v>65</v>
      </c>
      <c r="M633">
        <v>1</v>
      </c>
      <c r="N633" t="s">
        <v>40</v>
      </c>
      <c r="O633" t="s">
        <v>62</v>
      </c>
      <c r="P633">
        <v>4</v>
      </c>
      <c r="Q633" t="s">
        <v>42</v>
      </c>
      <c r="R633" t="s">
        <v>58</v>
      </c>
      <c r="S633">
        <v>2</v>
      </c>
      <c r="T633" t="s">
        <v>44</v>
      </c>
      <c r="U633" t="s">
        <v>44</v>
      </c>
      <c r="V633">
        <v>24</v>
      </c>
      <c r="W633" t="s">
        <v>60</v>
      </c>
      <c r="X633">
        <v>10</v>
      </c>
      <c r="Y633">
        <v>2</v>
      </c>
      <c r="Z633" t="s">
        <v>46</v>
      </c>
      <c r="AA633">
        <v>3</v>
      </c>
      <c r="AB633" t="s">
        <v>48</v>
      </c>
      <c r="AC633">
        <v>2</v>
      </c>
      <c r="AD633" t="s">
        <v>48</v>
      </c>
      <c r="AE633">
        <v>0</v>
      </c>
      <c r="AF633" t="s">
        <v>49</v>
      </c>
    </row>
    <row r="634" spans="1:32" x14ac:dyDescent="0.25">
      <c r="A634">
        <v>42</v>
      </c>
      <c r="B634" t="s">
        <v>32</v>
      </c>
      <c r="C634" t="s">
        <v>50</v>
      </c>
      <c r="D634" t="s">
        <v>51</v>
      </c>
      <c r="E634" t="s">
        <v>52</v>
      </c>
      <c r="F634">
        <v>2</v>
      </c>
      <c r="G634" t="s">
        <v>36</v>
      </c>
      <c r="H634">
        <v>2</v>
      </c>
      <c r="I634" t="s">
        <v>37</v>
      </c>
      <c r="J634" t="s">
        <v>54</v>
      </c>
      <c r="K634">
        <v>3</v>
      </c>
      <c r="L634" t="s">
        <v>39</v>
      </c>
      <c r="M634">
        <v>1</v>
      </c>
      <c r="N634" t="s">
        <v>40</v>
      </c>
      <c r="O634" t="s">
        <v>56</v>
      </c>
      <c r="P634">
        <v>4</v>
      </c>
      <c r="Q634" t="s">
        <v>42</v>
      </c>
      <c r="R634" t="s">
        <v>43</v>
      </c>
      <c r="S634">
        <v>5</v>
      </c>
      <c r="T634" t="s">
        <v>44</v>
      </c>
      <c r="U634" t="s">
        <v>44</v>
      </c>
      <c r="V634">
        <v>14</v>
      </c>
      <c r="W634" t="s">
        <v>45</v>
      </c>
      <c r="X634">
        <v>8</v>
      </c>
      <c r="Y634">
        <v>3</v>
      </c>
      <c r="Z634" t="s">
        <v>61</v>
      </c>
      <c r="AA634">
        <v>2</v>
      </c>
      <c r="AB634" t="s">
        <v>48</v>
      </c>
      <c r="AC634">
        <v>1</v>
      </c>
      <c r="AD634" t="s">
        <v>48</v>
      </c>
      <c r="AE634">
        <v>2</v>
      </c>
      <c r="AF634" t="s">
        <v>49</v>
      </c>
    </row>
    <row r="635" spans="1:32" x14ac:dyDescent="0.25">
      <c r="A635">
        <v>36</v>
      </c>
      <c r="B635" t="s">
        <v>32</v>
      </c>
      <c r="C635" t="s">
        <v>50</v>
      </c>
      <c r="D635" t="s">
        <v>34</v>
      </c>
      <c r="E635" t="s">
        <v>77</v>
      </c>
      <c r="F635">
        <v>8</v>
      </c>
      <c r="G635" t="s">
        <v>53</v>
      </c>
      <c r="H635">
        <v>1</v>
      </c>
      <c r="I635" t="s">
        <v>37</v>
      </c>
      <c r="J635" t="s">
        <v>54</v>
      </c>
      <c r="K635">
        <v>2</v>
      </c>
      <c r="L635" t="s">
        <v>55</v>
      </c>
      <c r="M635">
        <v>1</v>
      </c>
      <c r="N635" t="s">
        <v>40</v>
      </c>
      <c r="O635" t="s">
        <v>77</v>
      </c>
      <c r="P635">
        <v>1</v>
      </c>
      <c r="Q635" t="s">
        <v>57</v>
      </c>
      <c r="R635" t="s">
        <v>58</v>
      </c>
      <c r="S635">
        <v>0</v>
      </c>
      <c r="T635" t="s">
        <v>44</v>
      </c>
      <c r="U635" t="s">
        <v>59</v>
      </c>
      <c r="V635">
        <v>21</v>
      </c>
      <c r="W635" t="s">
        <v>60</v>
      </c>
      <c r="X635">
        <v>6</v>
      </c>
      <c r="Y635">
        <v>3</v>
      </c>
      <c r="Z635" t="s">
        <v>61</v>
      </c>
      <c r="AA635">
        <v>5</v>
      </c>
      <c r="AB635" t="s">
        <v>47</v>
      </c>
      <c r="AC635">
        <v>4</v>
      </c>
      <c r="AD635" t="s">
        <v>48</v>
      </c>
      <c r="AE635">
        <v>0</v>
      </c>
      <c r="AF635" t="s">
        <v>49</v>
      </c>
    </row>
    <row r="636" spans="1:32" x14ac:dyDescent="0.25">
      <c r="A636">
        <v>25</v>
      </c>
      <c r="B636" t="s">
        <v>63</v>
      </c>
      <c r="C636" t="s">
        <v>50</v>
      </c>
      <c r="D636" t="s">
        <v>34</v>
      </c>
      <c r="E636" t="s">
        <v>35</v>
      </c>
      <c r="F636">
        <v>3</v>
      </c>
      <c r="G636" t="s">
        <v>36</v>
      </c>
      <c r="H636">
        <v>3</v>
      </c>
      <c r="I636" t="s">
        <v>42</v>
      </c>
      <c r="J636" t="s">
        <v>54</v>
      </c>
      <c r="K636">
        <v>3</v>
      </c>
      <c r="L636" t="s">
        <v>39</v>
      </c>
      <c r="M636">
        <v>2</v>
      </c>
      <c r="N636" t="s">
        <v>40</v>
      </c>
      <c r="O636" t="s">
        <v>41</v>
      </c>
      <c r="P636">
        <v>1</v>
      </c>
      <c r="Q636" t="s">
        <v>57</v>
      </c>
      <c r="R636" t="s">
        <v>58</v>
      </c>
      <c r="S636">
        <v>1</v>
      </c>
      <c r="T636" t="s">
        <v>44</v>
      </c>
      <c r="U636" t="s">
        <v>44</v>
      </c>
      <c r="V636">
        <v>18</v>
      </c>
      <c r="W636" t="s">
        <v>45</v>
      </c>
      <c r="X636">
        <v>5</v>
      </c>
      <c r="Y636">
        <v>3</v>
      </c>
      <c r="Z636" t="s">
        <v>61</v>
      </c>
      <c r="AA636">
        <v>5</v>
      </c>
      <c r="AB636" t="s">
        <v>47</v>
      </c>
      <c r="AC636">
        <v>3</v>
      </c>
      <c r="AD636" t="s">
        <v>48</v>
      </c>
      <c r="AE636">
        <v>0</v>
      </c>
      <c r="AF636" t="s">
        <v>49</v>
      </c>
    </row>
    <row r="637" spans="1:32" x14ac:dyDescent="0.25">
      <c r="A637">
        <v>35</v>
      </c>
      <c r="B637" t="s">
        <v>32</v>
      </c>
      <c r="C637" t="s">
        <v>50</v>
      </c>
      <c r="D637" t="s">
        <v>34</v>
      </c>
      <c r="E637" t="s">
        <v>52</v>
      </c>
      <c r="F637">
        <v>9</v>
      </c>
      <c r="G637" t="s">
        <v>53</v>
      </c>
      <c r="H637">
        <v>4</v>
      </c>
      <c r="I637" t="s">
        <v>42</v>
      </c>
      <c r="J637" t="s">
        <v>38</v>
      </c>
      <c r="K637">
        <v>2</v>
      </c>
      <c r="L637" t="s">
        <v>55</v>
      </c>
      <c r="M637">
        <v>3</v>
      </c>
      <c r="N637" t="s">
        <v>68</v>
      </c>
      <c r="O637" t="s">
        <v>69</v>
      </c>
      <c r="P637">
        <v>3</v>
      </c>
      <c r="Q637" t="s">
        <v>42</v>
      </c>
      <c r="R637" t="s">
        <v>58</v>
      </c>
      <c r="S637">
        <v>1</v>
      </c>
      <c r="T637" t="s">
        <v>44</v>
      </c>
      <c r="U637" t="s">
        <v>44</v>
      </c>
      <c r="V637">
        <v>20</v>
      </c>
      <c r="W637" t="s">
        <v>60</v>
      </c>
      <c r="X637">
        <v>17</v>
      </c>
      <c r="Y637">
        <v>3</v>
      </c>
      <c r="Z637" t="s">
        <v>61</v>
      </c>
      <c r="AA637">
        <v>17</v>
      </c>
      <c r="AB637" t="s">
        <v>74</v>
      </c>
      <c r="AC637">
        <v>14</v>
      </c>
      <c r="AD637" t="s">
        <v>74</v>
      </c>
      <c r="AE637">
        <v>5</v>
      </c>
      <c r="AF637" t="s">
        <v>71</v>
      </c>
    </row>
    <row r="638" spans="1:32" x14ac:dyDescent="0.25">
      <c r="A638">
        <v>35</v>
      </c>
      <c r="B638" t="s">
        <v>32</v>
      </c>
      <c r="C638" t="s">
        <v>33</v>
      </c>
      <c r="D638" t="s">
        <v>51</v>
      </c>
      <c r="E638" t="s">
        <v>52</v>
      </c>
      <c r="F638">
        <v>25</v>
      </c>
      <c r="G638" t="s">
        <v>66</v>
      </c>
      <c r="H638">
        <v>4</v>
      </c>
      <c r="I638" t="s">
        <v>42</v>
      </c>
      <c r="J638" t="s">
        <v>38</v>
      </c>
      <c r="K638">
        <v>3</v>
      </c>
      <c r="L638" t="s">
        <v>39</v>
      </c>
      <c r="M638">
        <v>1</v>
      </c>
      <c r="N638" t="s">
        <v>40</v>
      </c>
      <c r="O638" t="s">
        <v>56</v>
      </c>
      <c r="P638">
        <v>2</v>
      </c>
      <c r="Q638" t="s">
        <v>57</v>
      </c>
      <c r="R638" t="s">
        <v>67</v>
      </c>
      <c r="S638">
        <v>1</v>
      </c>
      <c r="T638" t="s">
        <v>44</v>
      </c>
      <c r="U638" t="s">
        <v>44</v>
      </c>
      <c r="V638">
        <v>19</v>
      </c>
      <c r="W638" t="s">
        <v>45</v>
      </c>
      <c r="X638">
        <v>10</v>
      </c>
      <c r="Y638">
        <v>2</v>
      </c>
      <c r="Z638" t="s">
        <v>46</v>
      </c>
      <c r="AA638">
        <v>10</v>
      </c>
      <c r="AB638" t="s">
        <v>47</v>
      </c>
      <c r="AC638">
        <v>2</v>
      </c>
      <c r="AD638" t="s">
        <v>48</v>
      </c>
      <c r="AE638">
        <v>7</v>
      </c>
      <c r="AF638" t="s">
        <v>71</v>
      </c>
    </row>
    <row r="639" spans="1:32" x14ac:dyDescent="0.25">
      <c r="A639">
        <v>32</v>
      </c>
      <c r="B639" t="s">
        <v>32</v>
      </c>
      <c r="C639" t="s">
        <v>50</v>
      </c>
      <c r="D639" t="s">
        <v>34</v>
      </c>
      <c r="E639" t="s">
        <v>52</v>
      </c>
      <c r="F639">
        <v>1</v>
      </c>
      <c r="G639" t="s">
        <v>36</v>
      </c>
      <c r="H639">
        <v>4</v>
      </c>
      <c r="I639" t="s">
        <v>42</v>
      </c>
      <c r="J639" t="s">
        <v>54</v>
      </c>
      <c r="K639">
        <v>3</v>
      </c>
      <c r="L639" t="s">
        <v>39</v>
      </c>
      <c r="M639">
        <v>1</v>
      </c>
      <c r="N639" t="s">
        <v>40</v>
      </c>
      <c r="O639" t="s">
        <v>62</v>
      </c>
      <c r="P639">
        <v>4</v>
      </c>
      <c r="Q639" t="s">
        <v>42</v>
      </c>
      <c r="R639" t="s">
        <v>67</v>
      </c>
      <c r="S639">
        <v>0</v>
      </c>
      <c r="T639" t="s">
        <v>44</v>
      </c>
      <c r="U639" t="s">
        <v>59</v>
      </c>
      <c r="V639">
        <v>12</v>
      </c>
      <c r="W639" t="s">
        <v>45</v>
      </c>
      <c r="X639">
        <v>4</v>
      </c>
      <c r="Y639">
        <v>3</v>
      </c>
      <c r="Z639" t="s">
        <v>61</v>
      </c>
      <c r="AA639">
        <v>3</v>
      </c>
      <c r="AB639" t="s">
        <v>48</v>
      </c>
      <c r="AC639">
        <v>0</v>
      </c>
      <c r="AD639" t="s">
        <v>48</v>
      </c>
      <c r="AE639">
        <v>0</v>
      </c>
      <c r="AF639" t="s">
        <v>49</v>
      </c>
    </row>
    <row r="640" spans="1:32" x14ac:dyDescent="0.25">
      <c r="A640">
        <v>25</v>
      </c>
      <c r="B640" t="s">
        <v>63</v>
      </c>
      <c r="C640" t="s">
        <v>50</v>
      </c>
      <c r="D640" t="s">
        <v>34</v>
      </c>
      <c r="E640" t="s">
        <v>35</v>
      </c>
      <c r="F640">
        <v>4</v>
      </c>
      <c r="G640" t="s">
        <v>36</v>
      </c>
      <c r="H640">
        <v>3</v>
      </c>
      <c r="I640" t="s">
        <v>42</v>
      </c>
      <c r="J640" t="s">
        <v>54</v>
      </c>
      <c r="K640">
        <v>2</v>
      </c>
      <c r="L640" t="s">
        <v>55</v>
      </c>
      <c r="M640">
        <v>2</v>
      </c>
      <c r="N640" t="s">
        <v>40</v>
      </c>
      <c r="O640" t="s">
        <v>41</v>
      </c>
      <c r="P640">
        <v>1</v>
      </c>
      <c r="Q640" t="s">
        <v>57</v>
      </c>
      <c r="R640" t="s">
        <v>58</v>
      </c>
      <c r="S640">
        <v>1</v>
      </c>
      <c r="T640" t="s">
        <v>44</v>
      </c>
      <c r="U640" t="s">
        <v>59</v>
      </c>
      <c r="V640">
        <v>12</v>
      </c>
      <c r="W640" t="s">
        <v>45</v>
      </c>
      <c r="X640">
        <v>5</v>
      </c>
      <c r="Y640">
        <v>4</v>
      </c>
      <c r="Z640" t="s">
        <v>61</v>
      </c>
      <c r="AA640">
        <v>5</v>
      </c>
      <c r="AB640" t="s">
        <v>47</v>
      </c>
      <c r="AC640">
        <v>2</v>
      </c>
      <c r="AD640" t="s">
        <v>48</v>
      </c>
      <c r="AE640">
        <v>0</v>
      </c>
      <c r="AF640" t="s">
        <v>49</v>
      </c>
    </row>
    <row r="641" spans="1:32" x14ac:dyDescent="0.25">
      <c r="A641">
        <v>49</v>
      </c>
      <c r="B641" t="s">
        <v>32</v>
      </c>
      <c r="C641" t="s">
        <v>50</v>
      </c>
      <c r="D641" t="s">
        <v>34</v>
      </c>
      <c r="E641" t="s">
        <v>52</v>
      </c>
      <c r="F641">
        <v>1</v>
      </c>
      <c r="G641" t="s">
        <v>36</v>
      </c>
      <c r="H641">
        <v>3</v>
      </c>
      <c r="I641" t="s">
        <v>42</v>
      </c>
      <c r="J641" t="s">
        <v>38</v>
      </c>
      <c r="K641">
        <v>3</v>
      </c>
      <c r="L641" t="s">
        <v>39</v>
      </c>
      <c r="M641">
        <v>1</v>
      </c>
      <c r="N641" t="s">
        <v>40</v>
      </c>
      <c r="O641" t="s">
        <v>56</v>
      </c>
      <c r="P641">
        <v>1</v>
      </c>
      <c r="Q641" t="s">
        <v>57</v>
      </c>
      <c r="R641" t="s">
        <v>58</v>
      </c>
      <c r="S641">
        <v>2</v>
      </c>
      <c r="T641" t="s">
        <v>44</v>
      </c>
      <c r="U641" t="s">
        <v>59</v>
      </c>
      <c r="V641">
        <v>16</v>
      </c>
      <c r="W641" t="s">
        <v>45</v>
      </c>
      <c r="X641">
        <v>7</v>
      </c>
      <c r="Y641">
        <v>3</v>
      </c>
      <c r="Z641" t="s">
        <v>61</v>
      </c>
      <c r="AA641">
        <v>4</v>
      </c>
      <c r="AB641" t="s">
        <v>48</v>
      </c>
      <c r="AC641">
        <v>2</v>
      </c>
      <c r="AD641" t="s">
        <v>48</v>
      </c>
      <c r="AE641">
        <v>0</v>
      </c>
      <c r="AF641" t="s">
        <v>49</v>
      </c>
    </row>
    <row r="642" spans="1:32" x14ac:dyDescent="0.25">
      <c r="A642">
        <v>24</v>
      </c>
      <c r="B642" t="s">
        <v>63</v>
      </c>
      <c r="C642" t="s">
        <v>50</v>
      </c>
      <c r="D642" t="s">
        <v>34</v>
      </c>
      <c r="E642" t="s">
        <v>52</v>
      </c>
      <c r="F642">
        <v>4</v>
      </c>
      <c r="G642" t="s">
        <v>36</v>
      </c>
      <c r="H642">
        <v>1</v>
      </c>
      <c r="I642" t="s">
        <v>37</v>
      </c>
      <c r="J642" t="s">
        <v>54</v>
      </c>
      <c r="K642">
        <v>2</v>
      </c>
      <c r="L642" t="s">
        <v>55</v>
      </c>
      <c r="M642">
        <v>1</v>
      </c>
      <c r="N642" t="s">
        <v>40</v>
      </c>
      <c r="O642" t="s">
        <v>62</v>
      </c>
      <c r="P642">
        <v>4</v>
      </c>
      <c r="Q642" t="s">
        <v>42</v>
      </c>
      <c r="R642" t="s">
        <v>58</v>
      </c>
      <c r="S642">
        <v>0</v>
      </c>
      <c r="T642" t="s">
        <v>44</v>
      </c>
      <c r="U642" t="s">
        <v>59</v>
      </c>
      <c r="V642">
        <v>17</v>
      </c>
      <c r="W642" t="s">
        <v>45</v>
      </c>
      <c r="X642">
        <v>6</v>
      </c>
      <c r="Y642">
        <v>2</v>
      </c>
      <c r="Z642" t="s">
        <v>46</v>
      </c>
      <c r="AA642">
        <v>5</v>
      </c>
      <c r="AB642" t="s">
        <v>47</v>
      </c>
      <c r="AC642">
        <v>2</v>
      </c>
      <c r="AD642" t="s">
        <v>48</v>
      </c>
      <c r="AE642">
        <v>3</v>
      </c>
      <c r="AF642" t="s">
        <v>49</v>
      </c>
    </row>
    <row r="643" spans="1:32" x14ac:dyDescent="0.25">
      <c r="A643">
        <v>32</v>
      </c>
      <c r="B643" t="s">
        <v>32</v>
      </c>
      <c r="C643" t="s">
        <v>50</v>
      </c>
      <c r="D643" t="s">
        <v>51</v>
      </c>
      <c r="E643" t="s">
        <v>35</v>
      </c>
      <c r="F643">
        <v>5</v>
      </c>
      <c r="G643" t="s">
        <v>36</v>
      </c>
      <c r="H643">
        <v>2</v>
      </c>
      <c r="I643" t="s">
        <v>37</v>
      </c>
      <c r="J643" t="s">
        <v>54</v>
      </c>
      <c r="K643">
        <v>3</v>
      </c>
      <c r="L643" t="s">
        <v>39</v>
      </c>
      <c r="M643">
        <v>2</v>
      </c>
      <c r="N643" t="s">
        <v>40</v>
      </c>
      <c r="O643" t="s">
        <v>41</v>
      </c>
      <c r="P643">
        <v>2</v>
      </c>
      <c r="Q643" t="s">
        <v>57</v>
      </c>
      <c r="R643" t="s">
        <v>58</v>
      </c>
      <c r="S643">
        <v>1</v>
      </c>
      <c r="T643" t="s">
        <v>44</v>
      </c>
      <c r="U643" t="s">
        <v>59</v>
      </c>
      <c r="V643">
        <v>14</v>
      </c>
      <c r="W643" t="s">
        <v>45</v>
      </c>
      <c r="X643">
        <v>10</v>
      </c>
      <c r="Y643">
        <v>3</v>
      </c>
      <c r="Z643" t="s">
        <v>61</v>
      </c>
      <c r="AA643">
        <v>10</v>
      </c>
      <c r="AB643" t="s">
        <v>47</v>
      </c>
      <c r="AC643">
        <v>8</v>
      </c>
      <c r="AD643" t="s">
        <v>47</v>
      </c>
      <c r="AE643">
        <v>5</v>
      </c>
      <c r="AF643" t="s">
        <v>71</v>
      </c>
    </row>
    <row r="644" spans="1:32" x14ac:dyDescent="0.25">
      <c r="A644">
        <v>38</v>
      </c>
      <c r="B644" t="s">
        <v>32</v>
      </c>
      <c r="C644" t="s">
        <v>50</v>
      </c>
      <c r="D644" t="s">
        <v>34</v>
      </c>
      <c r="E644" t="s">
        <v>35</v>
      </c>
      <c r="F644">
        <v>9</v>
      </c>
      <c r="G644" t="s">
        <v>53</v>
      </c>
      <c r="H644">
        <v>2</v>
      </c>
      <c r="I644" t="s">
        <v>37</v>
      </c>
      <c r="J644" t="s">
        <v>54</v>
      </c>
      <c r="K644">
        <v>2</v>
      </c>
      <c r="L644" t="s">
        <v>55</v>
      </c>
      <c r="M644">
        <v>1</v>
      </c>
      <c r="N644" t="s">
        <v>40</v>
      </c>
      <c r="O644" t="s">
        <v>75</v>
      </c>
      <c r="P644">
        <v>2</v>
      </c>
      <c r="Q644" t="s">
        <v>57</v>
      </c>
      <c r="R644" t="s">
        <v>58</v>
      </c>
      <c r="S644">
        <v>0</v>
      </c>
      <c r="T644" t="s">
        <v>44</v>
      </c>
      <c r="U644" t="s">
        <v>59</v>
      </c>
      <c r="V644">
        <v>19</v>
      </c>
      <c r="W644" t="s">
        <v>45</v>
      </c>
      <c r="X644">
        <v>3</v>
      </c>
      <c r="Y644">
        <v>3</v>
      </c>
      <c r="Z644" t="s">
        <v>61</v>
      </c>
      <c r="AA644">
        <v>2</v>
      </c>
      <c r="AB644" t="s">
        <v>48</v>
      </c>
      <c r="AC644">
        <v>2</v>
      </c>
      <c r="AD644" t="s">
        <v>48</v>
      </c>
      <c r="AE644">
        <v>1</v>
      </c>
      <c r="AF644" t="s">
        <v>49</v>
      </c>
    </row>
    <row r="645" spans="1:32" x14ac:dyDescent="0.25">
      <c r="A645">
        <v>42</v>
      </c>
      <c r="B645" t="s">
        <v>32</v>
      </c>
      <c r="C645" t="s">
        <v>50</v>
      </c>
      <c r="D645" t="s">
        <v>34</v>
      </c>
      <c r="E645" t="s">
        <v>52</v>
      </c>
      <c r="F645">
        <v>3</v>
      </c>
      <c r="G645" t="s">
        <v>36</v>
      </c>
      <c r="H645">
        <v>3</v>
      </c>
      <c r="I645" t="s">
        <v>42</v>
      </c>
      <c r="J645" t="s">
        <v>38</v>
      </c>
      <c r="K645">
        <v>4</v>
      </c>
      <c r="L645" t="s">
        <v>65</v>
      </c>
      <c r="M645">
        <v>2</v>
      </c>
      <c r="N645" t="s">
        <v>40</v>
      </c>
      <c r="O645" t="s">
        <v>62</v>
      </c>
      <c r="P645">
        <v>4</v>
      </c>
      <c r="Q645" t="s">
        <v>42</v>
      </c>
      <c r="R645" t="s">
        <v>58</v>
      </c>
      <c r="S645">
        <v>2</v>
      </c>
      <c r="T645" t="s">
        <v>44</v>
      </c>
      <c r="U645" t="s">
        <v>44</v>
      </c>
      <c r="V645">
        <v>13</v>
      </c>
      <c r="W645" t="s">
        <v>45</v>
      </c>
      <c r="X645">
        <v>17</v>
      </c>
      <c r="Y645">
        <v>2</v>
      </c>
      <c r="Z645" t="s">
        <v>46</v>
      </c>
      <c r="AA645">
        <v>5</v>
      </c>
      <c r="AB645" t="s">
        <v>47</v>
      </c>
      <c r="AC645">
        <v>3</v>
      </c>
      <c r="AD645" t="s">
        <v>48</v>
      </c>
      <c r="AE645">
        <v>1</v>
      </c>
      <c r="AF645" t="s">
        <v>49</v>
      </c>
    </row>
    <row r="646" spans="1:32" x14ac:dyDescent="0.25">
      <c r="A646">
        <v>31</v>
      </c>
      <c r="B646" t="s">
        <v>32</v>
      </c>
      <c r="C646" t="s">
        <v>50</v>
      </c>
      <c r="D646" t="s">
        <v>34</v>
      </c>
      <c r="E646" t="s">
        <v>52</v>
      </c>
      <c r="F646">
        <v>11</v>
      </c>
      <c r="G646" t="s">
        <v>53</v>
      </c>
      <c r="H646">
        <v>4</v>
      </c>
      <c r="I646" t="s">
        <v>42</v>
      </c>
      <c r="J646" t="s">
        <v>54</v>
      </c>
      <c r="K646">
        <v>3</v>
      </c>
      <c r="L646" t="s">
        <v>39</v>
      </c>
      <c r="M646">
        <v>1</v>
      </c>
      <c r="N646" t="s">
        <v>40</v>
      </c>
      <c r="O646" t="s">
        <v>56</v>
      </c>
      <c r="P646">
        <v>4</v>
      </c>
      <c r="Q646" t="s">
        <v>42</v>
      </c>
      <c r="R646" t="s">
        <v>58</v>
      </c>
      <c r="S646">
        <v>3</v>
      </c>
      <c r="T646" t="s">
        <v>44</v>
      </c>
      <c r="U646" t="s">
        <v>44</v>
      </c>
      <c r="V646">
        <v>19</v>
      </c>
      <c r="W646" t="s">
        <v>45</v>
      </c>
      <c r="X646">
        <v>8</v>
      </c>
      <c r="Y646">
        <v>3</v>
      </c>
      <c r="Z646" t="s">
        <v>61</v>
      </c>
      <c r="AA646">
        <v>6</v>
      </c>
      <c r="AB646" t="s">
        <v>47</v>
      </c>
      <c r="AC646">
        <v>4</v>
      </c>
      <c r="AD646" t="s">
        <v>48</v>
      </c>
      <c r="AE646">
        <v>0</v>
      </c>
      <c r="AF646" t="s">
        <v>49</v>
      </c>
    </row>
    <row r="647" spans="1:32" x14ac:dyDescent="0.25">
      <c r="A647">
        <v>29</v>
      </c>
      <c r="B647" t="s">
        <v>63</v>
      </c>
      <c r="C647" t="s">
        <v>33</v>
      </c>
      <c r="D647" t="s">
        <v>34</v>
      </c>
      <c r="E647" t="s">
        <v>35</v>
      </c>
      <c r="F647">
        <v>1</v>
      </c>
      <c r="G647" t="s">
        <v>36</v>
      </c>
      <c r="H647">
        <v>2</v>
      </c>
      <c r="I647" t="s">
        <v>37</v>
      </c>
      <c r="J647" t="s">
        <v>38</v>
      </c>
      <c r="K647">
        <v>2</v>
      </c>
      <c r="L647" t="s">
        <v>55</v>
      </c>
      <c r="M647">
        <v>1</v>
      </c>
      <c r="N647" t="s">
        <v>40</v>
      </c>
      <c r="O647" t="s">
        <v>75</v>
      </c>
      <c r="P647">
        <v>3</v>
      </c>
      <c r="Q647" t="s">
        <v>42</v>
      </c>
      <c r="R647" t="s">
        <v>67</v>
      </c>
      <c r="S647">
        <v>6</v>
      </c>
      <c r="T647" t="s">
        <v>44</v>
      </c>
      <c r="U647" t="s">
        <v>44</v>
      </c>
      <c r="V647">
        <v>19</v>
      </c>
      <c r="W647" t="s">
        <v>45</v>
      </c>
      <c r="X647">
        <v>5</v>
      </c>
      <c r="Y647">
        <v>3</v>
      </c>
      <c r="Z647" t="s">
        <v>61</v>
      </c>
      <c r="AA647">
        <v>3</v>
      </c>
      <c r="AB647" t="s">
        <v>48</v>
      </c>
      <c r="AC647">
        <v>2</v>
      </c>
      <c r="AD647" t="s">
        <v>48</v>
      </c>
      <c r="AE647">
        <v>0</v>
      </c>
      <c r="AF647" t="s">
        <v>49</v>
      </c>
    </row>
    <row r="648" spans="1:32" x14ac:dyDescent="0.25">
      <c r="A648">
        <v>53</v>
      </c>
      <c r="B648" t="s">
        <v>64</v>
      </c>
      <c r="C648" t="s">
        <v>50</v>
      </c>
      <c r="D648" t="s">
        <v>34</v>
      </c>
      <c r="E648" t="s">
        <v>35</v>
      </c>
      <c r="F648">
        <v>8</v>
      </c>
      <c r="G648" t="s">
        <v>53</v>
      </c>
      <c r="H648">
        <v>1</v>
      </c>
      <c r="I648" t="s">
        <v>37</v>
      </c>
      <c r="J648" t="s">
        <v>54</v>
      </c>
      <c r="K648">
        <v>3</v>
      </c>
      <c r="L648" t="s">
        <v>39</v>
      </c>
      <c r="M648">
        <v>4</v>
      </c>
      <c r="N648" t="s">
        <v>72</v>
      </c>
      <c r="O648" t="s">
        <v>41</v>
      </c>
      <c r="P648">
        <v>4</v>
      </c>
      <c r="Q648" t="s">
        <v>42</v>
      </c>
      <c r="R648" t="s">
        <v>58</v>
      </c>
      <c r="S648">
        <v>5</v>
      </c>
      <c r="T648" t="s">
        <v>44</v>
      </c>
      <c r="U648" t="s">
        <v>59</v>
      </c>
      <c r="V648">
        <v>14</v>
      </c>
      <c r="W648" t="s">
        <v>45</v>
      </c>
      <c r="X648">
        <v>28</v>
      </c>
      <c r="Y648">
        <v>3</v>
      </c>
      <c r="Z648" t="s">
        <v>61</v>
      </c>
      <c r="AA648">
        <v>2</v>
      </c>
      <c r="AB648" t="s">
        <v>48</v>
      </c>
      <c r="AC648">
        <v>0</v>
      </c>
      <c r="AD648" t="s">
        <v>48</v>
      </c>
      <c r="AE648">
        <v>2</v>
      </c>
      <c r="AF648" t="s">
        <v>49</v>
      </c>
    </row>
    <row r="649" spans="1:32" x14ac:dyDescent="0.25">
      <c r="A649">
        <v>35</v>
      </c>
      <c r="B649" t="s">
        <v>32</v>
      </c>
      <c r="C649" t="s">
        <v>50</v>
      </c>
      <c r="D649" t="s">
        <v>34</v>
      </c>
      <c r="E649" t="s">
        <v>52</v>
      </c>
      <c r="F649">
        <v>25</v>
      </c>
      <c r="G649" t="s">
        <v>66</v>
      </c>
      <c r="H649">
        <v>4</v>
      </c>
      <c r="I649" t="s">
        <v>42</v>
      </c>
      <c r="J649" t="s">
        <v>54</v>
      </c>
      <c r="K649">
        <v>2</v>
      </c>
      <c r="L649" t="s">
        <v>55</v>
      </c>
      <c r="M649">
        <v>3</v>
      </c>
      <c r="N649" t="s">
        <v>68</v>
      </c>
      <c r="O649" t="s">
        <v>69</v>
      </c>
      <c r="P649">
        <v>2</v>
      </c>
      <c r="Q649" t="s">
        <v>57</v>
      </c>
      <c r="R649" t="s">
        <v>58</v>
      </c>
      <c r="S649">
        <v>3</v>
      </c>
      <c r="T649" t="s">
        <v>44</v>
      </c>
      <c r="U649" t="s">
        <v>59</v>
      </c>
      <c r="V649">
        <v>16</v>
      </c>
      <c r="W649" t="s">
        <v>45</v>
      </c>
      <c r="X649">
        <v>16</v>
      </c>
      <c r="Y649">
        <v>3</v>
      </c>
      <c r="Z649" t="s">
        <v>61</v>
      </c>
      <c r="AA649">
        <v>13</v>
      </c>
      <c r="AB649" t="s">
        <v>74</v>
      </c>
      <c r="AC649">
        <v>10</v>
      </c>
      <c r="AD649" t="s">
        <v>47</v>
      </c>
      <c r="AE649">
        <v>4</v>
      </c>
      <c r="AF649" t="s">
        <v>71</v>
      </c>
    </row>
    <row r="650" spans="1:32" x14ac:dyDescent="0.25">
      <c r="A650">
        <v>37</v>
      </c>
      <c r="B650" t="s">
        <v>32</v>
      </c>
      <c r="C650" t="s">
        <v>50</v>
      </c>
      <c r="D650" t="s">
        <v>51</v>
      </c>
      <c r="E650" t="s">
        <v>35</v>
      </c>
      <c r="F650">
        <v>21</v>
      </c>
      <c r="G650" t="s">
        <v>66</v>
      </c>
      <c r="H650">
        <v>3</v>
      </c>
      <c r="I650" t="s">
        <v>42</v>
      </c>
      <c r="J650" t="s">
        <v>38</v>
      </c>
      <c r="K650">
        <v>3</v>
      </c>
      <c r="L650" t="s">
        <v>39</v>
      </c>
      <c r="M650">
        <v>1</v>
      </c>
      <c r="N650" t="s">
        <v>40</v>
      </c>
      <c r="O650" t="s">
        <v>75</v>
      </c>
      <c r="P650">
        <v>4</v>
      </c>
      <c r="Q650" t="s">
        <v>42</v>
      </c>
      <c r="R650" t="s">
        <v>58</v>
      </c>
      <c r="S650">
        <v>5</v>
      </c>
      <c r="T650" t="s">
        <v>44</v>
      </c>
      <c r="U650" t="s">
        <v>59</v>
      </c>
      <c r="V650">
        <v>15</v>
      </c>
      <c r="W650" t="s">
        <v>45</v>
      </c>
      <c r="X650">
        <v>10</v>
      </c>
      <c r="Y650">
        <v>3</v>
      </c>
      <c r="Z650" t="s">
        <v>61</v>
      </c>
      <c r="AA650">
        <v>5</v>
      </c>
      <c r="AB650" t="s">
        <v>47</v>
      </c>
      <c r="AC650">
        <v>4</v>
      </c>
      <c r="AD650" t="s">
        <v>48</v>
      </c>
      <c r="AE650">
        <v>0</v>
      </c>
      <c r="AF650" t="s">
        <v>49</v>
      </c>
    </row>
    <row r="651" spans="1:32" x14ac:dyDescent="0.25">
      <c r="A651">
        <v>53</v>
      </c>
      <c r="B651" t="s">
        <v>64</v>
      </c>
      <c r="C651" t="s">
        <v>50</v>
      </c>
      <c r="D651" t="s">
        <v>34</v>
      </c>
      <c r="E651" t="s">
        <v>52</v>
      </c>
      <c r="F651">
        <v>23</v>
      </c>
      <c r="G651" t="s">
        <v>66</v>
      </c>
      <c r="H651">
        <v>4</v>
      </c>
      <c r="I651" t="s">
        <v>42</v>
      </c>
      <c r="J651" t="s">
        <v>38</v>
      </c>
      <c r="K651">
        <v>3</v>
      </c>
      <c r="L651" t="s">
        <v>39</v>
      </c>
      <c r="M651">
        <v>4</v>
      </c>
      <c r="N651" t="s">
        <v>72</v>
      </c>
      <c r="O651" t="s">
        <v>76</v>
      </c>
      <c r="P651">
        <v>4</v>
      </c>
      <c r="Q651" t="s">
        <v>42</v>
      </c>
      <c r="R651" t="s">
        <v>43</v>
      </c>
      <c r="S651">
        <v>6</v>
      </c>
      <c r="T651" t="s">
        <v>44</v>
      </c>
      <c r="U651" t="s">
        <v>59</v>
      </c>
      <c r="V651">
        <v>18</v>
      </c>
      <c r="W651" t="s">
        <v>45</v>
      </c>
      <c r="X651">
        <v>33</v>
      </c>
      <c r="Y651">
        <v>3</v>
      </c>
      <c r="Z651" t="s">
        <v>61</v>
      </c>
      <c r="AA651">
        <v>12</v>
      </c>
      <c r="AB651" t="s">
        <v>74</v>
      </c>
      <c r="AC651">
        <v>9</v>
      </c>
      <c r="AD651" t="s">
        <v>47</v>
      </c>
      <c r="AE651">
        <v>3</v>
      </c>
      <c r="AF651" t="s">
        <v>49</v>
      </c>
    </row>
    <row r="652" spans="1:32" x14ac:dyDescent="0.25">
      <c r="A652">
        <v>43</v>
      </c>
      <c r="B652" t="s">
        <v>32</v>
      </c>
      <c r="C652" t="s">
        <v>50</v>
      </c>
      <c r="D652" t="s">
        <v>51</v>
      </c>
      <c r="E652" t="s">
        <v>52</v>
      </c>
      <c r="F652">
        <v>1</v>
      </c>
      <c r="G652" t="s">
        <v>36</v>
      </c>
      <c r="H652">
        <v>4</v>
      </c>
      <c r="I652" t="s">
        <v>42</v>
      </c>
      <c r="J652" t="s">
        <v>38</v>
      </c>
      <c r="K652">
        <v>3</v>
      </c>
      <c r="L652" t="s">
        <v>39</v>
      </c>
      <c r="M652">
        <v>2</v>
      </c>
      <c r="N652" t="s">
        <v>40</v>
      </c>
      <c r="O652" t="s">
        <v>70</v>
      </c>
      <c r="P652">
        <v>4</v>
      </c>
      <c r="Q652" t="s">
        <v>42</v>
      </c>
      <c r="R652" t="s">
        <v>58</v>
      </c>
      <c r="S652">
        <v>4</v>
      </c>
      <c r="T652" t="s">
        <v>44</v>
      </c>
      <c r="U652" t="s">
        <v>59</v>
      </c>
      <c r="V652">
        <v>13</v>
      </c>
      <c r="W652" t="s">
        <v>45</v>
      </c>
      <c r="X652">
        <v>12</v>
      </c>
      <c r="Y652">
        <v>2</v>
      </c>
      <c r="Z652" t="s">
        <v>46</v>
      </c>
      <c r="AA652">
        <v>5</v>
      </c>
      <c r="AB652" t="s">
        <v>47</v>
      </c>
      <c r="AC652">
        <v>2</v>
      </c>
      <c r="AD652" t="s">
        <v>48</v>
      </c>
      <c r="AE652">
        <v>2</v>
      </c>
      <c r="AF652" t="s">
        <v>49</v>
      </c>
    </row>
    <row r="653" spans="1:32" x14ac:dyDescent="0.25">
      <c r="A653">
        <v>47</v>
      </c>
      <c r="B653" t="s">
        <v>32</v>
      </c>
      <c r="C653" t="s">
        <v>50</v>
      </c>
      <c r="D653" t="s">
        <v>34</v>
      </c>
      <c r="E653" t="s">
        <v>35</v>
      </c>
      <c r="F653">
        <v>2</v>
      </c>
      <c r="G653" t="s">
        <v>36</v>
      </c>
      <c r="H653">
        <v>3</v>
      </c>
      <c r="I653" t="s">
        <v>42</v>
      </c>
      <c r="J653" t="s">
        <v>38</v>
      </c>
      <c r="K653">
        <v>3</v>
      </c>
      <c r="L653" t="s">
        <v>39</v>
      </c>
      <c r="M653">
        <v>2</v>
      </c>
      <c r="N653" t="s">
        <v>40</v>
      </c>
      <c r="O653" t="s">
        <v>41</v>
      </c>
      <c r="P653">
        <v>4</v>
      </c>
      <c r="Q653" t="s">
        <v>42</v>
      </c>
      <c r="R653" t="s">
        <v>58</v>
      </c>
      <c r="S653">
        <v>0</v>
      </c>
      <c r="T653" t="s">
        <v>44</v>
      </c>
      <c r="U653" t="s">
        <v>44</v>
      </c>
      <c r="V653">
        <v>22</v>
      </c>
      <c r="W653" t="s">
        <v>60</v>
      </c>
      <c r="X653">
        <v>8</v>
      </c>
      <c r="Y653">
        <v>3</v>
      </c>
      <c r="Z653" t="s">
        <v>61</v>
      </c>
      <c r="AA653">
        <v>7</v>
      </c>
      <c r="AB653" t="s">
        <v>47</v>
      </c>
      <c r="AC653">
        <v>6</v>
      </c>
      <c r="AD653" t="s">
        <v>47</v>
      </c>
      <c r="AE653">
        <v>7</v>
      </c>
      <c r="AF653" t="s">
        <v>71</v>
      </c>
    </row>
    <row r="654" spans="1:32" x14ac:dyDescent="0.25">
      <c r="A654">
        <v>37</v>
      </c>
      <c r="B654" t="s">
        <v>32</v>
      </c>
      <c r="C654" t="s">
        <v>50</v>
      </c>
      <c r="D654" t="s">
        <v>34</v>
      </c>
      <c r="E654" t="s">
        <v>35</v>
      </c>
      <c r="F654">
        <v>19</v>
      </c>
      <c r="G654" t="s">
        <v>66</v>
      </c>
      <c r="H654">
        <v>1</v>
      </c>
      <c r="I654" t="s">
        <v>37</v>
      </c>
      <c r="J654" t="s">
        <v>54</v>
      </c>
      <c r="K654">
        <v>3</v>
      </c>
      <c r="L654" t="s">
        <v>39</v>
      </c>
      <c r="M654">
        <v>3</v>
      </c>
      <c r="N654" t="s">
        <v>68</v>
      </c>
      <c r="O654" t="s">
        <v>41</v>
      </c>
      <c r="P654">
        <v>2</v>
      </c>
      <c r="Q654" t="s">
        <v>57</v>
      </c>
      <c r="R654" t="s">
        <v>43</v>
      </c>
      <c r="S654">
        <v>1</v>
      </c>
      <c r="T654" t="s">
        <v>44</v>
      </c>
      <c r="U654" t="s">
        <v>44</v>
      </c>
      <c r="V654">
        <v>13</v>
      </c>
      <c r="W654" t="s">
        <v>45</v>
      </c>
      <c r="X654">
        <v>10</v>
      </c>
      <c r="Y654">
        <v>3</v>
      </c>
      <c r="Z654" t="s">
        <v>61</v>
      </c>
      <c r="AA654">
        <v>10</v>
      </c>
      <c r="AB654" t="s">
        <v>47</v>
      </c>
      <c r="AC654">
        <v>0</v>
      </c>
      <c r="AD654" t="s">
        <v>48</v>
      </c>
      <c r="AE654">
        <v>0</v>
      </c>
      <c r="AF654" t="s">
        <v>49</v>
      </c>
    </row>
    <row r="655" spans="1:32" x14ac:dyDescent="0.25">
      <c r="A655">
        <v>50</v>
      </c>
      <c r="B655" t="s">
        <v>32</v>
      </c>
      <c r="C655" t="s">
        <v>50</v>
      </c>
      <c r="D655" t="s">
        <v>34</v>
      </c>
      <c r="E655" t="s">
        <v>52</v>
      </c>
      <c r="F655">
        <v>2</v>
      </c>
      <c r="G655" t="s">
        <v>36</v>
      </c>
      <c r="H655">
        <v>1</v>
      </c>
      <c r="I655" t="s">
        <v>37</v>
      </c>
      <c r="J655" t="s">
        <v>54</v>
      </c>
      <c r="K655">
        <v>3</v>
      </c>
      <c r="L655" t="s">
        <v>39</v>
      </c>
      <c r="M655">
        <v>4</v>
      </c>
      <c r="N655" t="s">
        <v>72</v>
      </c>
      <c r="O655" t="s">
        <v>73</v>
      </c>
      <c r="P655">
        <v>1</v>
      </c>
      <c r="Q655" t="s">
        <v>57</v>
      </c>
      <c r="R655" t="s">
        <v>67</v>
      </c>
      <c r="S655">
        <v>1</v>
      </c>
      <c r="T655" t="s">
        <v>44</v>
      </c>
      <c r="U655" t="s">
        <v>59</v>
      </c>
      <c r="V655">
        <v>11</v>
      </c>
      <c r="W655" t="s">
        <v>45</v>
      </c>
      <c r="X655">
        <v>31</v>
      </c>
      <c r="Y655">
        <v>3</v>
      </c>
      <c r="Z655" t="s">
        <v>61</v>
      </c>
      <c r="AA655">
        <v>31</v>
      </c>
      <c r="AB655" t="s">
        <v>74</v>
      </c>
      <c r="AC655">
        <v>6</v>
      </c>
      <c r="AD655" t="s">
        <v>47</v>
      </c>
      <c r="AE655">
        <v>14</v>
      </c>
      <c r="AF655" t="s">
        <v>71</v>
      </c>
    </row>
    <row r="656" spans="1:32" x14ac:dyDescent="0.25">
      <c r="A656">
        <v>39</v>
      </c>
      <c r="B656" t="s">
        <v>32</v>
      </c>
      <c r="C656" t="s">
        <v>50</v>
      </c>
      <c r="D656" t="s">
        <v>34</v>
      </c>
      <c r="E656" t="s">
        <v>77</v>
      </c>
      <c r="F656">
        <v>2</v>
      </c>
      <c r="G656" t="s">
        <v>36</v>
      </c>
      <c r="H656">
        <v>4</v>
      </c>
      <c r="I656" t="s">
        <v>42</v>
      </c>
      <c r="J656" t="s">
        <v>38</v>
      </c>
      <c r="K656">
        <v>2</v>
      </c>
      <c r="L656" t="s">
        <v>55</v>
      </c>
      <c r="M656">
        <v>2</v>
      </c>
      <c r="N656" t="s">
        <v>40</v>
      </c>
      <c r="O656" t="s">
        <v>77</v>
      </c>
      <c r="P656">
        <v>4</v>
      </c>
      <c r="Q656" t="s">
        <v>42</v>
      </c>
      <c r="R656" t="s">
        <v>58</v>
      </c>
      <c r="S656">
        <v>8</v>
      </c>
      <c r="T656" t="s">
        <v>44</v>
      </c>
      <c r="U656" t="s">
        <v>59</v>
      </c>
      <c r="V656">
        <v>11</v>
      </c>
      <c r="W656" t="s">
        <v>45</v>
      </c>
      <c r="X656">
        <v>13</v>
      </c>
      <c r="Y656">
        <v>3</v>
      </c>
      <c r="Z656" t="s">
        <v>61</v>
      </c>
      <c r="AA656">
        <v>5</v>
      </c>
      <c r="AB656" t="s">
        <v>47</v>
      </c>
      <c r="AC656">
        <v>4</v>
      </c>
      <c r="AD656" t="s">
        <v>48</v>
      </c>
      <c r="AE656">
        <v>0</v>
      </c>
      <c r="AF656" t="s">
        <v>49</v>
      </c>
    </row>
    <row r="657" spans="1:32" x14ac:dyDescent="0.25">
      <c r="A657">
        <v>33</v>
      </c>
      <c r="B657" t="s">
        <v>32</v>
      </c>
      <c r="C657" t="s">
        <v>50</v>
      </c>
      <c r="D657" t="s">
        <v>34</v>
      </c>
      <c r="E657" t="s">
        <v>77</v>
      </c>
      <c r="F657">
        <v>3</v>
      </c>
      <c r="G657" t="s">
        <v>36</v>
      </c>
      <c r="H657">
        <v>4</v>
      </c>
      <c r="I657" t="s">
        <v>42</v>
      </c>
      <c r="J657" t="s">
        <v>54</v>
      </c>
      <c r="K657">
        <v>3</v>
      </c>
      <c r="L657" t="s">
        <v>39</v>
      </c>
      <c r="M657">
        <v>1</v>
      </c>
      <c r="N657" t="s">
        <v>40</v>
      </c>
      <c r="O657" t="s">
        <v>77</v>
      </c>
      <c r="P657">
        <v>2</v>
      </c>
      <c r="Q657" t="s">
        <v>57</v>
      </c>
      <c r="R657" t="s">
        <v>67</v>
      </c>
      <c r="S657">
        <v>3</v>
      </c>
      <c r="T657" t="s">
        <v>44</v>
      </c>
      <c r="U657" t="s">
        <v>44</v>
      </c>
      <c r="V657">
        <v>11</v>
      </c>
      <c r="W657" t="s">
        <v>45</v>
      </c>
      <c r="X657">
        <v>7</v>
      </c>
      <c r="Y657">
        <v>4</v>
      </c>
      <c r="Z657" t="s">
        <v>61</v>
      </c>
      <c r="AA657">
        <v>4</v>
      </c>
      <c r="AB657" t="s">
        <v>48</v>
      </c>
      <c r="AC657">
        <v>3</v>
      </c>
      <c r="AD657" t="s">
        <v>48</v>
      </c>
      <c r="AE657">
        <v>0</v>
      </c>
      <c r="AF657" t="s">
        <v>49</v>
      </c>
    </row>
    <row r="658" spans="1:32" x14ac:dyDescent="0.25">
      <c r="A658">
        <v>32</v>
      </c>
      <c r="B658" t="s">
        <v>32</v>
      </c>
      <c r="C658" t="s">
        <v>33</v>
      </c>
      <c r="D658" t="s">
        <v>34</v>
      </c>
      <c r="E658" t="s">
        <v>52</v>
      </c>
      <c r="F658">
        <v>25</v>
      </c>
      <c r="G658" t="s">
        <v>66</v>
      </c>
      <c r="H658">
        <v>1</v>
      </c>
      <c r="I658" t="s">
        <v>37</v>
      </c>
      <c r="J658" t="s">
        <v>54</v>
      </c>
      <c r="K658">
        <v>3</v>
      </c>
      <c r="L658" t="s">
        <v>39</v>
      </c>
      <c r="M658">
        <v>1</v>
      </c>
      <c r="N658" t="s">
        <v>40</v>
      </c>
      <c r="O658" t="s">
        <v>62</v>
      </c>
      <c r="P658">
        <v>4</v>
      </c>
      <c r="Q658" t="s">
        <v>42</v>
      </c>
      <c r="R658" t="s">
        <v>43</v>
      </c>
      <c r="S658">
        <v>1</v>
      </c>
      <c r="T658" t="s">
        <v>44</v>
      </c>
      <c r="U658" t="s">
        <v>44</v>
      </c>
      <c r="V658">
        <v>24</v>
      </c>
      <c r="W658" t="s">
        <v>60</v>
      </c>
      <c r="X658">
        <v>1</v>
      </c>
      <c r="Y658">
        <v>1</v>
      </c>
      <c r="Z658" t="s">
        <v>46</v>
      </c>
      <c r="AA658">
        <v>1</v>
      </c>
      <c r="AB658" t="s">
        <v>48</v>
      </c>
      <c r="AC658">
        <v>0</v>
      </c>
      <c r="AD658" t="s">
        <v>48</v>
      </c>
      <c r="AE658">
        <v>0</v>
      </c>
      <c r="AF658" t="s">
        <v>49</v>
      </c>
    </row>
    <row r="659" spans="1:32" x14ac:dyDescent="0.25">
      <c r="A659">
        <v>29</v>
      </c>
      <c r="B659" t="s">
        <v>63</v>
      </c>
      <c r="C659" t="s">
        <v>50</v>
      </c>
      <c r="D659" t="s">
        <v>34</v>
      </c>
      <c r="E659" t="s">
        <v>52</v>
      </c>
      <c r="F659">
        <v>7</v>
      </c>
      <c r="G659" t="s">
        <v>53</v>
      </c>
      <c r="H659">
        <v>1</v>
      </c>
      <c r="I659" t="s">
        <v>37</v>
      </c>
      <c r="J659" t="s">
        <v>38</v>
      </c>
      <c r="K659">
        <v>2</v>
      </c>
      <c r="L659" t="s">
        <v>55</v>
      </c>
      <c r="M659">
        <v>1</v>
      </c>
      <c r="N659" t="s">
        <v>40</v>
      </c>
      <c r="O659" t="s">
        <v>62</v>
      </c>
      <c r="P659">
        <v>4</v>
      </c>
      <c r="Q659" t="s">
        <v>42</v>
      </c>
      <c r="R659" t="s">
        <v>67</v>
      </c>
      <c r="S659">
        <v>6</v>
      </c>
      <c r="T659" t="s">
        <v>44</v>
      </c>
      <c r="U659" t="s">
        <v>59</v>
      </c>
      <c r="V659">
        <v>14</v>
      </c>
      <c r="W659" t="s">
        <v>45</v>
      </c>
      <c r="X659">
        <v>8</v>
      </c>
      <c r="Y659">
        <v>3</v>
      </c>
      <c r="Z659" t="s">
        <v>61</v>
      </c>
      <c r="AA659">
        <v>4</v>
      </c>
      <c r="AB659" t="s">
        <v>48</v>
      </c>
      <c r="AC659">
        <v>3</v>
      </c>
      <c r="AD659" t="s">
        <v>48</v>
      </c>
      <c r="AE659">
        <v>0</v>
      </c>
      <c r="AF659" t="s">
        <v>49</v>
      </c>
    </row>
    <row r="660" spans="1:32" x14ac:dyDescent="0.25">
      <c r="A660">
        <v>44</v>
      </c>
      <c r="B660" t="s">
        <v>32</v>
      </c>
      <c r="C660" t="s">
        <v>50</v>
      </c>
      <c r="D660" t="s">
        <v>34</v>
      </c>
      <c r="E660" t="s">
        <v>52</v>
      </c>
      <c r="F660">
        <v>9</v>
      </c>
      <c r="G660" t="s">
        <v>53</v>
      </c>
      <c r="H660">
        <v>2</v>
      </c>
      <c r="I660" t="s">
        <v>37</v>
      </c>
      <c r="J660" t="s">
        <v>54</v>
      </c>
      <c r="K660">
        <v>3</v>
      </c>
      <c r="L660" t="s">
        <v>39</v>
      </c>
      <c r="M660">
        <v>1</v>
      </c>
      <c r="N660" t="s">
        <v>40</v>
      </c>
      <c r="O660" t="s">
        <v>56</v>
      </c>
      <c r="P660">
        <v>1</v>
      </c>
      <c r="Q660" t="s">
        <v>57</v>
      </c>
      <c r="R660" t="s">
        <v>58</v>
      </c>
      <c r="S660">
        <v>1</v>
      </c>
      <c r="T660" t="s">
        <v>44</v>
      </c>
      <c r="U660" t="s">
        <v>44</v>
      </c>
      <c r="V660">
        <v>13</v>
      </c>
      <c r="W660" t="s">
        <v>45</v>
      </c>
      <c r="X660">
        <v>8</v>
      </c>
      <c r="Y660">
        <v>3</v>
      </c>
      <c r="Z660" t="s">
        <v>61</v>
      </c>
      <c r="AA660">
        <v>8</v>
      </c>
      <c r="AB660" t="s">
        <v>47</v>
      </c>
      <c r="AC660">
        <v>7</v>
      </c>
      <c r="AD660" t="s">
        <v>47</v>
      </c>
      <c r="AE660">
        <v>7</v>
      </c>
      <c r="AF660" t="s">
        <v>71</v>
      </c>
    </row>
    <row r="661" spans="1:32" x14ac:dyDescent="0.25">
      <c r="A661">
        <v>28</v>
      </c>
      <c r="B661" t="s">
        <v>63</v>
      </c>
      <c r="C661" t="s">
        <v>50</v>
      </c>
      <c r="D661" t="s">
        <v>34</v>
      </c>
      <c r="E661" t="s">
        <v>35</v>
      </c>
      <c r="F661">
        <v>5</v>
      </c>
      <c r="G661" t="s">
        <v>36</v>
      </c>
      <c r="H661">
        <v>1</v>
      </c>
      <c r="I661" t="s">
        <v>37</v>
      </c>
      <c r="J661" t="s">
        <v>54</v>
      </c>
      <c r="K661">
        <v>3</v>
      </c>
      <c r="L661" t="s">
        <v>39</v>
      </c>
      <c r="M661">
        <v>2</v>
      </c>
      <c r="N661" t="s">
        <v>40</v>
      </c>
      <c r="O661" t="s">
        <v>41</v>
      </c>
      <c r="P661">
        <v>4</v>
      </c>
      <c r="Q661" t="s">
        <v>42</v>
      </c>
      <c r="R661" t="s">
        <v>43</v>
      </c>
      <c r="S661">
        <v>1</v>
      </c>
      <c r="T661" t="s">
        <v>44</v>
      </c>
      <c r="U661" t="s">
        <v>59</v>
      </c>
      <c r="V661">
        <v>14</v>
      </c>
      <c r="W661" t="s">
        <v>45</v>
      </c>
      <c r="X661">
        <v>4</v>
      </c>
      <c r="Y661">
        <v>3</v>
      </c>
      <c r="Z661" t="s">
        <v>61</v>
      </c>
      <c r="AA661">
        <v>4</v>
      </c>
      <c r="AB661" t="s">
        <v>48</v>
      </c>
      <c r="AC661">
        <v>2</v>
      </c>
      <c r="AD661" t="s">
        <v>48</v>
      </c>
      <c r="AE661">
        <v>0</v>
      </c>
      <c r="AF661" t="s">
        <v>49</v>
      </c>
    </row>
    <row r="662" spans="1:32" x14ac:dyDescent="0.25">
      <c r="A662">
        <v>58</v>
      </c>
      <c r="B662" t="s">
        <v>64</v>
      </c>
      <c r="C662" t="s">
        <v>33</v>
      </c>
      <c r="D662" t="s">
        <v>51</v>
      </c>
      <c r="E662" t="s">
        <v>52</v>
      </c>
      <c r="F662">
        <v>2</v>
      </c>
      <c r="G662" t="s">
        <v>36</v>
      </c>
      <c r="H662">
        <v>4</v>
      </c>
      <c r="I662" t="s">
        <v>42</v>
      </c>
      <c r="J662" t="s">
        <v>54</v>
      </c>
      <c r="K662">
        <v>2</v>
      </c>
      <c r="L662" t="s">
        <v>55</v>
      </c>
      <c r="M662">
        <v>1</v>
      </c>
      <c r="N662" t="s">
        <v>40</v>
      </c>
      <c r="O662" t="s">
        <v>62</v>
      </c>
      <c r="P662">
        <v>4</v>
      </c>
      <c r="Q662" t="s">
        <v>42</v>
      </c>
      <c r="R662" t="s">
        <v>67</v>
      </c>
      <c r="S662">
        <v>9</v>
      </c>
      <c r="T662" t="s">
        <v>44</v>
      </c>
      <c r="U662" t="s">
        <v>44</v>
      </c>
      <c r="V662">
        <v>14</v>
      </c>
      <c r="W662" t="s">
        <v>45</v>
      </c>
      <c r="X662">
        <v>3</v>
      </c>
      <c r="Y662">
        <v>2</v>
      </c>
      <c r="Z662" t="s">
        <v>46</v>
      </c>
      <c r="AA662">
        <v>1</v>
      </c>
      <c r="AB662" t="s">
        <v>48</v>
      </c>
      <c r="AC662">
        <v>0</v>
      </c>
      <c r="AD662" t="s">
        <v>48</v>
      </c>
      <c r="AE662">
        <v>0</v>
      </c>
      <c r="AF662" t="s">
        <v>49</v>
      </c>
    </row>
    <row r="663" spans="1:32" x14ac:dyDescent="0.25">
      <c r="A663">
        <v>43</v>
      </c>
      <c r="B663" t="s">
        <v>32</v>
      </c>
      <c r="C663" t="s">
        <v>50</v>
      </c>
      <c r="D663" t="s">
        <v>34</v>
      </c>
      <c r="E663" t="s">
        <v>52</v>
      </c>
      <c r="F663">
        <v>8</v>
      </c>
      <c r="G663" t="s">
        <v>53</v>
      </c>
      <c r="H663">
        <v>1</v>
      </c>
      <c r="I663" t="s">
        <v>37</v>
      </c>
      <c r="J663" t="s">
        <v>38</v>
      </c>
      <c r="K663">
        <v>3</v>
      </c>
      <c r="L663" t="s">
        <v>39</v>
      </c>
      <c r="M663">
        <v>2</v>
      </c>
      <c r="N663" t="s">
        <v>40</v>
      </c>
      <c r="O663" t="s">
        <v>69</v>
      </c>
      <c r="P663">
        <v>2</v>
      </c>
      <c r="Q663" t="s">
        <v>57</v>
      </c>
      <c r="R663" t="s">
        <v>67</v>
      </c>
      <c r="S663">
        <v>4</v>
      </c>
      <c r="T663" t="s">
        <v>44</v>
      </c>
      <c r="U663" t="s">
        <v>59</v>
      </c>
      <c r="V663">
        <v>21</v>
      </c>
      <c r="W663" t="s">
        <v>60</v>
      </c>
      <c r="X663">
        <v>4</v>
      </c>
      <c r="Y663">
        <v>4</v>
      </c>
      <c r="Z663" t="s">
        <v>61</v>
      </c>
      <c r="AA663">
        <v>1</v>
      </c>
      <c r="AB663" t="s">
        <v>48</v>
      </c>
      <c r="AC663">
        <v>0</v>
      </c>
      <c r="AD663" t="s">
        <v>48</v>
      </c>
      <c r="AE663">
        <v>0</v>
      </c>
      <c r="AF663" t="s">
        <v>49</v>
      </c>
    </row>
    <row r="664" spans="1:32" x14ac:dyDescent="0.25">
      <c r="A664">
        <v>20</v>
      </c>
      <c r="B664" t="s">
        <v>63</v>
      </c>
      <c r="C664" t="s">
        <v>33</v>
      </c>
      <c r="D664" t="s">
        <v>34</v>
      </c>
      <c r="E664" t="s">
        <v>35</v>
      </c>
      <c r="F664">
        <v>2</v>
      </c>
      <c r="G664" t="s">
        <v>36</v>
      </c>
      <c r="H664">
        <v>3</v>
      </c>
      <c r="I664" t="s">
        <v>42</v>
      </c>
      <c r="J664" t="s">
        <v>38</v>
      </c>
      <c r="K664">
        <v>2</v>
      </c>
      <c r="L664" t="s">
        <v>55</v>
      </c>
      <c r="M664">
        <v>1</v>
      </c>
      <c r="N664" t="s">
        <v>40</v>
      </c>
      <c r="O664" t="s">
        <v>75</v>
      </c>
      <c r="P664">
        <v>3</v>
      </c>
      <c r="Q664" t="s">
        <v>42</v>
      </c>
      <c r="R664" t="s">
        <v>43</v>
      </c>
      <c r="S664">
        <v>1</v>
      </c>
      <c r="T664" t="s">
        <v>44</v>
      </c>
      <c r="U664" t="s">
        <v>59</v>
      </c>
      <c r="V664">
        <v>13</v>
      </c>
      <c r="W664" t="s">
        <v>45</v>
      </c>
      <c r="X664">
        <v>2</v>
      </c>
      <c r="Y664">
        <v>2</v>
      </c>
      <c r="Z664" t="s">
        <v>46</v>
      </c>
      <c r="AA664">
        <v>2</v>
      </c>
      <c r="AB664" t="s">
        <v>48</v>
      </c>
      <c r="AC664">
        <v>2</v>
      </c>
      <c r="AD664" t="s">
        <v>48</v>
      </c>
      <c r="AE664">
        <v>0</v>
      </c>
      <c r="AF664" t="s">
        <v>49</v>
      </c>
    </row>
    <row r="665" spans="1:32" x14ac:dyDescent="0.25">
      <c r="A665">
        <v>21</v>
      </c>
      <c r="B665" t="s">
        <v>63</v>
      </c>
      <c r="C665" t="s">
        <v>33</v>
      </c>
      <c r="D665" t="s">
        <v>34</v>
      </c>
      <c r="E665" t="s">
        <v>52</v>
      </c>
      <c r="F665">
        <v>18</v>
      </c>
      <c r="G665" t="s">
        <v>66</v>
      </c>
      <c r="H665">
        <v>4</v>
      </c>
      <c r="I665" t="s">
        <v>42</v>
      </c>
      <c r="J665" t="s">
        <v>38</v>
      </c>
      <c r="K665">
        <v>3</v>
      </c>
      <c r="L665" t="s">
        <v>39</v>
      </c>
      <c r="M665">
        <v>1</v>
      </c>
      <c r="N665" t="s">
        <v>40</v>
      </c>
      <c r="O665" t="s">
        <v>56</v>
      </c>
      <c r="P665">
        <v>4</v>
      </c>
      <c r="Q665" t="s">
        <v>42</v>
      </c>
      <c r="R665" t="s">
        <v>43</v>
      </c>
      <c r="S665">
        <v>1</v>
      </c>
      <c r="T665" t="s">
        <v>44</v>
      </c>
      <c r="U665" t="s">
        <v>59</v>
      </c>
      <c r="V665">
        <v>19</v>
      </c>
      <c r="W665" t="s">
        <v>45</v>
      </c>
      <c r="X665">
        <v>1</v>
      </c>
      <c r="Y665">
        <v>2</v>
      </c>
      <c r="Z665" t="s">
        <v>46</v>
      </c>
      <c r="AA665">
        <v>1</v>
      </c>
      <c r="AB665" t="s">
        <v>48</v>
      </c>
      <c r="AC665">
        <v>0</v>
      </c>
      <c r="AD665" t="s">
        <v>48</v>
      </c>
      <c r="AE665">
        <v>0</v>
      </c>
      <c r="AF665" t="s">
        <v>49</v>
      </c>
    </row>
    <row r="666" spans="1:32" x14ac:dyDescent="0.25">
      <c r="A666">
        <v>36</v>
      </c>
      <c r="B666" t="s">
        <v>32</v>
      </c>
      <c r="C666" t="s">
        <v>50</v>
      </c>
      <c r="D666" t="s">
        <v>34</v>
      </c>
      <c r="E666" t="s">
        <v>52</v>
      </c>
      <c r="F666">
        <v>14</v>
      </c>
      <c r="G666" t="s">
        <v>53</v>
      </c>
      <c r="H666">
        <v>3</v>
      </c>
      <c r="I666" t="s">
        <v>42</v>
      </c>
      <c r="J666" t="s">
        <v>54</v>
      </c>
      <c r="K666">
        <v>3</v>
      </c>
      <c r="L666" t="s">
        <v>39</v>
      </c>
      <c r="M666">
        <v>2</v>
      </c>
      <c r="N666" t="s">
        <v>40</v>
      </c>
      <c r="O666" t="s">
        <v>70</v>
      </c>
      <c r="P666">
        <v>4</v>
      </c>
      <c r="Q666" t="s">
        <v>42</v>
      </c>
      <c r="R666" t="s">
        <v>58</v>
      </c>
      <c r="S666">
        <v>0</v>
      </c>
      <c r="T666" t="s">
        <v>44</v>
      </c>
      <c r="U666" t="s">
        <v>44</v>
      </c>
      <c r="V666">
        <v>17</v>
      </c>
      <c r="W666" t="s">
        <v>45</v>
      </c>
      <c r="X666">
        <v>17</v>
      </c>
      <c r="Y666">
        <v>2</v>
      </c>
      <c r="Z666" t="s">
        <v>46</v>
      </c>
      <c r="AA666">
        <v>16</v>
      </c>
      <c r="AB666" t="s">
        <v>74</v>
      </c>
      <c r="AC666">
        <v>8</v>
      </c>
      <c r="AD666" t="s">
        <v>47</v>
      </c>
      <c r="AE666">
        <v>4</v>
      </c>
      <c r="AF666" t="s">
        <v>71</v>
      </c>
    </row>
    <row r="667" spans="1:32" x14ac:dyDescent="0.25">
      <c r="A667">
        <v>47</v>
      </c>
      <c r="B667" t="s">
        <v>32</v>
      </c>
      <c r="C667" t="s">
        <v>50</v>
      </c>
      <c r="D667" t="s">
        <v>34</v>
      </c>
      <c r="E667" t="s">
        <v>35</v>
      </c>
      <c r="F667">
        <v>2</v>
      </c>
      <c r="G667" t="s">
        <v>36</v>
      </c>
      <c r="H667">
        <v>4</v>
      </c>
      <c r="I667" t="s">
        <v>42</v>
      </c>
      <c r="J667" t="s">
        <v>38</v>
      </c>
      <c r="K667">
        <v>2</v>
      </c>
      <c r="L667" t="s">
        <v>55</v>
      </c>
      <c r="M667">
        <v>1</v>
      </c>
      <c r="N667" t="s">
        <v>40</v>
      </c>
      <c r="O667" t="s">
        <v>75</v>
      </c>
      <c r="P667">
        <v>4</v>
      </c>
      <c r="Q667" t="s">
        <v>42</v>
      </c>
      <c r="R667" t="s">
        <v>43</v>
      </c>
      <c r="S667">
        <v>1</v>
      </c>
      <c r="T667" t="s">
        <v>44</v>
      </c>
      <c r="U667" t="s">
        <v>44</v>
      </c>
      <c r="V667">
        <v>18</v>
      </c>
      <c r="W667" t="s">
        <v>45</v>
      </c>
      <c r="X667">
        <v>3</v>
      </c>
      <c r="Y667">
        <v>2</v>
      </c>
      <c r="Z667" t="s">
        <v>46</v>
      </c>
      <c r="AA667">
        <v>3</v>
      </c>
      <c r="AB667" t="s">
        <v>48</v>
      </c>
      <c r="AC667">
        <v>2</v>
      </c>
      <c r="AD667" t="s">
        <v>48</v>
      </c>
      <c r="AE667">
        <v>1</v>
      </c>
      <c r="AF667" t="s">
        <v>49</v>
      </c>
    </row>
    <row r="668" spans="1:32" x14ac:dyDescent="0.25">
      <c r="A668">
        <v>22</v>
      </c>
      <c r="B668" t="s">
        <v>63</v>
      </c>
      <c r="C668" t="s">
        <v>33</v>
      </c>
      <c r="D668" t="s">
        <v>34</v>
      </c>
      <c r="E668" t="s">
        <v>52</v>
      </c>
      <c r="F668">
        <v>3</v>
      </c>
      <c r="G668" t="s">
        <v>36</v>
      </c>
      <c r="H668">
        <v>2</v>
      </c>
      <c r="I668" t="s">
        <v>37</v>
      </c>
      <c r="J668" t="s">
        <v>38</v>
      </c>
      <c r="K668">
        <v>3</v>
      </c>
      <c r="L668" t="s">
        <v>39</v>
      </c>
      <c r="M668">
        <v>2</v>
      </c>
      <c r="N668" t="s">
        <v>40</v>
      </c>
      <c r="O668" t="s">
        <v>69</v>
      </c>
      <c r="P668">
        <v>3</v>
      </c>
      <c r="Q668" t="s">
        <v>42</v>
      </c>
      <c r="R668" t="s">
        <v>58</v>
      </c>
      <c r="S668">
        <v>0</v>
      </c>
      <c r="T668" t="s">
        <v>44</v>
      </c>
      <c r="U668" t="s">
        <v>44</v>
      </c>
      <c r="V668">
        <v>19</v>
      </c>
      <c r="W668" t="s">
        <v>45</v>
      </c>
      <c r="X668">
        <v>4</v>
      </c>
      <c r="Y668">
        <v>4</v>
      </c>
      <c r="Z668" t="s">
        <v>61</v>
      </c>
      <c r="AA668">
        <v>3</v>
      </c>
      <c r="AB668" t="s">
        <v>48</v>
      </c>
      <c r="AC668">
        <v>2</v>
      </c>
      <c r="AD668" t="s">
        <v>48</v>
      </c>
      <c r="AE668">
        <v>0</v>
      </c>
      <c r="AF668" t="s">
        <v>49</v>
      </c>
    </row>
    <row r="669" spans="1:32" x14ac:dyDescent="0.25">
      <c r="A669">
        <v>41</v>
      </c>
      <c r="B669" t="s">
        <v>32</v>
      </c>
      <c r="C669" t="s">
        <v>33</v>
      </c>
      <c r="D669" t="s">
        <v>34</v>
      </c>
      <c r="E669" t="s">
        <v>52</v>
      </c>
      <c r="F669">
        <v>2</v>
      </c>
      <c r="G669" t="s">
        <v>36</v>
      </c>
      <c r="H669">
        <v>2</v>
      </c>
      <c r="I669" t="s">
        <v>37</v>
      </c>
      <c r="J669" t="s">
        <v>38</v>
      </c>
      <c r="K669">
        <v>1</v>
      </c>
      <c r="L669" t="s">
        <v>55</v>
      </c>
      <c r="M669">
        <v>1</v>
      </c>
      <c r="N669" t="s">
        <v>40</v>
      </c>
      <c r="O669" t="s">
        <v>62</v>
      </c>
      <c r="P669">
        <v>4</v>
      </c>
      <c r="Q669" t="s">
        <v>42</v>
      </c>
      <c r="R669" t="s">
        <v>67</v>
      </c>
      <c r="S669">
        <v>4</v>
      </c>
      <c r="T669" t="s">
        <v>44</v>
      </c>
      <c r="U669" t="s">
        <v>44</v>
      </c>
      <c r="V669">
        <v>13</v>
      </c>
      <c r="W669" t="s">
        <v>45</v>
      </c>
      <c r="X669">
        <v>10</v>
      </c>
      <c r="Y669">
        <v>2</v>
      </c>
      <c r="Z669" t="s">
        <v>46</v>
      </c>
      <c r="AA669">
        <v>7</v>
      </c>
      <c r="AB669" t="s">
        <v>47</v>
      </c>
      <c r="AC669">
        <v>7</v>
      </c>
      <c r="AD669" t="s">
        <v>47</v>
      </c>
      <c r="AE669">
        <v>1</v>
      </c>
      <c r="AF669" t="s">
        <v>49</v>
      </c>
    </row>
    <row r="670" spans="1:32" x14ac:dyDescent="0.25">
      <c r="A670">
        <v>28</v>
      </c>
      <c r="B670" t="s">
        <v>63</v>
      </c>
      <c r="C670" t="s">
        <v>50</v>
      </c>
      <c r="D670" t="s">
        <v>34</v>
      </c>
      <c r="E670" t="s">
        <v>52</v>
      </c>
      <c r="F670">
        <v>9</v>
      </c>
      <c r="G670" t="s">
        <v>53</v>
      </c>
      <c r="H670">
        <v>3</v>
      </c>
      <c r="I670" t="s">
        <v>42</v>
      </c>
      <c r="J670" t="s">
        <v>38</v>
      </c>
      <c r="K670">
        <v>3</v>
      </c>
      <c r="L670" t="s">
        <v>39</v>
      </c>
      <c r="M670">
        <v>1</v>
      </c>
      <c r="N670" t="s">
        <v>40</v>
      </c>
      <c r="O670" t="s">
        <v>56</v>
      </c>
      <c r="P670">
        <v>3</v>
      </c>
      <c r="Q670" t="s">
        <v>42</v>
      </c>
      <c r="R670" t="s">
        <v>67</v>
      </c>
      <c r="S670">
        <v>5</v>
      </c>
      <c r="T670" t="s">
        <v>44</v>
      </c>
      <c r="U670" t="s">
        <v>59</v>
      </c>
      <c r="V670">
        <v>18</v>
      </c>
      <c r="W670" t="s">
        <v>45</v>
      </c>
      <c r="X670">
        <v>6</v>
      </c>
      <c r="Y670">
        <v>3</v>
      </c>
      <c r="Z670" t="s">
        <v>61</v>
      </c>
      <c r="AA670">
        <v>2</v>
      </c>
      <c r="AB670" t="s">
        <v>48</v>
      </c>
      <c r="AC670">
        <v>2</v>
      </c>
      <c r="AD670" t="s">
        <v>48</v>
      </c>
      <c r="AE670">
        <v>2</v>
      </c>
      <c r="AF670" t="s">
        <v>49</v>
      </c>
    </row>
    <row r="671" spans="1:32" x14ac:dyDescent="0.25">
      <c r="A671">
        <v>39</v>
      </c>
      <c r="B671" t="s">
        <v>32</v>
      </c>
      <c r="C671" t="s">
        <v>33</v>
      </c>
      <c r="D671" t="s">
        <v>34</v>
      </c>
      <c r="E671" t="s">
        <v>52</v>
      </c>
      <c r="F671">
        <v>6</v>
      </c>
      <c r="G671" t="s">
        <v>53</v>
      </c>
      <c r="H671">
        <v>4</v>
      </c>
      <c r="I671" t="s">
        <v>42</v>
      </c>
      <c r="J671" t="s">
        <v>54</v>
      </c>
      <c r="K671">
        <v>3</v>
      </c>
      <c r="L671" t="s">
        <v>39</v>
      </c>
      <c r="M671">
        <v>1</v>
      </c>
      <c r="N671" t="s">
        <v>40</v>
      </c>
      <c r="O671" t="s">
        <v>62</v>
      </c>
      <c r="P671">
        <v>1</v>
      </c>
      <c r="Q671" t="s">
        <v>57</v>
      </c>
      <c r="R671" t="s">
        <v>58</v>
      </c>
      <c r="S671">
        <v>7</v>
      </c>
      <c r="T671" t="s">
        <v>44</v>
      </c>
      <c r="U671" t="s">
        <v>44</v>
      </c>
      <c r="V671">
        <v>21</v>
      </c>
      <c r="W671" t="s">
        <v>60</v>
      </c>
      <c r="X671">
        <v>8</v>
      </c>
      <c r="Y671">
        <v>1</v>
      </c>
      <c r="Z671" t="s">
        <v>46</v>
      </c>
      <c r="AA671">
        <v>2</v>
      </c>
      <c r="AB671" t="s">
        <v>48</v>
      </c>
      <c r="AC671">
        <v>2</v>
      </c>
      <c r="AD671" t="s">
        <v>48</v>
      </c>
      <c r="AE671">
        <v>2</v>
      </c>
      <c r="AF671" t="s">
        <v>49</v>
      </c>
    </row>
    <row r="672" spans="1:32" x14ac:dyDescent="0.25">
      <c r="A672">
        <v>27</v>
      </c>
      <c r="B672" t="s">
        <v>63</v>
      </c>
      <c r="C672" t="s">
        <v>50</v>
      </c>
      <c r="D672" t="s">
        <v>34</v>
      </c>
      <c r="E672" t="s">
        <v>52</v>
      </c>
      <c r="F672">
        <v>4</v>
      </c>
      <c r="G672" t="s">
        <v>36</v>
      </c>
      <c r="H672">
        <v>2</v>
      </c>
      <c r="I672" t="s">
        <v>37</v>
      </c>
      <c r="J672" t="s">
        <v>38</v>
      </c>
      <c r="K672">
        <v>3</v>
      </c>
      <c r="L672" t="s">
        <v>39</v>
      </c>
      <c r="M672">
        <v>1</v>
      </c>
      <c r="N672" t="s">
        <v>40</v>
      </c>
      <c r="O672" t="s">
        <v>56</v>
      </c>
      <c r="P672">
        <v>3</v>
      </c>
      <c r="Q672" t="s">
        <v>42</v>
      </c>
      <c r="R672" t="s">
        <v>43</v>
      </c>
      <c r="S672">
        <v>1</v>
      </c>
      <c r="T672" t="s">
        <v>44</v>
      </c>
      <c r="U672" t="s">
        <v>59</v>
      </c>
      <c r="V672">
        <v>19</v>
      </c>
      <c r="W672" t="s">
        <v>45</v>
      </c>
      <c r="X672">
        <v>1</v>
      </c>
      <c r="Y672">
        <v>3</v>
      </c>
      <c r="Z672" t="s">
        <v>61</v>
      </c>
      <c r="AA672">
        <v>1</v>
      </c>
      <c r="AB672" t="s">
        <v>48</v>
      </c>
      <c r="AC672">
        <v>1</v>
      </c>
      <c r="AD672" t="s">
        <v>48</v>
      </c>
      <c r="AE672">
        <v>0</v>
      </c>
      <c r="AF672" t="s">
        <v>49</v>
      </c>
    </row>
    <row r="673" spans="1:32" x14ac:dyDescent="0.25">
      <c r="A673">
        <v>34</v>
      </c>
      <c r="B673" t="s">
        <v>32</v>
      </c>
      <c r="C673" t="s">
        <v>50</v>
      </c>
      <c r="D673" t="s">
        <v>34</v>
      </c>
      <c r="E673" t="s">
        <v>52</v>
      </c>
      <c r="F673">
        <v>10</v>
      </c>
      <c r="G673" t="s">
        <v>53</v>
      </c>
      <c r="H673">
        <v>2</v>
      </c>
      <c r="I673" t="s">
        <v>37</v>
      </c>
      <c r="J673" t="s">
        <v>54</v>
      </c>
      <c r="K673">
        <v>3</v>
      </c>
      <c r="L673" t="s">
        <v>39</v>
      </c>
      <c r="M673">
        <v>1</v>
      </c>
      <c r="N673" t="s">
        <v>40</v>
      </c>
      <c r="O673" t="s">
        <v>62</v>
      </c>
      <c r="P673">
        <v>2</v>
      </c>
      <c r="Q673" t="s">
        <v>57</v>
      </c>
      <c r="R673" t="s">
        <v>67</v>
      </c>
      <c r="S673">
        <v>1</v>
      </c>
      <c r="T673" t="s">
        <v>44</v>
      </c>
      <c r="U673" t="s">
        <v>59</v>
      </c>
      <c r="V673">
        <v>14</v>
      </c>
      <c r="W673" t="s">
        <v>45</v>
      </c>
      <c r="X673">
        <v>1</v>
      </c>
      <c r="Y673">
        <v>3</v>
      </c>
      <c r="Z673" t="s">
        <v>61</v>
      </c>
      <c r="AA673">
        <v>1</v>
      </c>
      <c r="AB673" t="s">
        <v>48</v>
      </c>
      <c r="AC673">
        <v>0</v>
      </c>
      <c r="AD673" t="s">
        <v>48</v>
      </c>
      <c r="AE673">
        <v>1</v>
      </c>
      <c r="AF673" t="s">
        <v>49</v>
      </c>
    </row>
    <row r="674" spans="1:32" x14ac:dyDescent="0.25">
      <c r="A674">
        <v>42</v>
      </c>
      <c r="B674" t="s">
        <v>32</v>
      </c>
      <c r="C674" t="s">
        <v>50</v>
      </c>
      <c r="D674" t="s">
        <v>34</v>
      </c>
      <c r="E674" t="s">
        <v>35</v>
      </c>
      <c r="F674">
        <v>14</v>
      </c>
      <c r="G674" t="s">
        <v>53</v>
      </c>
      <c r="H674">
        <v>3</v>
      </c>
      <c r="I674" t="s">
        <v>42</v>
      </c>
      <c r="J674" t="s">
        <v>38</v>
      </c>
      <c r="K674">
        <v>2</v>
      </c>
      <c r="L674" t="s">
        <v>55</v>
      </c>
      <c r="M674">
        <v>2</v>
      </c>
      <c r="N674" t="s">
        <v>40</v>
      </c>
      <c r="O674" t="s">
        <v>41</v>
      </c>
      <c r="P674">
        <v>3</v>
      </c>
      <c r="Q674" t="s">
        <v>42</v>
      </c>
      <c r="R674" t="s">
        <v>43</v>
      </c>
      <c r="S674">
        <v>7</v>
      </c>
      <c r="T674" t="s">
        <v>44</v>
      </c>
      <c r="U674" t="s">
        <v>59</v>
      </c>
      <c r="V674">
        <v>17</v>
      </c>
      <c r="W674" t="s">
        <v>45</v>
      </c>
      <c r="X674">
        <v>10</v>
      </c>
      <c r="Y674">
        <v>3</v>
      </c>
      <c r="Z674" t="s">
        <v>61</v>
      </c>
      <c r="AA674">
        <v>5</v>
      </c>
      <c r="AB674" t="s">
        <v>47</v>
      </c>
      <c r="AC674">
        <v>4</v>
      </c>
      <c r="AD674" t="s">
        <v>48</v>
      </c>
      <c r="AE674">
        <v>0</v>
      </c>
      <c r="AF674" t="s">
        <v>49</v>
      </c>
    </row>
    <row r="675" spans="1:32" x14ac:dyDescent="0.25">
      <c r="A675">
        <v>33</v>
      </c>
      <c r="B675" t="s">
        <v>32</v>
      </c>
      <c r="C675" t="s">
        <v>50</v>
      </c>
      <c r="D675" t="s">
        <v>34</v>
      </c>
      <c r="E675" t="s">
        <v>52</v>
      </c>
      <c r="F675">
        <v>1</v>
      </c>
      <c r="G675" t="s">
        <v>36</v>
      </c>
      <c r="H675">
        <v>3</v>
      </c>
      <c r="I675" t="s">
        <v>42</v>
      </c>
      <c r="J675" t="s">
        <v>54</v>
      </c>
      <c r="K675">
        <v>2</v>
      </c>
      <c r="L675" t="s">
        <v>55</v>
      </c>
      <c r="M675">
        <v>1</v>
      </c>
      <c r="N675" t="s">
        <v>40</v>
      </c>
      <c r="O675" t="s">
        <v>56</v>
      </c>
      <c r="P675">
        <v>1</v>
      </c>
      <c r="Q675" t="s">
        <v>57</v>
      </c>
      <c r="R675" t="s">
        <v>43</v>
      </c>
      <c r="S675">
        <v>3</v>
      </c>
      <c r="T675" t="s">
        <v>44</v>
      </c>
      <c r="U675" t="s">
        <v>44</v>
      </c>
      <c r="V675">
        <v>11</v>
      </c>
      <c r="W675" t="s">
        <v>45</v>
      </c>
      <c r="X675">
        <v>6</v>
      </c>
      <c r="Y675">
        <v>3</v>
      </c>
      <c r="Z675" t="s">
        <v>61</v>
      </c>
      <c r="AA675">
        <v>3</v>
      </c>
      <c r="AB675" t="s">
        <v>48</v>
      </c>
      <c r="AC675">
        <v>2</v>
      </c>
      <c r="AD675" t="s">
        <v>48</v>
      </c>
      <c r="AE675">
        <v>0</v>
      </c>
      <c r="AF675" t="s">
        <v>49</v>
      </c>
    </row>
    <row r="676" spans="1:32" x14ac:dyDescent="0.25">
      <c r="A676">
        <v>58</v>
      </c>
      <c r="B676" t="s">
        <v>64</v>
      </c>
      <c r="C676" t="s">
        <v>50</v>
      </c>
      <c r="D676" t="s">
        <v>34</v>
      </c>
      <c r="E676" t="s">
        <v>52</v>
      </c>
      <c r="F676">
        <v>5</v>
      </c>
      <c r="G676" t="s">
        <v>36</v>
      </c>
      <c r="H676">
        <v>3</v>
      </c>
      <c r="I676" t="s">
        <v>42</v>
      </c>
      <c r="J676" t="s">
        <v>38</v>
      </c>
      <c r="K676">
        <v>2</v>
      </c>
      <c r="L676" t="s">
        <v>55</v>
      </c>
      <c r="M676">
        <v>3</v>
      </c>
      <c r="N676" t="s">
        <v>68</v>
      </c>
      <c r="O676" t="s">
        <v>70</v>
      </c>
      <c r="P676">
        <v>2</v>
      </c>
      <c r="Q676" t="s">
        <v>57</v>
      </c>
      <c r="R676" t="s">
        <v>67</v>
      </c>
      <c r="S676">
        <v>2</v>
      </c>
      <c r="T676" t="s">
        <v>44</v>
      </c>
      <c r="U676" t="s">
        <v>44</v>
      </c>
      <c r="V676">
        <v>13</v>
      </c>
      <c r="W676" t="s">
        <v>45</v>
      </c>
      <c r="X676">
        <v>24</v>
      </c>
      <c r="Y676">
        <v>3</v>
      </c>
      <c r="Z676" t="s">
        <v>61</v>
      </c>
      <c r="AA676">
        <v>6</v>
      </c>
      <c r="AB676" t="s">
        <v>47</v>
      </c>
      <c r="AC676">
        <v>0</v>
      </c>
      <c r="AD676" t="s">
        <v>48</v>
      </c>
      <c r="AE676">
        <v>0</v>
      </c>
      <c r="AF676" t="s">
        <v>49</v>
      </c>
    </row>
    <row r="677" spans="1:32" x14ac:dyDescent="0.25">
      <c r="A677">
        <v>31</v>
      </c>
      <c r="B677" t="s">
        <v>32</v>
      </c>
      <c r="C677" t="s">
        <v>50</v>
      </c>
      <c r="D677" t="s">
        <v>34</v>
      </c>
      <c r="E677" t="s">
        <v>35</v>
      </c>
      <c r="F677">
        <v>7</v>
      </c>
      <c r="G677" t="s">
        <v>53</v>
      </c>
      <c r="H677">
        <v>2</v>
      </c>
      <c r="I677" t="s">
        <v>37</v>
      </c>
      <c r="J677" t="s">
        <v>54</v>
      </c>
      <c r="K677">
        <v>2</v>
      </c>
      <c r="L677" t="s">
        <v>55</v>
      </c>
      <c r="M677">
        <v>1</v>
      </c>
      <c r="N677" t="s">
        <v>40</v>
      </c>
      <c r="O677" t="s">
        <v>75</v>
      </c>
      <c r="P677">
        <v>3</v>
      </c>
      <c r="Q677" t="s">
        <v>42</v>
      </c>
      <c r="R677" t="s">
        <v>58</v>
      </c>
      <c r="S677">
        <v>3</v>
      </c>
      <c r="T677" t="s">
        <v>44</v>
      </c>
      <c r="U677" t="s">
        <v>59</v>
      </c>
      <c r="V677">
        <v>15</v>
      </c>
      <c r="W677" t="s">
        <v>45</v>
      </c>
      <c r="X677">
        <v>13</v>
      </c>
      <c r="Y677">
        <v>4</v>
      </c>
      <c r="Z677" t="s">
        <v>61</v>
      </c>
      <c r="AA677">
        <v>7</v>
      </c>
      <c r="AB677" t="s">
        <v>47</v>
      </c>
      <c r="AC677">
        <v>7</v>
      </c>
      <c r="AD677" t="s">
        <v>47</v>
      </c>
      <c r="AE677">
        <v>5</v>
      </c>
      <c r="AF677" t="s">
        <v>71</v>
      </c>
    </row>
    <row r="678" spans="1:32" x14ac:dyDescent="0.25">
      <c r="A678">
        <v>35</v>
      </c>
      <c r="B678" t="s">
        <v>32</v>
      </c>
      <c r="C678" t="s">
        <v>50</v>
      </c>
      <c r="D678" t="s">
        <v>34</v>
      </c>
      <c r="E678" t="s">
        <v>52</v>
      </c>
      <c r="F678">
        <v>21</v>
      </c>
      <c r="G678" t="s">
        <v>66</v>
      </c>
      <c r="H678">
        <v>4</v>
      </c>
      <c r="I678" t="s">
        <v>42</v>
      </c>
      <c r="J678" t="s">
        <v>38</v>
      </c>
      <c r="K678">
        <v>3</v>
      </c>
      <c r="L678" t="s">
        <v>39</v>
      </c>
      <c r="M678">
        <v>2</v>
      </c>
      <c r="N678" t="s">
        <v>40</v>
      </c>
      <c r="O678" t="s">
        <v>70</v>
      </c>
      <c r="P678">
        <v>4</v>
      </c>
      <c r="Q678" t="s">
        <v>42</v>
      </c>
      <c r="R678" t="s">
        <v>58</v>
      </c>
      <c r="S678">
        <v>1</v>
      </c>
      <c r="T678" t="s">
        <v>44</v>
      </c>
      <c r="U678" t="s">
        <v>44</v>
      </c>
      <c r="V678">
        <v>25</v>
      </c>
      <c r="W678" t="s">
        <v>60</v>
      </c>
      <c r="X678">
        <v>10</v>
      </c>
      <c r="Y678">
        <v>1</v>
      </c>
      <c r="Z678" t="s">
        <v>46</v>
      </c>
      <c r="AA678">
        <v>10</v>
      </c>
      <c r="AB678" t="s">
        <v>47</v>
      </c>
      <c r="AC678">
        <v>6</v>
      </c>
      <c r="AD678" t="s">
        <v>47</v>
      </c>
      <c r="AE678">
        <v>0</v>
      </c>
      <c r="AF678" t="s">
        <v>49</v>
      </c>
    </row>
    <row r="679" spans="1:32" x14ac:dyDescent="0.25">
      <c r="A679">
        <v>49</v>
      </c>
      <c r="B679" t="s">
        <v>32</v>
      </c>
      <c r="C679" t="s">
        <v>50</v>
      </c>
      <c r="D679" t="s">
        <v>34</v>
      </c>
      <c r="E679" t="s">
        <v>52</v>
      </c>
      <c r="F679">
        <v>8</v>
      </c>
      <c r="G679" t="s">
        <v>53</v>
      </c>
      <c r="H679">
        <v>1</v>
      </c>
      <c r="I679" t="s">
        <v>37</v>
      </c>
      <c r="J679" t="s">
        <v>38</v>
      </c>
      <c r="K679">
        <v>3</v>
      </c>
      <c r="L679" t="s">
        <v>39</v>
      </c>
      <c r="M679">
        <v>3</v>
      </c>
      <c r="N679" t="s">
        <v>68</v>
      </c>
      <c r="O679" t="s">
        <v>62</v>
      </c>
      <c r="P679">
        <v>2</v>
      </c>
      <c r="Q679" t="s">
        <v>57</v>
      </c>
      <c r="R679" t="s">
        <v>58</v>
      </c>
      <c r="S679">
        <v>4</v>
      </c>
      <c r="T679" t="s">
        <v>44</v>
      </c>
      <c r="U679" t="s">
        <v>59</v>
      </c>
      <c r="V679">
        <v>11</v>
      </c>
      <c r="W679" t="s">
        <v>45</v>
      </c>
      <c r="X679">
        <v>29</v>
      </c>
      <c r="Y679">
        <v>2</v>
      </c>
      <c r="Z679" t="s">
        <v>46</v>
      </c>
      <c r="AA679">
        <v>26</v>
      </c>
      <c r="AB679" t="s">
        <v>74</v>
      </c>
      <c r="AC679">
        <v>9</v>
      </c>
      <c r="AD679" t="s">
        <v>47</v>
      </c>
      <c r="AE679">
        <v>1</v>
      </c>
      <c r="AF679" t="s">
        <v>49</v>
      </c>
    </row>
    <row r="680" spans="1:32" x14ac:dyDescent="0.25">
      <c r="A680">
        <v>48</v>
      </c>
      <c r="B680" t="s">
        <v>32</v>
      </c>
      <c r="C680" t="s">
        <v>50</v>
      </c>
      <c r="D680" t="s">
        <v>34</v>
      </c>
      <c r="E680" t="s">
        <v>52</v>
      </c>
      <c r="F680">
        <v>20</v>
      </c>
      <c r="G680" t="s">
        <v>66</v>
      </c>
      <c r="H680">
        <v>4</v>
      </c>
      <c r="I680" t="s">
        <v>42</v>
      </c>
      <c r="J680" t="s">
        <v>54</v>
      </c>
      <c r="K680">
        <v>3</v>
      </c>
      <c r="L680" t="s">
        <v>39</v>
      </c>
      <c r="M680">
        <v>1</v>
      </c>
      <c r="N680" t="s">
        <v>40</v>
      </c>
      <c r="O680" t="s">
        <v>56</v>
      </c>
      <c r="P680">
        <v>3</v>
      </c>
      <c r="Q680" t="s">
        <v>42</v>
      </c>
      <c r="R680" t="s">
        <v>58</v>
      </c>
      <c r="S680">
        <v>4</v>
      </c>
      <c r="T680" t="s">
        <v>44</v>
      </c>
      <c r="U680" t="s">
        <v>59</v>
      </c>
      <c r="V680">
        <v>17</v>
      </c>
      <c r="W680" t="s">
        <v>45</v>
      </c>
      <c r="X680">
        <v>13</v>
      </c>
      <c r="Y680">
        <v>2</v>
      </c>
      <c r="Z680" t="s">
        <v>46</v>
      </c>
      <c r="AA680">
        <v>0</v>
      </c>
      <c r="AB680" t="s">
        <v>48</v>
      </c>
      <c r="AC680">
        <v>0</v>
      </c>
      <c r="AD680" t="s">
        <v>48</v>
      </c>
      <c r="AE680">
        <v>0</v>
      </c>
      <c r="AF680" t="s">
        <v>49</v>
      </c>
    </row>
    <row r="681" spans="1:32" x14ac:dyDescent="0.25">
      <c r="A681">
        <v>31</v>
      </c>
      <c r="B681" t="s">
        <v>32</v>
      </c>
      <c r="C681" t="s">
        <v>50</v>
      </c>
      <c r="D681" t="s">
        <v>34</v>
      </c>
      <c r="E681" t="s">
        <v>35</v>
      </c>
      <c r="F681">
        <v>20</v>
      </c>
      <c r="G681" t="s">
        <v>66</v>
      </c>
      <c r="H681">
        <v>4</v>
      </c>
      <c r="I681" t="s">
        <v>42</v>
      </c>
      <c r="J681" t="s">
        <v>38</v>
      </c>
      <c r="K681">
        <v>3</v>
      </c>
      <c r="L681" t="s">
        <v>39</v>
      </c>
      <c r="M681">
        <v>2</v>
      </c>
      <c r="N681" t="s">
        <v>40</v>
      </c>
      <c r="O681" t="s">
        <v>41</v>
      </c>
      <c r="P681">
        <v>3</v>
      </c>
      <c r="Q681" t="s">
        <v>42</v>
      </c>
      <c r="R681" t="s">
        <v>58</v>
      </c>
      <c r="S681">
        <v>1</v>
      </c>
      <c r="T681" t="s">
        <v>44</v>
      </c>
      <c r="U681" t="s">
        <v>59</v>
      </c>
      <c r="V681">
        <v>13</v>
      </c>
      <c r="W681" t="s">
        <v>45</v>
      </c>
      <c r="X681">
        <v>9</v>
      </c>
      <c r="Y681">
        <v>2</v>
      </c>
      <c r="Z681" t="s">
        <v>46</v>
      </c>
      <c r="AA681">
        <v>9</v>
      </c>
      <c r="AB681" t="s">
        <v>47</v>
      </c>
      <c r="AC681">
        <v>8</v>
      </c>
      <c r="AD681" t="s">
        <v>47</v>
      </c>
      <c r="AE681">
        <v>0</v>
      </c>
      <c r="AF681" t="s">
        <v>49</v>
      </c>
    </row>
    <row r="682" spans="1:32" x14ac:dyDescent="0.25">
      <c r="A682">
        <v>36</v>
      </c>
      <c r="B682" t="s">
        <v>32</v>
      </c>
      <c r="C682" t="s">
        <v>50</v>
      </c>
      <c r="D682" t="s">
        <v>34</v>
      </c>
      <c r="E682" t="s">
        <v>52</v>
      </c>
      <c r="F682">
        <v>7</v>
      </c>
      <c r="G682" t="s">
        <v>53</v>
      </c>
      <c r="H682">
        <v>2</v>
      </c>
      <c r="I682" t="s">
        <v>37</v>
      </c>
      <c r="J682" t="s">
        <v>54</v>
      </c>
      <c r="K682">
        <v>3</v>
      </c>
      <c r="L682" t="s">
        <v>39</v>
      </c>
      <c r="M682">
        <v>1</v>
      </c>
      <c r="N682" t="s">
        <v>40</v>
      </c>
      <c r="O682" t="s">
        <v>56</v>
      </c>
      <c r="P682">
        <v>4</v>
      </c>
      <c r="Q682" t="s">
        <v>42</v>
      </c>
      <c r="R682" t="s">
        <v>43</v>
      </c>
      <c r="S682">
        <v>2</v>
      </c>
      <c r="T682" t="s">
        <v>44</v>
      </c>
      <c r="U682" t="s">
        <v>59</v>
      </c>
      <c r="V682">
        <v>18</v>
      </c>
      <c r="W682" t="s">
        <v>45</v>
      </c>
      <c r="X682">
        <v>8</v>
      </c>
      <c r="Y682">
        <v>3</v>
      </c>
      <c r="Z682" t="s">
        <v>61</v>
      </c>
      <c r="AA682">
        <v>6</v>
      </c>
      <c r="AB682" t="s">
        <v>47</v>
      </c>
      <c r="AC682">
        <v>2</v>
      </c>
      <c r="AD682" t="s">
        <v>48</v>
      </c>
      <c r="AE682">
        <v>0</v>
      </c>
      <c r="AF682" t="s">
        <v>49</v>
      </c>
    </row>
    <row r="683" spans="1:32" x14ac:dyDescent="0.25">
      <c r="A683">
        <v>38</v>
      </c>
      <c r="B683" t="s">
        <v>32</v>
      </c>
      <c r="C683" t="s">
        <v>50</v>
      </c>
      <c r="D683" t="s">
        <v>34</v>
      </c>
      <c r="E683" t="s">
        <v>52</v>
      </c>
      <c r="F683">
        <v>1</v>
      </c>
      <c r="G683" t="s">
        <v>36</v>
      </c>
      <c r="H683">
        <v>4</v>
      </c>
      <c r="I683" t="s">
        <v>42</v>
      </c>
      <c r="J683" t="s">
        <v>38</v>
      </c>
      <c r="K683">
        <v>3</v>
      </c>
      <c r="L683" t="s">
        <v>39</v>
      </c>
      <c r="M683">
        <v>3</v>
      </c>
      <c r="N683" t="s">
        <v>68</v>
      </c>
      <c r="O683" t="s">
        <v>76</v>
      </c>
      <c r="P683">
        <v>1</v>
      </c>
      <c r="Q683" t="s">
        <v>57</v>
      </c>
      <c r="R683" t="s">
        <v>58</v>
      </c>
      <c r="S683">
        <v>1</v>
      </c>
      <c r="T683" t="s">
        <v>44</v>
      </c>
      <c r="U683" t="s">
        <v>59</v>
      </c>
      <c r="V683">
        <v>13</v>
      </c>
      <c r="W683" t="s">
        <v>45</v>
      </c>
      <c r="X683">
        <v>15</v>
      </c>
      <c r="Y683">
        <v>3</v>
      </c>
      <c r="Z683" t="s">
        <v>61</v>
      </c>
      <c r="AA683">
        <v>15</v>
      </c>
      <c r="AB683" t="s">
        <v>74</v>
      </c>
      <c r="AC683">
        <v>12</v>
      </c>
      <c r="AD683" t="s">
        <v>74</v>
      </c>
      <c r="AE683">
        <v>5</v>
      </c>
      <c r="AF683" t="s">
        <v>71</v>
      </c>
    </row>
    <row r="684" spans="1:32" x14ac:dyDescent="0.25">
      <c r="A684">
        <v>32</v>
      </c>
      <c r="B684" t="s">
        <v>32</v>
      </c>
      <c r="C684" t="s">
        <v>50</v>
      </c>
      <c r="D684" t="s">
        <v>34</v>
      </c>
      <c r="E684" t="s">
        <v>52</v>
      </c>
      <c r="F684">
        <v>1</v>
      </c>
      <c r="G684" t="s">
        <v>36</v>
      </c>
      <c r="H684">
        <v>3</v>
      </c>
      <c r="I684" t="s">
        <v>42</v>
      </c>
      <c r="J684" t="s">
        <v>38</v>
      </c>
      <c r="K684">
        <v>2</v>
      </c>
      <c r="L684" t="s">
        <v>55</v>
      </c>
      <c r="M684">
        <v>1</v>
      </c>
      <c r="N684" t="s">
        <v>40</v>
      </c>
      <c r="O684" t="s">
        <v>62</v>
      </c>
      <c r="P684">
        <v>2</v>
      </c>
      <c r="Q684" t="s">
        <v>57</v>
      </c>
      <c r="R684" t="s">
        <v>58</v>
      </c>
      <c r="S684">
        <v>6</v>
      </c>
      <c r="T684" t="s">
        <v>44</v>
      </c>
      <c r="U684" t="s">
        <v>59</v>
      </c>
      <c r="V684">
        <v>20</v>
      </c>
      <c r="W684" t="s">
        <v>60</v>
      </c>
      <c r="X684">
        <v>5</v>
      </c>
      <c r="Y684">
        <v>3</v>
      </c>
      <c r="Z684" t="s">
        <v>61</v>
      </c>
      <c r="AA684">
        <v>3</v>
      </c>
      <c r="AB684" t="s">
        <v>48</v>
      </c>
      <c r="AC684">
        <v>0</v>
      </c>
      <c r="AD684" t="s">
        <v>48</v>
      </c>
      <c r="AE684">
        <v>0</v>
      </c>
      <c r="AF684" t="s">
        <v>49</v>
      </c>
    </row>
    <row r="685" spans="1:32" x14ac:dyDescent="0.25">
      <c r="A685">
        <v>25</v>
      </c>
      <c r="B685" t="s">
        <v>63</v>
      </c>
      <c r="C685" t="s">
        <v>33</v>
      </c>
      <c r="D685" t="s">
        <v>34</v>
      </c>
      <c r="E685" t="s">
        <v>35</v>
      </c>
      <c r="F685">
        <v>19</v>
      </c>
      <c r="G685" t="s">
        <v>66</v>
      </c>
      <c r="H685">
        <v>3</v>
      </c>
      <c r="I685" t="s">
        <v>42</v>
      </c>
      <c r="J685" t="s">
        <v>54</v>
      </c>
      <c r="K685">
        <v>2</v>
      </c>
      <c r="L685" t="s">
        <v>55</v>
      </c>
      <c r="M685">
        <v>1</v>
      </c>
      <c r="N685" t="s">
        <v>40</v>
      </c>
      <c r="O685" t="s">
        <v>75</v>
      </c>
      <c r="P685">
        <v>2</v>
      </c>
      <c r="Q685" t="s">
        <v>57</v>
      </c>
      <c r="R685" t="s">
        <v>58</v>
      </c>
      <c r="S685">
        <v>1</v>
      </c>
      <c r="T685" t="s">
        <v>44</v>
      </c>
      <c r="U685" t="s">
        <v>44</v>
      </c>
      <c r="V685">
        <v>18</v>
      </c>
      <c r="W685" t="s">
        <v>45</v>
      </c>
      <c r="X685">
        <v>1</v>
      </c>
      <c r="Y685">
        <v>3</v>
      </c>
      <c r="Z685" t="s">
        <v>61</v>
      </c>
      <c r="AA685">
        <v>1</v>
      </c>
      <c r="AB685" t="s">
        <v>48</v>
      </c>
      <c r="AC685">
        <v>0</v>
      </c>
      <c r="AD685" t="s">
        <v>48</v>
      </c>
      <c r="AE685">
        <v>0</v>
      </c>
      <c r="AF685" t="s">
        <v>49</v>
      </c>
    </row>
    <row r="686" spans="1:32" x14ac:dyDescent="0.25">
      <c r="A686">
        <v>40</v>
      </c>
      <c r="B686" t="s">
        <v>32</v>
      </c>
      <c r="C686" t="s">
        <v>50</v>
      </c>
      <c r="D686" t="s">
        <v>34</v>
      </c>
      <c r="E686" t="s">
        <v>35</v>
      </c>
      <c r="F686">
        <v>10</v>
      </c>
      <c r="G686" t="s">
        <v>53</v>
      </c>
      <c r="H686">
        <v>1</v>
      </c>
      <c r="I686" t="s">
        <v>37</v>
      </c>
      <c r="J686" t="s">
        <v>54</v>
      </c>
      <c r="K686">
        <v>2</v>
      </c>
      <c r="L686" t="s">
        <v>55</v>
      </c>
      <c r="M686">
        <v>3</v>
      </c>
      <c r="N686" t="s">
        <v>68</v>
      </c>
      <c r="O686" t="s">
        <v>41</v>
      </c>
      <c r="P686">
        <v>2</v>
      </c>
      <c r="Q686" t="s">
        <v>57</v>
      </c>
      <c r="R686" t="s">
        <v>67</v>
      </c>
      <c r="S686">
        <v>2</v>
      </c>
      <c r="T686" t="s">
        <v>44</v>
      </c>
      <c r="U686" t="s">
        <v>59</v>
      </c>
      <c r="V686">
        <v>12</v>
      </c>
      <c r="W686" t="s">
        <v>45</v>
      </c>
      <c r="X686">
        <v>11</v>
      </c>
      <c r="Y686">
        <v>2</v>
      </c>
      <c r="Z686" t="s">
        <v>46</v>
      </c>
      <c r="AA686">
        <v>1</v>
      </c>
      <c r="AB686" t="s">
        <v>48</v>
      </c>
      <c r="AC686">
        <v>0</v>
      </c>
      <c r="AD686" t="s">
        <v>48</v>
      </c>
      <c r="AE686">
        <v>0</v>
      </c>
      <c r="AF686" t="s">
        <v>49</v>
      </c>
    </row>
    <row r="687" spans="1:32" x14ac:dyDescent="0.25">
      <c r="A687">
        <v>26</v>
      </c>
      <c r="B687" t="s">
        <v>63</v>
      </c>
      <c r="C687" t="s">
        <v>50</v>
      </c>
      <c r="D687" t="s">
        <v>51</v>
      </c>
      <c r="E687" t="s">
        <v>35</v>
      </c>
      <c r="F687">
        <v>1</v>
      </c>
      <c r="G687" t="s">
        <v>36</v>
      </c>
      <c r="H687">
        <v>3</v>
      </c>
      <c r="I687" t="s">
        <v>42</v>
      </c>
      <c r="J687" t="s">
        <v>54</v>
      </c>
      <c r="K687">
        <v>2</v>
      </c>
      <c r="L687" t="s">
        <v>55</v>
      </c>
      <c r="M687">
        <v>2</v>
      </c>
      <c r="N687" t="s">
        <v>40</v>
      </c>
      <c r="O687" t="s">
        <v>41</v>
      </c>
      <c r="P687">
        <v>1</v>
      </c>
      <c r="Q687" t="s">
        <v>57</v>
      </c>
      <c r="R687" t="s">
        <v>43</v>
      </c>
      <c r="S687">
        <v>1</v>
      </c>
      <c r="T687" t="s">
        <v>44</v>
      </c>
      <c r="U687" t="s">
        <v>59</v>
      </c>
      <c r="V687">
        <v>12</v>
      </c>
      <c r="W687" t="s">
        <v>45</v>
      </c>
      <c r="X687">
        <v>7</v>
      </c>
      <c r="Y687">
        <v>3</v>
      </c>
      <c r="Z687" t="s">
        <v>61</v>
      </c>
      <c r="AA687">
        <v>7</v>
      </c>
      <c r="AB687" t="s">
        <v>47</v>
      </c>
      <c r="AC687">
        <v>7</v>
      </c>
      <c r="AD687" t="s">
        <v>47</v>
      </c>
      <c r="AE687">
        <v>0</v>
      </c>
      <c r="AF687" t="s">
        <v>49</v>
      </c>
    </row>
    <row r="688" spans="1:32" x14ac:dyDescent="0.25">
      <c r="A688">
        <v>41</v>
      </c>
      <c r="B688" t="s">
        <v>32</v>
      </c>
      <c r="C688" t="s">
        <v>50</v>
      </c>
      <c r="D688" t="s">
        <v>34</v>
      </c>
      <c r="E688" t="s">
        <v>52</v>
      </c>
      <c r="F688">
        <v>6</v>
      </c>
      <c r="G688" t="s">
        <v>53</v>
      </c>
      <c r="H688">
        <v>4</v>
      </c>
      <c r="I688" t="s">
        <v>42</v>
      </c>
      <c r="J688" t="s">
        <v>54</v>
      </c>
      <c r="K688">
        <v>3</v>
      </c>
      <c r="L688" t="s">
        <v>39</v>
      </c>
      <c r="M688">
        <v>1</v>
      </c>
      <c r="N688" t="s">
        <v>40</v>
      </c>
      <c r="O688" t="s">
        <v>62</v>
      </c>
      <c r="P688">
        <v>1</v>
      </c>
      <c r="Q688" t="s">
        <v>57</v>
      </c>
      <c r="R688" t="s">
        <v>43</v>
      </c>
      <c r="S688">
        <v>2</v>
      </c>
      <c r="T688" t="s">
        <v>44</v>
      </c>
      <c r="U688" t="s">
        <v>44</v>
      </c>
      <c r="V688">
        <v>13</v>
      </c>
      <c r="W688" t="s">
        <v>45</v>
      </c>
      <c r="X688">
        <v>20</v>
      </c>
      <c r="Y688">
        <v>3</v>
      </c>
      <c r="Z688" t="s">
        <v>61</v>
      </c>
      <c r="AA688">
        <v>18</v>
      </c>
      <c r="AB688" t="s">
        <v>74</v>
      </c>
      <c r="AC688">
        <v>13</v>
      </c>
      <c r="AD688" t="s">
        <v>74</v>
      </c>
      <c r="AE688">
        <v>2</v>
      </c>
      <c r="AF688" t="s">
        <v>49</v>
      </c>
    </row>
    <row r="689" spans="1:32" x14ac:dyDescent="0.25">
      <c r="A689">
        <v>36</v>
      </c>
      <c r="B689" t="s">
        <v>32</v>
      </c>
      <c r="C689" t="s">
        <v>50</v>
      </c>
      <c r="D689" t="s">
        <v>34</v>
      </c>
      <c r="E689" t="s">
        <v>52</v>
      </c>
      <c r="F689">
        <v>2</v>
      </c>
      <c r="G689" t="s">
        <v>36</v>
      </c>
      <c r="H689">
        <v>3</v>
      </c>
      <c r="I689" t="s">
        <v>42</v>
      </c>
      <c r="J689" t="s">
        <v>54</v>
      </c>
      <c r="K689">
        <v>3</v>
      </c>
      <c r="L689" t="s">
        <v>39</v>
      </c>
      <c r="M689">
        <v>1</v>
      </c>
      <c r="N689" t="s">
        <v>40</v>
      </c>
      <c r="O689" t="s">
        <v>62</v>
      </c>
      <c r="P689">
        <v>3</v>
      </c>
      <c r="Q689" t="s">
        <v>42</v>
      </c>
      <c r="R689" t="s">
        <v>43</v>
      </c>
      <c r="S689">
        <v>4</v>
      </c>
      <c r="T689" t="s">
        <v>44</v>
      </c>
      <c r="U689" t="s">
        <v>59</v>
      </c>
      <c r="V689">
        <v>21</v>
      </c>
      <c r="W689" t="s">
        <v>60</v>
      </c>
      <c r="X689">
        <v>16</v>
      </c>
      <c r="Y689">
        <v>3</v>
      </c>
      <c r="Z689" t="s">
        <v>61</v>
      </c>
      <c r="AA689">
        <v>11</v>
      </c>
      <c r="AB689" t="s">
        <v>74</v>
      </c>
      <c r="AC689">
        <v>8</v>
      </c>
      <c r="AD689" t="s">
        <v>47</v>
      </c>
      <c r="AE689">
        <v>3</v>
      </c>
      <c r="AF689" t="s">
        <v>49</v>
      </c>
    </row>
    <row r="690" spans="1:32" x14ac:dyDescent="0.25">
      <c r="A690">
        <v>19</v>
      </c>
      <c r="B690" t="s">
        <v>63</v>
      </c>
      <c r="C690" t="s">
        <v>33</v>
      </c>
      <c r="D690" t="s">
        <v>34</v>
      </c>
      <c r="E690" t="s">
        <v>35</v>
      </c>
      <c r="F690">
        <v>21</v>
      </c>
      <c r="G690" t="s">
        <v>66</v>
      </c>
      <c r="H690">
        <v>4</v>
      </c>
      <c r="I690" t="s">
        <v>42</v>
      </c>
      <c r="J690" t="s">
        <v>54</v>
      </c>
      <c r="K690">
        <v>2</v>
      </c>
      <c r="L690" t="s">
        <v>55</v>
      </c>
      <c r="M690">
        <v>1</v>
      </c>
      <c r="N690" t="s">
        <v>40</v>
      </c>
      <c r="O690" t="s">
        <v>75</v>
      </c>
      <c r="P690">
        <v>2</v>
      </c>
      <c r="Q690" t="s">
        <v>57</v>
      </c>
      <c r="R690" t="s">
        <v>43</v>
      </c>
      <c r="S690">
        <v>1</v>
      </c>
      <c r="T690" t="s">
        <v>44</v>
      </c>
      <c r="U690" t="s">
        <v>44</v>
      </c>
      <c r="V690">
        <v>13</v>
      </c>
      <c r="W690" t="s">
        <v>45</v>
      </c>
      <c r="X690">
        <v>1</v>
      </c>
      <c r="Y690">
        <v>4</v>
      </c>
      <c r="Z690" t="s">
        <v>61</v>
      </c>
      <c r="AA690">
        <v>1</v>
      </c>
      <c r="AB690" t="s">
        <v>48</v>
      </c>
      <c r="AC690">
        <v>0</v>
      </c>
      <c r="AD690" t="s">
        <v>48</v>
      </c>
      <c r="AE690">
        <v>0</v>
      </c>
      <c r="AF690" t="s">
        <v>49</v>
      </c>
    </row>
    <row r="691" spans="1:32" x14ac:dyDescent="0.25">
      <c r="A691">
        <v>20</v>
      </c>
      <c r="B691" t="s">
        <v>63</v>
      </c>
      <c r="C691" t="s">
        <v>33</v>
      </c>
      <c r="D691" t="s">
        <v>34</v>
      </c>
      <c r="E691" t="s">
        <v>52</v>
      </c>
      <c r="F691">
        <v>4</v>
      </c>
      <c r="G691" t="s">
        <v>36</v>
      </c>
      <c r="H691">
        <v>1</v>
      </c>
      <c r="I691" t="s">
        <v>37</v>
      </c>
      <c r="J691" t="s">
        <v>54</v>
      </c>
      <c r="K691">
        <v>3</v>
      </c>
      <c r="L691" t="s">
        <v>39</v>
      </c>
      <c r="M691">
        <v>1</v>
      </c>
      <c r="N691" t="s">
        <v>40</v>
      </c>
      <c r="O691" t="s">
        <v>62</v>
      </c>
      <c r="P691">
        <v>1</v>
      </c>
      <c r="Q691" t="s">
        <v>57</v>
      </c>
      <c r="R691" t="s">
        <v>43</v>
      </c>
      <c r="S691">
        <v>1</v>
      </c>
      <c r="T691" t="s">
        <v>44</v>
      </c>
      <c r="U691" t="s">
        <v>59</v>
      </c>
      <c r="V691">
        <v>19</v>
      </c>
      <c r="W691" t="s">
        <v>45</v>
      </c>
      <c r="X691">
        <v>1</v>
      </c>
      <c r="Y691">
        <v>3</v>
      </c>
      <c r="Z691" t="s">
        <v>61</v>
      </c>
      <c r="AA691">
        <v>1</v>
      </c>
      <c r="AB691" t="s">
        <v>48</v>
      </c>
      <c r="AC691">
        <v>0</v>
      </c>
      <c r="AD691" t="s">
        <v>48</v>
      </c>
      <c r="AE691">
        <v>0</v>
      </c>
      <c r="AF691" t="s">
        <v>49</v>
      </c>
    </row>
    <row r="692" spans="1:32" x14ac:dyDescent="0.25">
      <c r="A692">
        <v>31</v>
      </c>
      <c r="B692" t="s">
        <v>32</v>
      </c>
      <c r="C692" t="s">
        <v>50</v>
      </c>
      <c r="D692" t="s">
        <v>34</v>
      </c>
      <c r="E692" t="s">
        <v>52</v>
      </c>
      <c r="F692">
        <v>12</v>
      </c>
      <c r="G692" t="s">
        <v>53</v>
      </c>
      <c r="H692">
        <v>4</v>
      </c>
      <c r="I692" t="s">
        <v>42</v>
      </c>
      <c r="J692" t="s">
        <v>38</v>
      </c>
      <c r="K692">
        <v>3</v>
      </c>
      <c r="L692" t="s">
        <v>39</v>
      </c>
      <c r="M692">
        <v>2</v>
      </c>
      <c r="N692" t="s">
        <v>40</v>
      </c>
      <c r="O692" t="s">
        <v>70</v>
      </c>
      <c r="P692">
        <v>4</v>
      </c>
      <c r="Q692" t="s">
        <v>42</v>
      </c>
      <c r="R692" t="s">
        <v>58</v>
      </c>
      <c r="S692">
        <v>0</v>
      </c>
      <c r="T692" t="s">
        <v>44</v>
      </c>
      <c r="U692" t="s">
        <v>44</v>
      </c>
      <c r="V692">
        <v>11</v>
      </c>
      <c r="W692" t="s">
        <v>45</v>
      </c>
      <c r="X692">
        <v>10</v>
      </c>
      <c r="Y692">
        <v>1</v>
      </c>
      <c r="Z692" t="s">
        <v>46</v>
      </c>
      <c r="AA692">
        <v>9</v>
      </c>
      <c r="AB692" t="s">
        <v>47</v>
      </c>
      <c r="AC692">
        <v>7</v>
      </c>
      <c r="AD692" t="s">
        <v>47</v>
      </c>
      <c r="AE692">
        <v>8</v>
      </c>
      <c r="AF692" t="s">
        <v>71</v>
      </c>
    </row>
    <row r="693" spans="1:32" x14ac:dyDescent="0.25">
      <c r="A693">
        <v>40</v>
      </c>
      <c r="B693" t="s">
        <v>32</v>
      </c>
      <c r="C693" t="s">
        <v>50</v>
      </c>
      <c r="D693" t="s">
        <v>51</v>
      </c>
      <c r="E693" t="s">
        <v>52</v>
      </c>
      <c r="F693">
        <v>9</v>
      </c>
      <c r="G693" t="s">
        <v>53</v>
      </c>
      <c r="H693">
        <v>4</v>
      </c>
      <c r="I693" t="s">
        <v>42</v>
      </c>
      <c r="J693" t="s">
        <v>54</v>
      </c>
      <c r="K693">
        <v>3</v>
      </c>
      <c r="L693" t="s">
        <v>39</v>
      </c>
      <c r="M693">
        <v>1</v>
      </c>
      <c r="N693" t="s">
        <v>40</v>
      </c>
      <c r="O693" t="s">
        <v>56</v>
      </c>
      <c r="P693">
        <v>2</v>
      </c>
      <c r="Q693" t="s">
        <v>57</v>
      </c>
      <c r="R693" t="s">
        <v>67</v>
      </c>
      <c r="S693">
        <v>8</v>
      </c>
      <c r="T693" t="s">
        <v>44</v>
      </c>
      <c r="U693" t="s">
        <v>44</v>
      </c>
      <c r="V693">
        <v>14</v>
      </c>
      <c r="W693" t="s">
        <v>45</v>
      </c>
      <c r="X693">
        <v>3</v>
      </c>
      <c r="Y693">
        <v>3</v>
      </c>
      <c r="Z693" t="s">
        <v>61</v>
      </c>
      <c r="AA693">
        <v>1</v>
      </c>
      <c r="AB693" t="s">
        <v>48</v>
      </c>
      <c r="AC693">
        <v>1</v>
      </c>
      <c r="AD693" t="s">
        <v>48</v>
      </c>
      <c r="AE693">
        <v>0</v>
      </c>
      <c r="AF693" t="s">
        <v>49</v>
      </c>
    </row>
    <row r="694" spans="1:32" x14ac:dyDescent="0.25">
      <c r="A694">
        <v>32</v>
      </c>
      <c r="B694" t="s">
        <v>32</v>
      </c>
      <c r="C694" t="s">
        <v>50</v>
      </c>
      <c r="D694" t="s">
        <v>34</v>
      </c>
      <c r="E694" t="s">
        <v>52</v>
      </c>
      <c r="F694">
        <v>3</v>
      </c>
      <c r="G694" t="s">
        <v>36</v>
      </c>
      <c r="H694">
        <v>3</v>
      </c>
      <c r="I694" t="s">
        <v>42</v>
      </c>
      <c r="J694" t="s">
        <v>38</v>
      </c>
      <c r="K694">
        <v>3</v>
      </c>
      <c r="L694" t="s">
        <v>39</v>
      </c>
      <c r="M694">
        <v>2</v>
      </c>
      <c r="N694" t="s">
        <v>40</v>
      </c>
      <c r="O694" t="s">
        <v>69</v>
      </c>
      <c r="P694">
        <v>1</v>
      </c>
      <c r="Q694" t="s">
        <v>57</v>
      </c>
      <c r="R694" t="s">
        <v>58</v>
      </c>
      <c r="S694">
        <v>1</v>
      </c>
      <c r="T694" t="s">
        <v>44</v>
      </c>
      <c r="U694" t="s">
        <v>59</v>
      </c>
      <c r="V694">
        <v>12</v>
      </c>
      <c r="W694" t="s">
        <v>45</v>
      </c>
      <c r="X694">
        <v>8</v>
      </c>
      <c r="Y694">
        <v>4</v>
      </c>
      <c r="Z694" t="s">
        <v>61</v>
      </c>
      <c r="AA694">
        <v>8</v>
      </c>
      <c r="AB694" t="s">
        <v>47</v>
      </c>
      <c r="AC694">
        <v>7</v>
      </c>
      <c r="AD694" t="s">
        <v>47</v>
      </c>
      <c r="AE694">
        <v>6</v>
      </c>
      <c r="AF694" t="s">
        <v>71</v>
      </c>
    </row>
    <row r="695" spans="1:32" x14ac:dyDescent="0.25">
      <c r="A695">
        <v>36</v>
      </c>
      <c r="B695" t="s">
        <v>32</v>
      </c>
      <c r="C695" t="s">
        <v>33</v>
      </c>
      <c r="D695" t="s">
        <v>34</v>
      </c>
      <c r="E695" t="s">
        <v>35</v>
      </c>
      <c r="F695">
        <v>3</v>
      </c>
      <c r="G695" t="s">
        <v>36</v>
      </c>
      <c r="H695">
        <v>3</v>
      </c>
      <c r="I695" t="s">
        <v>42</v>
      </c>
      <c r="J695" t="s">
        <v>54</v>
      </c>
      <c r="K695">
        <v>2</v>
      </c>
      <c r="L695" t="s">
        <v>55</v>
      </c>
      <c r="M695">
        <v>3</v>
      </c>
      <c r="N695" t="s">
        <v>68</v>
      </c>
      <c r="O695" t="s">
        <v>41</v>
      </c>
      <c r="P695">
        <v>4</v>
      </c>
      <c r="Q695" t="s">
        <v>42</v>
      </c>
      <c r="R695" t="s">
        <v>58</v>
      </c>
      <c r="S695">
        <v>1</v>
      </c>
      <c r="T695" t="s">
        <v>44</v>
      </c>
      <c r="U695" t="s">
        <v>44</v>
      </c>
      <c r="V695">
        <v>11</v>
      </c>
      <c r="W695" t="s">
        <v>45</v>
      </c>
      <c r="X695">
        <v>16</v>
      </c>
      <c r="Y695">
        <v>3</v>
      </c>
      <c r="Z695" t="s">
        <v>61</v>
      </c>
      <c r="AA695">
        <v>16</v>
      </c>
      <c r="AB695" t="s">
        <v>74</v>
      </c>
      <c r="AC695">
        <v>7</v>
      </c>
      <c r="AD695" t="s">
        <v>47</v>
      </c>
      <c r="AE695">
        <v>3</v>
      </c>
      <c r="AF695" t="s">
        <v>49</v>
      </c>
    </row>
    <row r="696" spans="1:32" x14ac:dyDescent="0.25">
      <c r="A696">
        <v>33</v>
      </c>
      <c r="B696" t="s">
        <v>32</v>
      </c>
      <c r="C696" t="s">
        <v>50</v>
      </c>
      <c r="D696" t="s">
        <v>34</v>
      </c>
      <c r="E696" t="s">
        <v>52</v>
      </c>
      <c r="F696">
        <v>1</v>
      </c>
      <c r="G696" t="s">
        <v>36</v>
      </c>
      <c r="H696">
        <v>2</v>
      </c>
      <c r="I696" t="s">
        <v>37</v>
      </c>
      <c r="J696" t="s">
        <v>38</v>
      </c>
      <c r="K696">
        <v>2</v>
      </c>
      <c r="L696" t="s">
        <v>55</v>
      </c>
      <c r="M696">
        <v>2</v>
      </c>
      <c r="N696" t="s">
        <v>40</v>
      </c>
      <c r="O696" t="s">
        <v>70</v>
      </c>
      <c r="P696">
        <v>4</v>
      </c>
      <c r="Q696" t="s">
        <v>42</v>
      </c>
      <c r="R696" t="s">
        <v>43</v>
      </c>
      <c r="S696">
        <v>0</v>
      </c>
      <c r="T696" t="s">
        <v>44</v>
      </c>
      <c r="U696" t="s">
        <v>59</v>
      </c>
      <c r="V696">
        <v>14</v>
      </c>
      <c r="W696" t="s">
        <v>45</v>
      </c>
      <c r="X696">
        <v>6</v>
      </c>
      <c r="Y696">
        <v>3</v>
      </c>
      <c r="Z696" t="s">
        <v>61</v>
      </c>
      <c r="AA696">
        <v>5</v>
      </c>
      <c r="AB696" t="s">
        <v>47</v>
      </c>
      <c r="AC696">
        <v>0</v>
      </c>
      <c r="AD696" t="s">
        <v>48</v>
      </c>
      <c r="AE696">
        <v>1</v>
      </c>
      <c r="AF696" t="s">
        <v>49</v>
      </c>
    </row>
    <row r="697" spans="1:32" x14ac:dyDescent="0.25">
      <c r="A697">
        <v>37</v>
      </c>
      <c r="B697" t="s">
        <v>32</v>
      </c>
      <c r="C697" t="s">
        <v>33</v>
      </c>
      <c r="D697" t="s">
        <v>34</v>
      </c>
      <c r="E697" t="s">
        <v>35</v>
      </c>
      <c r="F697">
        <v>1</v>
      </c>
      <c r="G697" t="s">
        <v>36</v>
      </c>
      <c r="H697">
        <v>1</v>
      </c>
      <c r="I697" t="s">
        <v>37</v>
      </c>
      <c r="J697" t="s">
        <v>54</v>
      </c>
      <c r="K697">
        <v>2</v>
      </c>
      <c r="L697" t="s">
        <v>55</v>
      </c>
      <c r="M697">
        <v>3</v>
      </c>
      <c r="N697" t="s">
        <v>68</v>
      </c>
      <c r="O697" t="s">
        <v>41</v>
      </c>
      <c r="P697">
        <v>3</v>
      </c>
      <c r="Q697" t="s">
        <v>42</v>
      </c>
      <c r="R697" t="s">
        <v>58</v>
      </c>
      <c r="S697">
        <v>5</v>
      </c>
      <c r="T697" t="s">
        <v>44</v>
      </c>
      <c r="U697" t="s">
        <v>59</v>
      </c>
      <c r="V697">
        <v>11</v>
      </c>
      <c r="W697" t="s">
        <v>45</v>
      </c>
      <c r="X697">
        <v>17</v>
      </c>
      <c r="Y697">
        <v>1</v>
      </c>
      <c r="Z697" t="s">
        <v>46</v>
      </c>
      <c r="AA697">
        <v>14</v>
      </c>
      <c r="AB697" t="s">
        <v>74</v>
      </c>
      <c r="AC697">
        <v>1</v>
      </c>
      <c r="AD697" t="s">
        <v>48</v>
      </c>
      <c r="AE697">
        <v>11</v>
      </c>
      <c r="AF697" t="s">
        <v>71</v>
      </c>
    </row>
    <row r="698" spans="1:32" x14ac:dyDescent="0.25">
      <c r="A698">
        <v>45</v>
      </c>
      <c r="B698" t="s">
        <v>32</v>
      </c>
      <c r="C698" t="s">
        <v>50</v>
      </c>
      <c r="D698" t="s">
        <v>34</v>
      </c>
      <c r="E698" t="s">
        <v>52</v>
      </c>
      <c r="F698">
        <v>4</v>
      </c>
      <c r="G698" t="s">
        <v>36</v>
      </c>
      <c r="H698">
        <v>3</v>
      </c>
      <c r="I698" t="s">
        <v>42</v>
      </c>
      <c r="J698" t="s">
        <v>54</v>
      </c>
      <c r="K698">
        <v>3</v>
      </c>
      <c r="L698" t="s">
        <v>39</v>
      </c>
      <c r="M698">
        <v>2</v>
      </c>
      <c r="N698" t="s">
        <v>40</v>
      </c>
      <c r="O698" t="s">
        <v>62</v>
      </c>
      <c r="P698">
        <v>2</v>
      </c>
      <c r="Q698" t="s">
        <v>57</v>
      </c>
      <c r="R698" t="s">
        <v>58</v>
      </c>
      <c r="S698">
        <v>1</v>
      </c>
      <c r="T698" t="s">
        <v>44</v>
      </c>
      <c r="U698" t="s">
        <v>59</v>
      </c>
      <c r="V698">
        <v>12</v>
      </c>
      <c r="W698" t="s">
        <v>45</v>
      </c>
      <c r="X698">
        <v>9</v>
      </c>
      <c r="Y698">
        <v>2</v>
      </c>
      <c r="Z698" t="s">
        <v>46</v>
      </c>
      <c r="AA698">
        <v>9</v>
      </c>
      <c r="AB698" t="s">
        <v>47</v>
      </c>
      <c r="AC698">
        <v>7</v>
      </c>
      <c r="AD698" t="s">
        <v>47</v>
      </c>
      <c r="AE698">
        <v>0</v>
      </c>
      <c r="AF698" t="s">
        <v>49</v>
      </c>
    </row>
    <row r="699" spans="1:32" x14ac:dyDescent="0.25">
      <c r="A699">
        <v>29</v>
      </c>
      <c r="B699" t="s">
        <v>63</v>
      </c>
      <c r="C699" t="s">
        <v>50</v>
      </c>
      <c r="D699" t="s">
        <v>51</v>
      </c>
      <c r="E699" t="s">
        <v>35</v>
      </c>
      <c r="F699">
        <v>20</v>
      </c>
      <c r="G699" t="s">
        <v>66</v>
      </c>
      <c r="H699">
        <v>3</v>
      </c>
      <c r="I699" t="s">
        <v>42</v>
      </c>
      <c r="J699" t="s">
        <v>38</v>
      </c>
      <c r="K699">
        <v>3</v>
      </c>
      <c r="L699" t="s">
        <v>39</v>
      </c>
      <c r="M699">
        <v>1</v>
      </c>
      <c r="N699" t="s">
        <v>40</v>
      </c>
      <c r="O699" t="s">
        <v>75</v>
      </c>
      <c r="P699">
        <v>4</v>
      </c>
      <c r="Q699" t="s">
        <v>42</v>
      </c>
      <c r="R699" t="s">
        <v>58</v>
      </c>
      <c r="S699">
        <v>1</v>
      </c>
      <c r="T699" t="s">
        <v>44</v>
      </c>
      <c r="U699" t="s">
        <v>59</v>
      </c>
      <c r="V699">
        <v>15</v>
      </c>
      <c r="W699" t="s">
        <v>45</v>
      </c>
      <c r="X699">
        <v>3</v>
      </c>
      <c r="Y699">
        <v>3</v>
      </c>
      <c r="Z699" t="s">
        <v>61</v>
      </c>
      <c r="AA699">
        <v>3</v>
      </c>
      <c r="AB699" t="s">
        <v>48</v>
      </c>
      <c r="AC699">
        <v>1</v>
      </c>
      <c r="AD699" t="s">
        <v>48</v>
      </c>
      <c r="AE699">
        <v>0</v>
      </c>
      <c r="AF699" t="s">
        <v>49</v>
      </c>
    </row>
    <row r="700" spans="1:32" x14ac:dyDescent="0.25">
      <c r="A700">
        <v>35</v>
      </c>
      <c r="B700" t="s">
        <v>32</v>
      </c>
      <c r="C700" t="s">
        <v>50</v>
      </c>
      <c r="D700" t="s">
        <v>34</v>
      </c>
      <c r="E700" t="s">
        <v>35</v>
      </c>
      <c r="F700">
        <v>18</v>
      </c>
      <c r="G700" t="s">
        <v>66</v>
      </c>
      <c r="H700">
        <v>3</v>
      </c>
      <c r="I700" t="s">
        <v>42</v>
      </c>
      <c r="J700" t="s">
        <v>38</v>
      </c>
      <c r="K700">
        <v>3</v>
      </c>
      <c r="L700" t="s">
        <v>39</v>
      </c>
      <c r="M700">
        <v>2</v>
      </c>
      <c r="N700" t="s">
        <v>40</v>
      </c>
      <c r="O700" t="s">
        <v>41</v>
      </c>
      <c r="P700">
        <v>3</v>
      </c>
      <c r="Q700" t="s">
        <v>42</v>
      </c>
      <c r="R700" t="s">
        <v>58</v>
      </c>
      <c r="S700">
        <v>1</v>
      </c>
      <c r="T700" t="s">
        <v>44</v>
      </c>
      <c r="U700" t="s">
        <v>59</v>
      </c>
      <c r="V700">
        <v>16</v>
      </c>
      <c r="W700" t="s">
        <v>45</v>
      </c>
      <c r="X700">
        <v>5</v>
      </c>
      <c r="Y700">
        <v>3</v>
      </c>
      <c r="Z700" t="s">
        <v>61</v>
      </c>
      <c r="AA700">
        <v>5</v>
      </c>
      <c r="AB700" t="s">
        <v>47</v>
      </c>
      <c r="AC700">
        <v>2</v>
      </c>
      <c r="AD700" t="s">
        <v>48</v>
      </c>
      <c r="AE700">
        <v>1</v>
      </c>
      <c r="AF700" t="s">
        <v>49</v>
      </c>
    </row>
    <row r="701" spans="1:32" x14ac:dyDescent="0.25">
      <c r="A701">
        <v>52</v>
      </c>
      <c r="B701" t="s">
        <v>64</v>
      </c>
      <c r="C701" t="s">
        <v>50</v>
      </c>
      <c r="D701" t="s">
        <v>34</v>
      </c>
      <c r="E701" t="s">
        <v>52</v>
      </c>
      <c r="F701">
        <v>1</v>
      </c>
      <c r="G701" t="s">
        <v>36</v>
      </c>
      <c r="H701">
        <v>4</v>
      </c>
      <c r="I701" t="s">
        <v>42</v>
      </c>
      <c r="J701" t="s">
        <v>54</v>
      </c>
      <c r="K701">
        <v>3</v>
      </c>
      <c r="L701" t="s">
        <v>39</v>
      </c>
      <c r="M701">
        <v>4</v>
      </c>
      <c r="N701" t="s">
        <v>72</v>
      </c>
      <c r="O701" t="s">
        <v>73</v>
      </c>
      <c r="P701">
        <v>4</v>
      </c>
      <c r="Q701" t="s">
        <v>42</v>
      </c>
      <c r="R701" t="s">
        <v>58</v>
      </c>
      <c r="S701">
        <v>2</v>
      </c>
      <c r="T701" t="s">
        <v>44</v>
      </c>
      <c r="U701" t="s">
        <v>59</v>
      </c>
      <c r="V701">
        <v>15</v>
      </c>
      <c r="W701" t="s">
        <v>45</v>
      </c>
      <c r="X701">
        <v>26</v>
      </c>
      <c r="Y701">
        <v>2</v>
      </c>
      <c r="Z701" t="s">
        <v>46</v>
      </c>
      <c r="AA701">
        <v>9</v>
      </c>
      <c r="AB701" t="s">
        <v>47</v>
      </c>
      <c r="AC701">
        <v>8</v>
      </c>
      <c r="AD701" t="s">
        <v>47</v>
      </c>
      <c r="AE701">
        <v>7</v>
      </c>
      <c r="AF701" t="s">
        <v>71</v>
      </c>
    </row>
    <row r="702" spans="1:32" x14ac:dyDescent="0.25">
      <c r="A702">
        <v>58</v>
      </c>
      <c r="B702" t="s">
        <v>64</v>
      </c>
      <c r="C702" t="s">
        <v>33</v>
      </c>
      <c r="D702" t="s">
        <v>34</v>
      </c>
      <c r="E702" t="s">
        <v>52</v>
      </c>
      <c r="F702">
        <v>2</v>
      </c>
      <c r="G702" t="s">
        <v>36</v>
      </c>
      <c r="H702">
        <v>4</v>
      </c>
      <c r="I702" t="s">
        <v>42</v>
      </c>
      <c r="J702" t="s">
        <v>54</v>
      </c>
      <c r="K702">
        <v>3</v>
      </c>
      <c r="L702" t="s">
        <v>39</v>
      </c>
      <c r="M702">
        <v>1</v>
      </c>
      <c r="N702" t="s">
        <v>40</v>
      </c>
      <c r="O702" t="s">
        <v>56</v>
      </c>
      <c r="P702">
        <v>3</v>
      </c>
      <c r="Q702" t="s">
        <v>42</v>
      </c>
      <c r="R702" t="s">
        <v>43</v>
      </c>
      <c r="S702">
        <v>4</v>
      </c>
      <c r="T702" t="s">
        <v>44</v>
      </c>
      <c r="U702" t="s">
        <v>59</v>
      </c>
      <c r="V702">
        <v>24</v>
      </c>
      <c r="W702" t="s">
        <v>60</v>
      </c>
      <c r="X702">
        <v>7</v>
      </c>
      <c r="Y702">
        <v>3</v>
      </c>
      <c r="Z702" t="s">
        <v>61</v>
      </c>
      <c r="AA702">
        <v>1</v>
      </c>
      <c r="AB702" t="s">
        <v>48</v>
      </c>
      <c r="AC702">
        <v>0</v>
      </c>
      <c r="AD702" t="s">
        <v>48</v>
      </c>
      <c r="AE702">
        <v>0</v>
      </c>
      <c r="AF702" t="s">
        <v>49</v>
      </c>
    </row>
    <row r="703" spans="1:32" x14ac:dyDescent="0.25">
      <c r="A703">
        <v>53</v>
      </c>
      <c r="B703" t="s">
        <v>64</v>
      </c>
      <c r="C703" t="s">
        <v>50</v>
      </c>
      <c r="D703" t="s">
        <v>34</v>
      </c>
      <c r="E703" t="s">
        <v>35</v>
      </c>
      <c r="F703">
        <v>2</v>
      </c>
      <c r="G703" t="s">
        <v>36</v>
      </c>
      <c r="H703">
        <v>3</v>
      </c>
      <c r="I703" t="s">
        <v>42</v>
      </c>
      <c r="J703" t="s">
        <v>54</v>
      </c>
      <c r="K703">
        <v>3</v>
      </c>
      <c r="L703" t="s">
        <v>39</v>
      </c>
      <c r="M703">
        <v>4</v>
      </c>
      <c r="N703" t="s">
        <v>72</v>
      </c>
      <c r="O703" t="s">
        <v>73</v>
      </c>
      <c r="P703">
        <v>3</v>
      </c>
      <c r="Q703" t="s">
        <v>42</v>
      </c>
      <c r="R703" t="s">
        <v>67</v>
      </c>
      <c r="S703">
        <v>6</v>
      </c>
      <c r="T703" t="s">
        <v>44</v>
      </c>
      <c r="U703" t="s">
        <v>59</v>
      </c>
      <c r="V703">
        <v>13</v>
      </c>
      <c r="W703" t="s">
        <v>45</v>
      </c>
      <c r="X703">
        <v>22</v>
      </c>
      <c r="Y703">
        <v>4</v>
      </c>
      <c r="Z703" t="s">
        <v>61</v>
      </c>
      <c r="AA703">
        <v>17</v>
      </c>
      <c r="AB703" t="s">
        <v>74</v>
      </c>
      <c r="AC703">
        <v>13</v>
      </c>
      <c r="AD703" t="s">
        <v>74</v>
      </c>
      <c r="AE703">
        <v>15</v>
      </c>
      <c r="AF703" t="s">
        <v>71</v>
      </c>
    </row>
    <row r="704" spans="1:32" x14ac:dyDescent="0.25">
      <c r="A704">
        <v>30</v>
      </c>
      <c r="B704" t="s">
        <v>32</v>
      </c>
      <c r="C704" t="s">
        <v>50</v>
      </c>
      <c r="D704" t="s">
        <v>34</v>
      </c>
      <c r="E704" t="s">
        <v>35</v>
      </c>
      <c r="F704">
        <v>8</v>
      </c>
      <c r="G704" t="s">
        <v>53</v>
      </c>
      <c r="H704">
        <v>3</v>
      </c>
      <c r="I704" t="s">
        <v>42</v>
      </c>
      <c r="J704" t="s">
        <v>54</v>
      </c>
      <c r="K704">
        <v>3</v>
      </c>
      <c r="L704" t="s">
        <v>39</v>
      </c>
      <c r="M704">
        <v>3</v>
      </c>
      <c r="N704" t="s">
        <v>68</v>
      </c>
      <c r="O704" t="s">
        <v>41</v>
      </c>
      <c r="P704">
        <v>3</v>
      </c>
      <c r="Q704" t="s">
        <v>42</v>
      </c>
      <c r="R704" t="s">
        <v>67</v>
      </c>
      <c r="S704">
        <v>5</v>
      </c>
      <c r="T704" t="s">
        <v>44</v>
      </c>
      <c r="U704" t="s">
        <v>59</v>
      </c>
      <c r="V704">
        <v>11</v>
      </c>
      <c r="W704" t="s">
        <v>45</v>
      </c>
      <c r="X704">
        <v>10</v>
      </c>
      <c r="Y704">
        <v>4</v>
      </c>
      <c r="Z704" t="s">
        <v>61</v>
      </c>
      <c r="AA704">
        <v>8</v>
      </c>
      <c r="AB704" t="s">
        <v>47</v>
      </c>
      <c r="AC704">
        <v>4</v>
      </c>
      <c r="AD704" t="s">
        <v>48</v>
      </c>
      <c r="AE704">
        <v>7</v>
      </c>
      <c r="AF704" t="s">
        <v>71</v>
      </c>
    </row>
    <row r="705" spans="1:32" x14ac:dyDescent="0.25">
      <c r="A705">
        <v>38</v>
      </c>
      <c r="B705" t="s">
        <v>32</v>
      </c>
      <c r="C705" t="s">
        <v>50</v>
      </c>
      <c r="D705" t="s">
        <v>34</v>
      </c>
      <c r="E705" t="s">
        <v>35</v>
      </c>
      <c r="F705">
        <v>10</v>
      </c>
      <c r="G705" t="s">
        <v>53</v>
      </c>
      <c r="H705">
        <v>3</v>
      </c>
      <c r="I705" t="s">
        <v>42</v>
      </c>
      <c r="J705" t="s">
        <v>38</v>
      </c>
      <c r="K705">
        <v>3</v>
      </c>
      <c r="L705" t="s">
        <v>39</v>
      </c>
      <c r="M705">
        <v>2</v>
      </c>
      <c r="N705" t="s">
        <v>40</v>
      </c>
      <c r="O705" t="s">
        <v>41</v>
      </c>
      <c r="P705">
        <v>4</v>
      </c>
      <c r="Q705" t="s">
        <v>42</v>
      </c>
      <c r="R705" t="s">
        <v>43</v>
      </c>
      <c r="S705">
        <v>1</v>
      </c>
      <c r="T705" t="s">
        <v>44</v>
      </c>
      <c r="U705" t="s">
        <v>44</v>
      </c>
      <c r="V705">
        <v>13</v>
      </c>
      <c r="W705" t="s">
        <v>45</v>
      </c>
      <c r="X705">
        <v>6</v>
      </c>
      <c r="Y705">
        <v>3</v>
      </c>
      <c r="Z705" t="s">
        <v>61</v>
      </c>
      <c r="AA705">
        <v>5</v>
      </c>
      <c r="AB705" t="s">
        <v>47</v>
      </c>
      <c r="AC705">
        <v>3</v>
      </c>
      <c r="AD705" t="s">
        <v>48</v>
      </c>
      <c r="AE705">
        <v>1</v>
      </c>
      <c r="AF705" t="s">
        <v>49</v>
      </c>
    </row>
    <row r="706" spans="1:32" x14ac:dyDescent="0.25">
      <c r="A706">
        <v>35</v>
      </c>
      <c r="B706" t="s">
        <v>32</v>
      </c>
      <c r="C706" t="s">
        <v>50</v>
      </c>
      <c r="D706" t="s">
        <v>34</v>
      </c>
      <c r="E706" t="s">
        <v>35</v>
      </c>
      <c r="F706">
        <v>3</v>
      </c>
      <c r="G706" t="s">
        <v>36</v>
      </c>
      <c r="H706">
        <v>4</v>
      </c>
      <c r="I706" t="s">
        <v>42</v>
      </c>
      <c r="J706" t="s">
        <v>54</v>
      </c>
      <c r="K706">
        <v>3</v>
      </c>
      <c r="L706" t="s">
        <v>39</v>
      </c>
      <c r="M706">
        <v>3</v>
      </c>
      <c r="N706" t="s">
        <v>68</v>
      </c>
      <c r="O706" t="s">
        <v>41</v>
      </c>
      <c r="P706">
        <v>4</v>
      </c>
      <c r="Q706" t="s">
        <v>42</v>
      </c>
      <c r="R706" t="s">
        <v>67</v>
      </c>
      <c r="S706">
        <v>6</v>
      </c>
      <c r="T706" t="s">
        <v>44</v>
      </c>
      <c r="U706" t="s">
        <v>59</v>
      </c>
      <c r="V706">
        <v>13</v>
      </c>
      <c r="W706" t="s">
        <v>45</v>
      </c>
      <c r="X706">
        <v>12</v>
      </c>
      <c r="Y706">
        <v>3</v>
      </c>
      <c r="Z706" t="s">
        <v>61</v>
      </c>
      <c r="AA706">
        <v>10</v>
      </c>
      <c r="AB706" t="s">
        <v>47</v>
      </c>
      <c r="AC706">
        <v>9</v>
      </c>
      <c r="AD706" t="s">
        <v>47</v>
      </c>
      <c r="AE706">
        <v>0</v>
      </c>
      <c r="AF706" t="s">
        <v>49</v>
      </c>
    </row>
    <row r="707" spans="1:32" x14ac:dyDescent="0.25">
      <c r="A707">
        <v>39</v>
      </c>
      <c r="B707" t="s">
        <v>32</v>
      </c>
      <c r="C707" t="s">
        <v>50</v>
      </c>
      <c r="D707" t="s">
        <v>34</v>
      </c>
      <c r="E707" t="s">
        <v>35</v>
      </c>
      <c r="F707">
        <v>2</v>
      </c>
      <c r="G707" t="s">
        <v>36</v>
      </c>
      <c r="H707">
        <v>1</v>
      </c>
      <c r="I707" t="s">
        <v>37</v>
      </c>
      <c r="J707" t="s">
        <v>54</v>
      </c>
      <c r="K707">
        <v>4</v>
      </c>
      <c r="L707" t="s">
        <v>65</v>
      </c>
      <c r="M707">
        <v>3</v>
      </c>
      <c r="N707" t="s">
        <v>68</v>
      </c>
      <c r="O707" t="s">
        <v>41</v>
      </c>
      <c r="P707">
        <v>3</v>
      </c>
      <c r="Q707" t="s">
        <v>42</v>
      </c>
      <c r="R707" t="s">
        <v>43</v>
      </c>
      <c r="S707">
        <v>0</v>
      </c>
      <c r="T707" t="s">
        <v>44</v>
      </c>
      <c r="U707" t="s">
        <v>59</v>
      </c>
      <c r="V707">
        <v>18</v>
      </c>
      <c r="W707" t="s">
        <v>45</v>
      </c>
      <c r="X707">
        <v>9</v>
      </c>
      <c r="Y707">
        <v>3</v>
      </c>
      <c r="Z707" t="s">
        <v>61</v>
      </c>
      <c r="AA707">
        <v>8</v>
      </c>
      <c r="AB707" t="s">
        <v>47</v>
      </c>
      <c r="AC707">
        <v>7</v>
      </c>
      <c r="AD707" t="s">
        <v>47</v>
      </c>
      <c r="AE707">
        <v>0</v>
      </c>
      <c r="AF707" t="s">
        <v>49</v>
      </c>
    </row>
    <row r="708" spans="1:32" x14ac:dyDescent="0.25">
      <c r="A708">
        <v>40</v>
      </c>
      <c r="B708" t="s">
        <v>32</v>
      </c>
      <c r="C708" t="s">
        <v>33</v>
      </c>
      <c r="D708" t="s">
        <v>34</v>
      </c>
      <c r="E708" t="s">
        <v>35</v>
      </c>
      <c r="F708">
        <v>24</v>
      </c>
      <c r="G708" t="s">
        <v>66</v>
      </c>
      <c r="H708">
        <v>2</v>
      </c>
      <c r="I708" t="s">
        <v>37</v>
      </c>
      <c r="J708" t="s">
        <v>38</v>
      </c>
      <c r="K708">
        <v>4</v>
      </c>
      <c r="L708" t="s">
        <v>65</v>
      </c>
      <c r="M708">
        <v>4</v>
      </c>
      <c r="N708" t="s">
        <v>72</v>
      </c>
      <c r="O708" t="s">
        <v>41</v>
      </c>
      <c r="P708">
        <v>2</v>
      </c>
      <c r="Q708" t="s">
        <v>57</v>
      </c>
      <c r="R708" t="s">
        <v>43</v>
      </c>
      <c r="S708">
        <v>4</v>
      </c>
      <c r="T708" t="s">
        <v>44</v>
      </c>
      <c r="U708" t="s">
        <v>44</v>
      </c>
      <c r="V708">
        <v>16</v>
      </c>
      <c r="W708" t="s">
        <v>45</v>
      </c>
      <c r="X708">
        <v>22</v>
      </c>
      <c r="Y708">
        <v>2</v>
      </c>
      <c r="Z708" t="s">
        <v>46</v>
      </c>
      <c r="AA708">
        <v>1</v>
      </c>
      <c r="AB708" t="s">
        <v>48</v>
      </c>
      <c r="AC708">
        <v>0</v>
      </c>
      <c r="AD708" t="s">
        <v>48</v>
      </c>
      <c r="AE708">
        <v>0</v>
      </c>
      <c r="AF708" t="s">
        <v>49</v>
      </c>
    </row>
    <row r="709" spans="1:32" x14ac:dyDescent="0.25">
      <c r="A709">
        <v>47</v>
      </c>
      <c r="B709" t="s">
        <v>32</v>
      </c>
      <c r="C709" t="s">
        <v>50</v>
      </c>
      <c r="D709" t="s">
        <v>51</v>
      </c>
      <c r="E709" t="s">
        <v>52</v>
      </c>
      <c r="F709">
        <v>16</v>
      </c>
      <c r="G709" t="s">
        <v>66</v>
      </c>
      <c r="H709">
        <v>3</v>
      </c>
      <c r="I709" t="s">
        <v>42</v>
      </c>
      <c r="J709" t="s">
        <v>54</v>
      </c>
      <c r="K709">
        <v>4</v>
      </c>
      <c r="L709" t="s">
        <v>65</v>
      </c>
      <c r="M709">
        <v>2</v>
      </c>
      <c r="N709" t="s">
        <v>40</v>
      </c>
      <c r="O709" t="s">
        <v>69</v>
      </c>
      <c r="P709">
        <v>3</v>
      </c>
      <c r="Q709" t="s">
        <v>42</v>
      </c>
      <c r="R709" t="s">
        <v>67</v>
      </c>
      <c r="S709">
        <v>1</v>
      </c>
      <c r="T709" t="s">
        <v>44</v>
      </c>
      <c r="U709" t="s">
        <v>44</v>
      </c>
      <c r="V709">
        <v>19</v>
      </c>
      <c r="W709" t="s">
        <v>45</v>
      </c>
      <c r="X709">
        <v>20</v>
      </c>
      <c r="Y709">
        <v>4</v>
      </c>
      <c r="Z709" t="s">
        <v>61</v>
      </c>
      <c r="AA709">
        <v>19</v>
      </c>
      <c r="AB709" t="s">
        <v>74</v>
      </c>
      <c r="AC709">
        <v>10</v>
      </c>
      <c r="AD709" t="s">
        <v>47</v>
      </c>
      <c r="AE709">
        <v>2</v>
      </c>
      <c r="AF709" t="s">
        <v>49</v>
      </c>
    </row>
    <row r="710" spans="1:32" x14ac:dyDescent="0.25">
      <c r="A710">
        <v>36</v>
      </c>
      <c r="B710" t="s">
        <v>32</v>
      </c>
      <c r="C710" t="s">
        <v>50</v>
      </c>
      <c r="D710" t="s">
        <v>34</v>
      </c>
      <c r="E710" t="s">
        <v>35</v>
      </c>
      <c r="F710">
        <v>8</v>
      </c>
      <c r="G710" t="s">
        <v>53</v>
      </c>
      <c r="H710">
        <v>1</v>
      </c>
      <c r="I710" t="s">
        <v>37</v>
      </c>
      <c r="J710" t="s">
        <v>54</v>
      </c>
      <c r="K710">
        <v>3</v>
      </c>
      <c r="L710" t="s">
        <v>39</v>
      </c>
      <c r="M710">
        <v>2</v>
      </c>
      <c r="N710" t="s">
        <v>40</v>
      </c>
      <c r="O710" t="s">
        <v>41</v>
      </c>
      <c r="P710">
        <v>4</v>
      </c>
      <c r="Q710" t="s">
        <v>42</v>
      </c>
      <c r="R710" t="s">
        <v>67</v>
      </c>
      <c r="S710">
        <v>4</v>
      </c>
      <c r="T710" t="s">
        <v>44</v>
      </c>
      <c r="U710" t="s">
        <v>59</v>
      </c>
      <c r="V710">
        <v>13</v>
      </c>
      <c r="W710" t="s">
        <v>45</v>
      </c>
      <c r="X710">
        <v>12</v>
      </c>
      <c r="Y710">
        <v>3</v>
      </c>
      <c r="Z710" t="s">
        <v>61</v>
      </c>
      <c r="AA710">
        <v>7</v>
      </c>
      <c r="AB710" t="s">
        <v>47</v>
      </c>
      <c r="AC710">
        <v>7</v>
      </c>
      <c r="AD710" t="s">
        <v>47</v>
      </c>
      <c r="AE710">
        <v>0</v>
      </c>
      <c r="AF710" t="s">
        <v>49</v>
      </c>
    </row>
    <row r="711" spans="1:32" x14ac:dyDescent="0.25">
      <c r="A711">
        <v>31</v>
      </c>
      <c r="B711" t="s">
        <v>32</v>
      </c>
      <c r="C711" t="s">
        <v>33</v>
      </c>
      <c r="D711" t="s">
        <v>34</v>
      </c>
      <c r="E711" t="s">
        <v>52</v>
      </c>
      <c r="F711">
        <v>9</v>
      </c>
      <c r="G711" t="s">
        <v>53</v>
      </c>
      <c r="H711">
        <v>3</v>
      </c>
      <c r="I711" t="s">
        <v>42</v>
      </c>
      <c r="J711" t="s">
        <v>54</v>
      </c>
      <c r="K711">
        <v>2</v>
      </c>
      <c r="L711" t="s">
        <v>55</v>
      </c>
      <c r="M711">
        <v>1</v>
      </c>
      <c r="N711" t="s">
        <v>40</v>
      </c>
      <c r="O711" t="s">
        <v>56</v>
      </c>
      <c r="P711">
        <v>1</v>
      </c>
      <c r="Q711" t="s">
        <v>57</v>
      </c>
      <c r="R711" t="s">
        <v>43</v>
      </c>
      <c r="S711">
        <v>0</v>
      </c>
      <c r="T711" t="s">
        <v>44</v>
      </c>
      <c r="U711" t="s">
        <v>44</v>
      </c>
      <c r="V711">
        <v>22</v>
      </c>
      <c r="W711" t="s">
        <v>60</v>
      </c>
      <c r="X711">
        <v>4</v>
      </c>
      <c r="Y711">
        <v>3</v>
      </c>
      <c r="Z711" t="s">
        <v>61</v>
      </c>
      <c r="AA711">
        <v>3</v>
      </c>
      <c r="AB711" t="s">
        <v>48</v>
      </c>
      <c r="AC711">
        <v>2</v>
      </c>
      <c r="AD711" t="s">
        <v>48</v>
      </c>
      <c r="AE711">
        <v>1</v>
      </c>
      <c r="AF711" t="s">
        <v>49</v>
      </c>
    </row>
    <row r="712" spans="1:32" x14ac:dyDescent="0.25">
      <c r="A712">
        <v>33</v>
      </c>
      <c r="B712" t="s">
        <v>32</v>
      </c>
      <c r="C712" t="s">
        <v>50</v>
      </c>
      <c r="D712" t="s">
        <v>34</v>
      </c>
      <c r="E712" t="s">
        <v>35</v>
      </c>
      <c r="F712">
        <v>17</v>
      </c>
      <c r="G712" t="s">
        <v>66</v>
      </c>
      <c r="H712">
        <v>4</v>
      </c>
      <c r="I712" t="s">
        <v>42</v>
      </c>
      <c r="J712" t="s">
        <v>54</v>
      </c>
      <c r="K712">
        <v>3</v>
      </c>
      <c r="L712" t="s">
        <v>39</v>
      </c>
      <c r="M712">
        <v>4</v>
      </c>
      <c r="N712" t="s">
        <v>72</v>
      </c>
      <c r="O712" t="s">
        <v>73</v>
      </c>
      <c r="P712">
        <v>3</v>
      </c>
      <c r="Q712" t="s">
        <v>42</v>
      </c>
      <c r="R712" t="s">
        <v>43</v>
      </c>
      <c r="S712">
        <v>1</v>
      </c>
      <c r="T712" t="s">
        <v>44</v>
      </c>
      <c r="U712" t="s">
        <v>59</v>
      </c>
      <c r="V712">
        <v>11</v>
      </c>
      <c r="W712" t="s">
        <v>45</v>
      </c>
      <c r="X712">
        <v>10</v>
      </c>
      <c r="Y712">
        <v>3</v>
      </c>
      <c r="Z712" t="s">
        <v>61</v>
      </c>
      <c r="AA712">
        <v>10</v>
      </c>
      <c r="AB712" t="s">
        <v>47</v>
      </c>
      <c r="AC712">
        <v>8</v>
      </c>
      <c r="AD712" t="s">
        <v>47</v>
      </c>
      <c r="AE712">
        <v>6</v>
      </c>
      <c r="AF712" t="s">
        <v>71</v>
      </c>
    </row>
    <row r="713" spans="1:32" x14ac:dyDescent="0.25">
      <c r="A713">
        <v>29</v>
      </c>
      <c r="B713" t="s">
        <v>63</v>
      </c>
      <c r="C713" t="s">
        <v>33</v>
      </c>
      <c r="D713" t="s">
        <v>34</v>
      </c>
      <c r="E713" t="s">
        <v>52</v>
      </c>
      <c r="F713">
        <v>10</v>
      </c>
      <c r="G713" t="s">
        <v>53</v>
      </c>
      <c r="H713">
        <v>4</v>
      </c>
      <c r="I713" t="s">
        <v>42</v>
      </c>
      <c r="J713" t="s">
        <v>38</v>
      </c>
      <c r="K713">
        <v>2</v>
      </c>
      <c r="L713" t="s">
        <v>55</v>
      </c>
      <c r="M713">
        <v>1</v>
      </c>
      <c r="N713" t="s">
        <v>40</v>
      </c>
      <c r="O713" t="s">
        <v>56</v>
      </c>
      <c r="P713">
        <v>1</v>
      </c>
      <c r="Q713" t="s">
        <v>57</v>
      </c>
      <c r="R713" t="s">
        <v>43</v>
      </c>
      <c r="S713">
        <v>6</v>
      </c>
      <c r="T713" t="s">
        <v>44</v>
      </c>
      <c r="U713" t="s">
        <v>44</v>
      </c>
      <c r="V713">
        <v>20</v>
      </c>
      <c r="W713" t="s">
        <v>60</v>
      </c>
      <c r="X713">
        <v>3</v>
      </c>
      <c r="Y713">
        <v>3</v>
      </c>
      <c r="Z713" t="s">
        <v>61</v>
      </c>
      <c r="AA713">
        <v>0</v>
      </c>
      <c r="AB713" t="s">
        <v>48</v>
      </c>
      <c r="AC713">
        <v>0</v>
      </c>
      <c r="AD713" t="s">
        <v>48</v>
      </c>
      <c r="AE713">
        <v>0</v>
      </c>
      <c r="AF713" t="s">
        <v>49</v>
      </c>
    </row>
    <row r="714" spans="1:32" x14ac:dyDescent="0.25">
      <c r="A714">
        <v>33</v>
      </c>
      <c r="B714" t="s">
        <v>32</v>
      </c>
      <c r="C714" t="s">
        <v>50</v>
      </c>
      <c r="D714" t="s">
        <v>34</v>
      </c>
      <c r="E714" t="s">
        <v>52</v>
      </c>
      <c r="F714">
        <v>13</v>
      </c>
      <c r="G714" t="s">
        <v>53</v>
      </c>
      <c r="H714">
        <v>2</v>
      </c>
      <c r="I714" t="s">
        <v>37</v>
      </c>
      <c r="J714" t="s">
        <v>38</v>
      </c>
      <c r="K714">
        <v>3</v>
      </c>
      <c r="L714" t="s">
        <v>39</v>
      </c>
      <c r="M714">
        <v>1</v>
      </c>
      <c r="N714" t="s">
        <v>40</v>
      </c>
      <c r="O714" t="s">
        <v>56</v>
      </c>
      <c r="P714">
        <v>4</v>
      </c>
      <c r="Q714" t="s">
        <v>42</v>
      </c>
      <c r="R714" t="s">
        <v>43</v>
      </c>
      <c r="S714">
        <v>3</v>
      </c>
      <c r="T714" t="s">
        <v>44</v>
      </c>
      <c r="U714" t="s">
        <v>59</v>
      </c>
      <c r="V714">
        <v>18</v>
      </c>
      <c r="W714" t="s">
        <v>45</v>
      </c>
      <c r="X714">
        <v>5</v>
      </c>
      <c r="Y714">
        <v>3</v>
      </c>
      <c r="Z714" t="s">
        <v>61</v>
      </c>
      <c r="AA714">
        <v>3</v>
      </c>
      <c r="AB714" t="s">
        <v>48</v>
      </c>
      <c r="AC714">
        <v>2</v>
      </c>
      <c r="AD714" t="s">
        <v>48</v>
      </c>
      <c r="AE714">
        <v>0</v>
      </c>
      <c r="AF714" t="s">
        <v>49</v>
      </c>
    </row>
    <row r="715" spans="1:32" x14ac:dyDescent="0.25">
      <c r="A715">
        <v>45</v>
      </c>
      <c r="B715" t="s">
        <v>32</v>
      </c>
      <c r="C715" t="s">
        <v>50</v>
      </c>
      <c r="D715" t="s">
        <v>34</v>
      </c>
      <c r="E715" t="s">
        <v>52</v>
      </c>
      <c r="F715">
        <v>1</v>
      </c>
      <c r="G715" t="s">
        <v>36</v>
      </c>
      <c r="H715">
        <v>4</v>
      </c>
      <c r="I715" t="s">
        <v>42</v>
      </c>
      <c r="J715" t="s">
        <v>38</v>
      </c>
      <c r="K715">
        <v>3</v>
      </c>
      <c r="L715" t="s">
        <v>39</v>
      </c>
      <c r="M715">
        <v>1</v>
      </c>
      <c r="N715" t="s">
        <v>40</v>
      </c>
      <c r="O715" t="s">
        <v>62</v>
      </c>
      <c r="P715">
        <v>4</v>
      </c>
      <c r="Q715" t="s">
        <v>42</v>
      </c>
      <c r="R715" t="s">
        <v>67</v>
      </c>
      <c r="S715">
        <v>3</v>
      </c>
      <c r="T715" t="s">
        <v>44</v>
      </c>
      <c r="U715" t="s">
        <v>59</v>
      </c>
      <c r="V715">
        <v>14</v>
      </c>
      <c r="W715" t="s">
        <v>45</v>
      </c>
      <c r="X715">
        <v>8</v>
      </c>
      <c r="Y715">
        <v>3</v>
      </c>
      <c r="Z715" t="s">
        <v>61</v>
      </c>
      <c r="AA715">
        <v>5</v>
      </c>
      <c r="AB715" t="s">
        <v>47</v>
      </c>
      <c r="AC715">
        <v>3</v>
      </c>
      <c r="AD715" t="s">
        <v>48</v>
      </c>
      <c r="AE715">
        <v>0</v>
      </c>
      <c r="AF715" t="s">
        <v>49</v>
      </c>
    </row>
    <row r="716" spans="1:32" x14ac:dyDescent="0.25">
      <c r="A716">
        <v>50</v>
      </c>
      <c r="B716" t="s">
        <v>32</v>
      </c>
      <c r="C716" t="s">
        <v>50</v>
      </c>
      <c r="D716" t="s">
        <v>34</v>
      </c>
      <c r="E716" t="s">
        <v>52</v>
      </c>
      <c r="F716">
        <v>1</v>
      </c>
      <c r="G716" t="s">
        <v>36</v>
      </c>
      <c r="H716">
        <v>4</v>
      </c>
      <c r="I716" t="s">
        <v>42</v>
      </c>
      <c r="J716" t="s">
        <v>54</v>
      </c>
      <c r="K716">
        <v>3</v>
      </c>
      <c r="L716" t="s">
        <v>39</v>
      </c>
      <c r="M716">
        <v>4</v>
      </c>
      <c r="N716" t="s">
        <v>72</v>
      </c>
      <c r="O716" t="s">
        <v>76</v>
      </c>
      <c r="P716">
        <v>4</v>
      </c>
      <c r="Q716" t="s">
        <v>42</v>
      </c>
      <c r="R716" t="s">
        <v>67</v>
      </c>
      <c r="S716">
        <v>9</v>
      </c>
      <c r="T716" t="s">
        <v>44</v>
      </c>
      <c r="U716" t="s">
        <v>59</v>
      </c>
      <c r="V716">
        <v>22</v>
      </c>
      <c r="W716" t="s">
        <v>60</v>
      </c>
      <c r="X716">
        <v>32</v>
      </c>
      <c r="Y716">
        <v>2</v>
      </c>
      <c r="Z716" t="s">
        <v>46</v>
      </c>
      <c r="AA716">
        <v>5</v>
      </c>
      <c r="AB716" t="s">
        <v>47</v>
      </c>
      <c r="AC716">
        <v>4</v>
      </c>
      <c r="AD716" t="s">
        <v>48</v>
      </c>
      <c r="AE716">
        <v>1</v>
      </c>
      <c r="AF716" t="s">
        <v>49</v>
      </c>
    </row>
    <row r="717" spans="1:32" x14ac:dyDescent="0.25">
      <c r="A717">
        <v>33</v>
      </c>
      <c r="B717" t="s">
        <v>32</v>
      </c>
      <c r="C717" t="s">
        <v>50</v>
      </c>
      <c r="D717" t="s">
        <v>51</v>
      </c>
      <c r="E717" t="s">
        <v>52</v>
      </c>
      <c r="F717">
        <v>1</v>
      </c>
      <c r="G717" t="s">
        <v>36</v>
      </c>
      <c r="H717">
        <v>3</v>
      </c>
      <c r="I717" t="s">
        <v>42</v>
      </c>
      <c r="J717" t="s">
        <v>38</v>
      </c>
      <c r="K717">
        <v>4</v>
      </c>
      <c r="L717" t="s">
        <v>65</v>
      </c>
      <c r="M717">
        <v>2</v>
      </c>
      <c r="N717" t="s">
        <v>40</v>
      </c>
      <c r="O717" t="s">
        <v>70</v>
      </c>
      <c r="P717">
        <v>2</v>
      </c>
      <c r="Q717" t="s">
        <v>57</v>
      </c>
      <c r="R717" t="s">
        <v>58</v>
      </c>
      <c r="S717">
        <v>1</v>
      </c>
      <c r="T717" t="s">
        <v>44</v>
      </c>
      <c r="U717" t="s">
        <v>44</v>
      </c>
      <c r="V717">
        <v>13</v>
      </c>
      <c r="W717" t="s">
        <v>45</v>
      </c>
      <c r="X717">
        <v>6</v>
      </c>
      <c r="Y717">
        <v>3</v>
      </c>
      <c r="Z717" t="s">
        <v>61</v>
      </c>
      <c r="AA717">
        <v>6</v>
      </c>
      <c r="AB717" t="s">
        <v>47</v>
      </c>
      <c r="AC717">
        <v>5</v>
      </c>
      <c r="AD717" t="s">
        <v>47</v>
      </c>
      <c r="AE717">
        <v>1</v>
      </c>
      <c r="AF717" t="s">
        <v>49</v>
      </c>
    </row>
    <row r="718" spans="1:32" x14ac:dyDescent="0.25">
      <c r="A718">
        <v>41</v>
      </c>
      <c r="B718" t="s">
        <v>32</v>
      </c>
      <c r="C718" t="s">
        <v>50</v>
      </c>
      <c r="D718" t="s">
        <v>51</v>
      </c>
      <c r="E718" t="s">
        <v>52</v>
      </c>
      <c r="F718">
        <v>9</v>
      </c>
      <c r="G718" t="s">
        <v>53</v>
      </c>
      <c r="H718">
        <v>1</v>
      </c>
      <c r="I718" t="s">
        <v>37</v>
      </c>
      <c r="J718" t="s">
        <v>54</v>
      </c>
      <c r="K718">
        <v>3</v>
      </c>
      <c r="L718" t="s">
        <v>39</v>
      </c>
      <c r="M718">
        <v>5</v>
      </c>
      <c r="N718" t="s">
        <v>72</v>
      </c>
      <c r="O718" t="s">
        <v>76</v>
      </c>
      <c r="P718">
        <v>3</v>
      </c>
      <c r="Q718" t="s">
        <v>42</v>
      </c>
      <c r="R718" t="s">
        <v>67</v>
      </c>
      <c r="S718">
        <v>2</v>
      </c>
      <c r="T718" t="s">
        <v>44</v>
      </c>
      <c r="U718" t="s">
        <v>59</v>
      </c>
      <c r="V718">
        <v>17</v>
      </c>
      <c r="W718" t="s">
        <v>45</v>
      </c>
      <c r="X718">
        <v>21</v>
      </c>
      <c r="Y718">
        <v>4</v>
      </c>
      <c r="Z718" t="s">
        <v>61</v>
      </c>
      <c r="AA718">
        <v>18</v>
      </c>
      <c r="AB718" t="s">
        <v>74</v>
      </c>
      <c r="AC718">
        <v>16</v>
      </c>
      <c r="AD718" t="s">
        <v>74</v>
      </c>
      <c r="AE718">
        <v>0</v>
      </c>
      <c r="AF718" t="s">
        <v>49</v>
      </c>
    </row>
    <row r="719" spans="1:32" x14ac:dyDescent="0.25">
      <c r="A719">
        <v>27</v>
      </c>
      <c r="B719" t="s">
        <v>63</v>
      </c>
      <c r="C719" t="s">
        <v>50</v>
      </c>
      <c r="D719" t="s">
        <v>34</v>
      </c>
      <c r="E719" t="s">
        <v>52</v>
      </c>
      <c r="F719">
        <v>16</v>
      </c>
      <c r="G719" t="s">
        <v>66</v>
      </c>
      <c r="H719">
        <v>3</v>
      </c>
      <c r="I719" t="s">
        <v>42</v>
      </c>
      <c r="J719" t="s">
        <v>38</v>
      </c>
      <c r="K719">
        <v>3</v>
      </c>
      <c r="L719" t="s">
        <v>39</v>
      </c>
      <c r="M719">
        <v>1</v>
      </c>
      <c r="N719" t="s">
        <v>40</v>
      </c>
      <c r="O719" t="s">
        <v>62</v>
      </c>
      <c r="P719">
        <v>2</v>
      </c>
      <c r="Q719" t="s">
        <v>57</v>
      </c>
      <c r="R719" t="s">
        <v>58</v>
      </c>
      <c r="S719">
        <v>9</v>
      </c>
      <c r="T719" t="s">
        <v>44</v>
      </c>
      <c r="U719" t="s">
        <v>59</v>
      </c>
      <c r="V719">
        <v>14</v>
      </c>
      <c r="W719" t="s">
        <v>45</v>
      </c>
      <c r="X719">
        <v>4</v>
      </c>
      <c r="Y719">
        <v>3</v>
      </c>
      <c r="Z719" t="s">
        <v>61</v>
      </c>
      <c r="AA719">
        <v>2</v>
      </c>
      <c r="AB719" t="s">
        <v>48</v>
      </c>
      <c r="AC719">
        <v>2</v>
      </c>
      <c r="AD719" t="s">
        <v>48</v>
      </c>
      <c r="AE719">
        <v>2</v>
      </c>
      <c r="AF719" t="s">
        <v>49</v>
      </c>
    </row>
    <row r="720" spans="1:32" x14ac:dyDescent="0.25">
      <c r="A720">
        <v>45</v>
      </c>
      <c r="B720" t="s">
        <v>32</v>
      </c>
      <c r="C720" t="s">
        <v>50</v>
      </c>
      <c r="D720" t="s">
        <v>34</v>
      </c>
      <c r="E720" t="s">
        <v>52</v>
      </c>
      <c r="F720">
        <v>23</v>
      </c>
      <c r="G720" t="s">
        <v>66</v>
      </c>
      <c r="H720">
        <v>4</v>
      </c>
      <c r="I720" t="s">
        <v>42</v>
      </c>
      <c r="J720" t="s">
        <v>54</v>
      </c>
      <c r="K720">
        <v>3</v>
      </c>
      <c r="L720" t="s">
        <v>39</v>
      </c>
      <c r="M720">
        <v>2</v>
      </c>
      <c r="N720" t="s">
        <v>40</v>
      </c>
      <c r="O720" t="s">
        <v>62</v>
      </c>
      <c r="P720">
        <v>1</v>
      </c>
      <c r="Q720" t="s">
        <v>57</v>
      </c>
      <c r="R720" t="s">
        <v>58</v>
      </c>
      <c r="S720">
        <v>1</v>
      </c>
      <c r="T720" t="s">
        <v>44</v>
      </c>
      <c r="U720" t="s">
        <v>44</v>
      </c>
      <c r="V720">
        <v>15</v>
      </c>
      <c r="W720" t="s">
        <v>45</v>
      </c>
      <c r="X720">
        <v>9</v>
      </c>
      <c r="Y720">
        <v>3</v>
      </c>
      <c r="Z720" t="s">
        <v>61</v>
      </c>
      <c r="AA720">
        <v>9</v>
      </c>
      <c r="AB720" t="s">
        <v>47</v>
      </c>
      <c r="AC720">
        <v>8</v>
      </c>
      <c r="AD720" t="s">
        <v>47</v>
      </c>
      <c r="AE720">
        <v>0</v>
      </c>
      <c r="AF720" t="s">
        <v>49</v>
      </c>
    </row>
    <row r="721" spans="1:32" x14ac:dyDescent="0.25">
      <c r="A721">
        <v>47</v>
      </c>
      <c r="B721" t="s">
        <v>32</v>
      </c>
      <c r="C721" t="s">
        <v>50</v>
      </c>
      <c r="D721" t="s">
        <v>34</v>
      </c>
      <c r="E721" t="s">
        <v>35</v>
      </c>
      <c r="F721">
        <v>4</v>
      </c>
      <c r="G721" t="s">
        <v>36</v>
      </c>
      <c r="H721">
        <v>4</v>
      </c>
      <c r="I721" t="s">
        <v>42</v>
      </c>
      <c r="J721" t="s">
        <v>38</v>
      </c>
      <c r="K721">
        <v>3</v>
      </c>
      <c r="L721" t="s">
        <v>39</v>
      </c>
      <c r="M721">
        <v>2</v>
      </c>
      <c r="N721" t="s">
        <v>40</v>
      </c>
      <c r="O721" t="s">
        <v>41</v>
      </c>
      <c r="P721">
        <v>4</v>
      </c>
      <c r="Q721" t="s">
        <v>42</v>
      </c>
      <c r="R721" t="s">
        <v>43</v>
      </c>
      <c r="S721">
        <v>1</v>
      </c>
      <c r="T721" t="s">
        <v>44</v>
      </c>
      <c r="U721" t="s">
        <v>44</v>
      </c>
      <c r="V721">
        <v>17</v>
      </c>
      <c r="W721" t="s">
        <v>45</v>
      </c>
      <c r="X721">
        <v>9</v>
      </c>
      <c r="Y721">
        <v>3</v>
      </c>
      <c r="Z721" t="s">
        <v>61</v>
      </c>
      <c r="AA721">
        <v>9</v>
      </c>
      <c r="AB721" t="s">
        <v>47</v>
      </c>
      <c r="AC721">
        <v>0</v>
      </c>
      <c r="AD721" t="s">
        <v>48</v>
      </c>
      <c r="AE721">
        <v>0</v>
      </c>
      <c r="AF721" t="s">
        <v>49</v>
      </c>
    </row>
    <row r="722" spans="1:32" x14ac:dyDescent="0.25">
      <c r="A722">
        <v>30</v>
      </c>
      <c r="B722" t="s">
        <v>32</v>
      </c>
      <c r="C722" t="s">
        <v>33</v>
      </c>
      <c r="D722" t="s">
        <v>34</v>
      </c>
      <c r="E722" t="s">
        <v>52</v>
      </c>
      <c r="F722">
        <v>22</v>
      </c>
      <c r="G722" t="s">
        <v>66</v>
      </c>
      <c r="H722">
        <v>1</v>
      </c>
      <c r="I722" t="s">
        <v>37</v>
      </c>
      <c r="J722" t="s">
        <v>38</v>
      </c>
      <c r="K722">
        <v>3</v>
      </c>
      <c r="L722" t="s">
        <v>39</v>
      </c>
      <c r="M722">
        <v>1</v>
      </c>
      <c r="N722" t="s">
        <v>40</v>
      </c>
      <c r="O722" t="s">
        <v>56</v>
      </c>
      <c r="P722">
        <v>3</v>
      </c>
      <c r="Q722" t="s">
        <v>42</v>
      </c>
      <c r="R722" t="s">
        <v>58</v>
      </c>
      <c r="S722">
        <v>4</v>
      </c>
      <c r="T722" t="s">
        <v>44</v>
      </c>
      <c r="U722" t="s">
        <v>44</v>
      </c>
      <c r="V722">
        <v>11</v>
      </c>
      <c r="W722" t="s">
        <v>45</v>
      </c>
      <c r="X722">
        <v>7</v>
      </c>
      <c r="Y722">
        <v>3</v>
      </c>
      <c r="Z722" t="s">
        <v>61</v>
      </c>
      <c r="AA722">
        <v>5</v>
      </c>
      <c r="AB722" t="s">
        <v>47</v>
      </c>
      <c r="AC722">
        <v>2</v>
      </c>
      <c r="AD722" t="s">
        <v>48</v>
      </c>
      <c r="AE722">
        <v>0</v>
      </c>
      <c r="AF722" t="s">
        <v>49</v>
      </c>
    </row>
    <row r="723" spans="1:32" x14ac:dyDescent="0.25">
      <c r="A723">
        <v>50</v>
      </c>
      <c r="B723" t="s">
        <v>32</v>
      </c>
      <c r="C723" t="s">
        <v>50</v>
      </c>
      <c r="D723" t="s">
        <v>34</v>
      </c>
      <c r="E723" t="s">
        <v>52</v>
      </c>
      <c r="F723">
        <v>24</v>
      </c>
      <c r="G723" t="s">
        <v>66</v>
      </c>
      <c r="H723">
        <v>4</v>
      </c>
      <c r="I723" t="s">
        <v>42</v>
      </c>
      <c r="J723" t="s">
        <v>54</v>
      </c>
      <c r="K723">
        <v>3</v>
      </c>
      <c r="L723" t="s">
        <v>39</v>
      </c>
      <c r="M723">
        <v>4</v>
      </c>
      <c r="N723" t="s">
        <v>72</v>
      </c>
      <c r="O723" t="s">
        <v>69</v>
      </c>
      <c r="P723">
        <v>3</v>
      </c>
      <c r="Q723" t="s">
        <v>42</v>
      </c>
      <c r="R723" t="s">
        <v>58</v>
      </c>
      <c r="S723">
        <v>3</v>
      </c>
      <c r="T723" t="s">
        <v>44</v>
      </c>
      <c r="U723" t="s">
        <v>44</v>
      </c>
      <c r="V723">
        <v>18</v>
      </c>
      <c r="W723" t="s">
        <v>45</v>
      </c>
      <c r="X723">
        <v>22</v>
      </c>
      <c r="Y723">
        <v>3</v>
      </c>
      <c r="Z723" t="s">
        <v>61</v>
      </c>
      <c r="AA723">
        <v>12</v>
      </c>
      <c r="AB723" t="s">
        <v>74</v>
      </c>
      <c r="AC723">
        <v>11</v>
      </c>
      <c r="AD723" t="s">
        <v>74</v>
      </c>
      <c r="AE723">
        <v>1</v>
      </c>
      <c r="AF723" t="s">
        <v>49</v>
      </c>
    </row>
    <row r="724" spans="1:32" x14ac:dyDescent="0.25">
      <c r="A724">
        <v>38</v>
      </c>
      <c r="B724" t="s">
        <v>32</v>
      </c>
      <c r="C724" t="s">
        <v>50</v>
      </c>
      <c r="D724" t="s">
        <v>51</v>
      </c>
      <c r="E724" t="s">
        <v>52</v>
      </c>
      <c r="F724">
        <v>10</v>
      </c>
      <c r="G724" t="s">
        <v>53</v>
      </c>
      <c r="H724">
        <v>3</v>
      </c>
      <c r="I724" t="s">
        <v>42</v>
      </c>
      <c r="J724" t="s">
        <v>54</v>
      </c>
      <c r="K724">
        <v>3</v>
      </c>
      <c r="L724" t="s">
        <v>39</v>
      </c>
      <c r="M724">
        <v>1</v>
      </c>
      <c r="N724" t="s">
        <v>40</v>
      </c>
      <c r="O724" t="s">
        <v>56</v>
      </c>
      <c r="P724">
        <v>3</v>
      </c>
      <c r="Q724" t="s">
        <v>42</v>
      </c>
      <c r="R724" t="s">
        <v>58</v>
      </c>
      <c r="S724">
        <v>0</v>
      </c>
      <c r="T724" t="s">
        <v>44</v>
      </c>
      <c r="U724" t="s">
        <v>59</v>
      </c>
      <c r="V724">
        <v>17</v>
      </c>
      <c r="W724" t="s">
        <v>45</v>
      </c>
      <c r="X724">
        <v>3</v>
      </c>
      <c r="Y724">
        <v>2</v>
      </c>
      <c r="Z724" t="s">
        <v>46</v>
      </c>
      <c r="AA724">
        <v>2</v>
      </c>
      <c r="AB724" t="s">
        <v>48</v>
      </c>
      <c r="AC724">
        <v>1</v>
      </c>
      <c r="AD724" t="s">
        <v>48</v>
      </c>
      <c r="AE724">
        <v>0</v>
      </c>
      <c r="AF724" t="s">
        <v>49</v>
      </c>
    </row>
    <row r="725" spans="1:32" x14ac:dyDescent="0.25">
      <c r="A725">
        <v>46</v>
      </c>
      <c r="B725" t="s">
        <v>32</v>
      </c>
      <c r="C725" t="s">
        <v>50</v>
      </c>
      <c r="D725" t="s">
        <v>34</v>
      </c>
      <c r="E725" t="s">
        <v>52</v>
      </c>
      <c r="F725">
        <v>7</v>
      </c>
      <c r="G725" t="s">
        <v>53</v>
      </c>
      <c r="H725">
        <v>4</v>
      </c>
      <c r="I725" t="s">
        <v>42</v>
      </c>
      <c r="J725" t="s">
        <v>54</v>
      </c>
      <c r="K725">
        <v>3</v>
      </c>
      <c r="L725" t="s">
        <v>39</v>
      </c>
      <c r="M725">
        <v>3</v>
      </c>
      <c r="N725" t="s">
        <v>68</v>
      </c>
      <c r="O725" t="s">
        <v>69</v>
      </c>
      <c r="P725">
        <v>3</v>
      </c>
      <c r="Q725" t="s">
        <v>42</v>
      </c>
      <c r="R725" t="s">
        <v>67</v>
      </c>
      <c r="S725">
        <v>6</v>
      </c>
      <c r="T725" t="s">
        <v>44</v>
      </c>
      <c r="U725" t="s">
        <v>59</v>
      </c>
      <c r="V725">
        <v>13</v>
      </c>
      <c r="W725" t="s">
        <v>45</v>
      </c>
      <c r="X725">
        <v>13</v>
      </c>
      <c r="Y725">
        <v>3</v>
      </c>
      <c r="Z725" t="s">
        <v>61</v>
      </c>
      <c r="AA725">
        <v>8</v>
      </c>
      <c r="AB725" t="s">
        <v>47</v>
      </c>
      <c r="AC725">
        <v>7</v>
      </c>
      <c r="AD725" t="s">
        <v>47</v>
      </c>
      <c r="AE725">
        <v>0</v>
      </c>
      <c r="AF725" t="s">
        <v>49</v>
      </c>
    </row>
    <row r="726" spans="1:32" x14ac:dyDescent="0.25">
      <c r="A726">
        <v>24</v>
      </c>
      <c r="B726" t="s">
        <v>63</v>
      </c>
      <c r="C726" t="s">
        <v>50</v>
      </c>
      <c r="D726" t="s">
        <v>34</v>
      </c>
      <c r="E726" t="s">
        <v>52</v>
      </c>
      <c r="F726">
        <v>17</v>
      </c>
      <c r="G726" t="s">
        <v>66</v>
      </c>
      <c r="H726">
        <v>4</v>
      </c>
      <c r="I726" t="s">
        <v>42</v>
      </c>
      <c r="J726" t="s">
        <v>38</v>
      </c>
      <c r="K726">
        <v>2</v>
      </c>
      <c r="L726" t="s">
        <v>55</v>
      </c>
      <c r="M726">
        <v>2</v>
      </c>
      <c r="N726" t="s">
        <v>40</v>
      </c>
      <c r="O726" t="s">
        <v>69</v>
      </c>
      <c r="P726">
        <v>3</v>
      </c>
      <c r="Q726" t="s">
        <v>42</v>
      </c>
      <c r="R726" t="s">
        <v>67</v>
      </c>
      <c r="S726">
        <v>1</v>
      </c>
      <c r="T726" t="s">
        <v>44</v>
      </c>
      <c r="U726" t="s">
        <v>59</v>
      </c>
      <c r="V726">
        <v>15</v>
      </c>
      <c r="W726" t="s">
        <v>45</v>
      </c>
      <c r="X726">
        <v>5</v>
      </c>
      <c r="Y726">
        <v>3</v>
      </c>
      <c r="Z726" t="s">
        <v>61</v>
      </c>
      <c r="AA726">
        <v>4</v>
      </c>
      <c r="AB726" t="s">
        <v>48</v>
      </c>
      <c r="AC726">
        <v>2</v>
      </c>
      <c r="AD726" t="s">
        <v>48</v>
      </c>
      <c r="AE726">
        <v>3</v>
      </c>
      <c r="AF726" t="s">
        <v>49</v>
      </c>
    </row>
    <row r="727" spans="1:32" x14ac:dyDescent="0.25">
      <c r="A727">
        <v>35</v>
      </c>
      <c r="B727" t="s">
        <v>32</v>
      </c>
      <c r="C727" t="s">
        <v>33</v>
      </c>
      <c r="D727" t="s">
        <v>34</v>
      </c>
      <c r="E727" t="s">
        <v>52</v>
      </c>
      <c r="F727">
        <v>14</v>
      </c>
      <c r="G727" t="s">
        <v>53</v>
      </c>
      <c r="H727">
        <v>3</v>
      </c>
      <c r="I727" t="s">
        <v>42</v>
      </c>
      <c r="J727" t="s">
        <v>54</v>
      </c>
      <c r="K727">
        <v>2</v>
      </c>
      <c r="L727" t="s">
        <v>55</v>
      </c>
      <c r="M727">
        <v>1</v>
      </c>
      <c r="N727" t="s">
        <v>40</v>
      </c>
      <c r="O727" t="s">
        <v>62</v>
      </c>
      <c r="P727">
        <v>2</v>
      </c>
      <c r="Q727" t="s">
        <v>57</v>
      </c>
      <c r="R727" t="s">
        <v>67</v>
      </c>
      <c r="S727">
        <v>1</v>
      </c>
      <c r="T727" t="s">
        <v>44</v>
      </c>
      <c r="U727" t="s">
        <v>44</v>
      </c>
      <c r="V727">
        <v>24</v>
      </c>
      <c r="W727" t="s">
        <v>60</v>
      </c>
      <c r="X727">
        <v>5</v>
      </c>
      <c r="Y727">
        <v>1</v>
      </c>
      <c r="Z727" t="s">
        <v>46</v>
      </c>
      <c r="AA727">
        <v>4</v>
      </c>
      <c r="AB727" t="s">
        <v>48</v>
      </c>
      <c r="AC727">
        <v>2</v>
      </c>
      <c r="AD727" t="s">
        <v>48</v>
      </c>
      <c r="AE727">
        <v>0</v>
      </c>
      <c r="AF727" t="s">
        <v>49</v>
      </c>
    </row>
    <row r="728" spans="1:32" x14ac:dyDescent="0.25">
      <c r="A728">
        <v>31</v>
      </c>
      <c r="B728" t="s">
        <v>32</v>
      </c>
      <c r="C728" t="s">
        <v>50</v>
      </c>
      <c r="D728" t="s">
        <v>51</v>
      </c>
      <c r="E728" t="s">
        <v>52</v>
      </c>
      <c r="F728">
        <v>1</v>
      </c>
      <c r="G728" t="s">
        <v>36</v>
      </c>
      <c r="H728">
        <v>3</v>
      </c>
      <c r="I728" t="s">
        <v>42</v>
      </c>
      <c r="J728" t="s">
        <v>38</v>
      </c>
      <c r="K728">
        <v>3</v>
      </c>
      <c r="L728" t="s">
        <v>39</v>
      </c>
      <c r="M728">
        <v>2</v>
      </c>
      <c r="N728" t="s">
        <v>40</v>
      </c>
      <c r="O728" t="s">
        <v>69</v>
      </c>
      <c r="P728">
        <v>1</v>
      </c>
      <c r="Q728" t="s">
        <v>57</v>
      </c>
      <c r="R728" t="s">
        <v>58</v>
      </c>
      <c r="S728">
        <v>1</v>
      </c>
      <c r="T728" t="s">
        <v>44</v>
      </c>
      <c r="U728" t="s">
        <v>59</v>
      </c>
      <c r="V728">
        <v>12</v>
      </c>
      <c r="W728" t="s">
        <v>45</v>
      </c>
      <c r="X728">
        <v>4</v>
      </c>
      <c r="Y728">
        <v>3</v>
      </c>
      <c r="Z728" t="s">
        <v>61</v>
      </c>
      <c r="AA728">
        <v>4</v>
      </c>
      <c r="AB728" t="s">
        <v>48</v>
      </c>
      <c r="AC728">
        <v>3</v>
      </c>
      <c r="AD728" t="s">
        <v>48</v>
      </c>
      <c r="AE728">
        <v>0</v>
      </c>
      <c r="AF728" t="s">
        <v>49</v>
      </c>
    </row>
    <row r="729" spans="1:32" x14ac:dyDescent="0.25">
      <c r="A729">
        <v>18</v>
      </c>
      <c r="B729" t="s">
        <v>63</v>
      </c>
      <c r="C729" t="s">
        <v>50</v>
      </c>
      <c r="D729" t="s">
        <v>34</v>
      </c>
      <c r="E729" t="s">
        <v>52</v>
      </c>
      <c r="F729">
        <v>5</v>
      </c>
      <c r="G729" t="s">
        <v>36</v>
      </c>
      <c r="H729">
        <v>2</v>
      </c>
      <c r="I729" t="s">
        <v>37</v>
      </c>
      <c r="J729" t="s">
        <v>54</v>
      </c>
      <c r="K729">
        <v>3</v>
      </c>
      <c r="L729" t="s">
        <v>39</v>
      </c>
      <c r="M729">
        <v>1</v>
      </c>
      <c r="N729" t="s">
        <v>40</v>
      </c>
      <c r="O729" t="s">
        <v>56</v>
      </c>
      <c r="P729">
        <v>4</v>
      </c>
      <c r="Q729" t="s">
        <v>42</v>
      </c>
      <c r="R729" t="s">
        <v>43</v>
      </c>
      <c r="S729">
        <v>1</v>
      </c>
      <c r="T729" t="s">
        <v>44</v>
      </c>
      <c r="U729" t="s">
        <v>59</v>
      </c>
      <c r="V729">
        <v>15</v>
      </c>
      <c r="W729" t="s">
        <v>45</v>
      </c>
      <c r="X729">
        <v>0</v>
      </c>
      <c r="Y729">
        <v>3</v>
      </c>
      <c r="Z729" t="s">
        <v>61</v>
      </c>
      <c r="AA729">
        <v>0</v>
      </c>
      <c r="AB729" t="s">
        <v>48</v>
      </c>
      <c r="AC729">
        <v>0</v>
      </c>
      <c r="AD729" t="s">
        <v>48</v>
      </c>
      <c r="AE729">
        <v>0</v>
      </c>
      <c r="AF729" t="s">
        <v>49</v>
      </c>
    </row>
    <row r="730" spans="1:32" x14ac:dyDescent="0.25">
      <c r="A730">
        <v>54</v>
      </c>
      <c r="B730" t="s">
        <v>64</v>
      </c>
      <c r="C730" t="s">
        <v>50</v>
      </c>
      <c r="D730" t="s">
        <v>34</v>
      </c>
      <c r="E730" t="s">
        <v>52</v>
      </c>
      <c r="F730">
        <v>17</v>
      </c>
      <c r="G730" t="s">
        <v>66</v>
      </c>
      <c r="H730">
        <v>3</v>
      </c>
      <c r="I730" t="s">
        <v>42</v>
      </c>
      <c r="J730" t="s">
        <v>38</v>
      </c>
      <c r="K730">
        <v>3</v>
      </c>
      <c r="L730" t="s">
        <v>39</v>
      </c>
      <c r="M730">
        <v>3</v>
      </c>
      <c r="N730" t="s">
        <v>68</v>
      </c>
      <c r="O730" t="s">
        <v>69</v>
      </c>
      <c r="P730">
        <v>3</v>
      </c>
      <c r="Q730" t="s">
        <v>42</v>
      </c>
      <c r="R730" t="s">
        <v>58</v>
      </c>
      <c r="S730">
        <v>8</v>
      </c>
      <c r="T730" t="s">
        <v>44</v>
      </c>
      <c r="U730" t="s">
        <v>59</v>
      </c>
      <c r="V730">
        <v>11</v>
      </c>
      <c r="W730" t="s">
        <v>45</v>
      </c>
      <c r="X730">
        <v>22</v>
      </c>
      <c r="Y730">
        <v>3</v>
      </c>
      <c r="Z730" t="s">
        <v>61</v>
      </c>
      <c r="AA730">
        <v>10</v>
      </c>
      <c r="AB730" t="s">
        <v>47</v>
      </c>
      <c r="AC730">
        <v>7</v>
      </c>
      <c r="AD730" t="s">
        <v>47</v>
      </c>
      <c r="AE730">
        <v>0</v>
      </c>
      <c r="AF730" t="s">
        <v>49</v>
      </c>
    </row>
    <row r="731" spans="1:32" x14ac:dyDescent="0.25">
      <c r="A731">
        <v>35</v>
      </c>
      <c r="B731" t="s">
        <v>32</v>
      </c>
      <c r="C731" t="s">
        <v>50</v>
      </c>
      <c r="D731" t="s">
        <v>34</v>
      </c>
      <c r="E731" t="s">
        <v>52</v>
      </c>
      <c r="F731">
        <v>25</v>
      </c>
      <c r="G731" t="s">
        <v>66</v>
      </c>
      <c r="H731">
        <v>3</v>
      </c>
      <c r="I731" t="s">
        <v>42</v>
      </c>
      <c r="J731" t="s">
        <v>38</v>
      </c>
      <c r="K731">
        <v>3</v>
      </c>
      <c r="L731" t="s">
        <v>39</v>
      </c>
      <c r="M731">
        <v>3</v>
      </c>
      <c r="N731" t="s">
        <v>68</v>
      </c>
      <c r="O731" t="s">
        <v>70</v>
      </c>
      <c r="P731">
        <v>3</v>
      </c>
      <c r="Q731" t="s">
        <v>42</v>
      </c>
      <c r="R731" t="s">
        <v>67</v>
      </c>
      <c r="S731">
        <v>1</v>
      </c>
      <c r="T731" t="s">
        <v>44</v>
      </c>
      <c r="U731" t="s">
        <v>44</v>
      </c>
      <c r="V731">
        <v>11</v>
      </c>
      <c r="W731" t="s">
        <v>45</v>
      </c>
      <c r="X731">
        <v>16</v>
      </c>
      <c r="Y731">
        <v>2</v>
      </c>
      <c r="Z731" t="s">
        <v>46</v>
      </c>
      <c r="AA731">
        <v>16</v>
      </c>
      <c r="AB731" t="s">
        <v>74</v>
      </c>
      <c r="AC731">
        <v>10</v>
      </c>
      <c r="AD731" t="s">
        <v>47</v>
      </c>
      <c r="AE731">
        <v>10</v>
      </c>
      <c r="AF731" t="s">
        <v>71</v>
      </c>
    </row>
    <row r="732" spans="1:32" x14ac:dyDescent="0.25">
      <c r="A732">
        <v>30</v>
      </c>
      <c r="B732" t="s">
        <v>32</v>
      </c>
      <c r="C732" t="s">
        <v>50</v>
      </c>
      <c r="D732" t="s">
        <v>34</v>
      </c>
      <c r="E732" t="s">
        <v>52</v>
      </c>
      <c r="F732">
        <v>8</v>
      </c>
      <c r="G732" t="s">
        <v>53</v>
      </c>
      <c r="H732">
        <v>2</v>
      </c>
      <c r="I732" t="s">
        <v>37</v>
      </c>
      <c r="J732" t="s">
        <v>38</v>
      </c>
      <c r="K732">
        <v>4</v>
      </c>
      <c r="L732" t="s">
        <v>65</v>
      </c>
      <c r="M732">
        <v>3</v>
      </c>
      <c r="N732" t="s">
        <v>68</v>
      </c>
      <c r="O732" t="s">
        <v>76</v>
      </c>
      <c r="P732">
        <v>1</v>
      </c>
      <c r="Q732" t="s">
        <v>57</v>
      </c>
      <c r="R732" t="s">
        <v>58</v>
      </c>
      <c r="S732">
        <v>0</v>
      </c>
      <c r="T732" t="s">
        <v>44</v>
      </c>
      <c r="U732" t="s">
        <v>44</v>
      </c>
      <c r="V732">
        <v>12</v>
      </c>
      <c r="W732" t="s">
        <v>45</v>
      </c>
      <c r="X732">
        <v>9</v>
      </c>
      <c r="Y732">
        <v>2</v>
      </c>
      <c r="Z732" t="s">
        <v>46</v>
      </c>
      <c r="AA732">
        <v>8</v>
      </c>
      <c r="AB732" t="s">
        <v>47</v>
      </c>
      <c r="AC732">
        <v>7</v>
      </c>
      <c r="AD732" t="s">
        <v>47</v>
      </c>
      <c r="AE732">
        <v>1</v>
      </c>
      <c r="AF732" t="s">
        <v>49</v>
      </c>
    </row>
    <row r="733" spans="1:32" x14ac:dyDescent="0.25">
      <c r="A733">
        <v>20</v>
      </c>
      <c r="B733" t="s">
        <v>63</v>
      </c>
      <c r="C733" t="s">
        <v>33</v>
      </c>
      <c r="D733" t="s">
        <v>34</v>
      </c>
      <c r="E733" t="s">
        <v>52</v>
      </c>
      <c r="F733">
        <v>11</v>
      </c>
      <c r="G733" t="s">
        <v>53</v>
      </c>
      <c r="H733">
        <v>4</v>
      </c>
      <c r="I733" t="s">
        <v>42</v>
      </c>
      <c r="J733" t="s">
        <v>38</v>
      </c>
      <c r="K733">
        <v>2</v>
      </c>
      <c r="L733" t="s">
        <v>55</v>
      </c>
      <c r="M733">
        <v>1</v>
      </c>
      <c r="N733" t="s">
        <v>40</v>
      </c>
      <c r="O733" t="s">
        <v>56</v>
      </c>
      <c r="P733">
        <v>1</v>
      </c>
      <c r="Q733" t="s">
        <v>57</v>
      </c>
      <c r="R733" t="s">
        <v>43</v>
      </c>
      <c r="S733">
        <v>1</v>
      </c>
      <c r="T733" t="s">
        <v>44</v>
      </c>
      <c r="U733" t="s">
        <v>44</v>
      </c>
      <c r="V733">
        <v>15</v>
      </c>
      <c r="W733" t="s">
        <v>45</v>
      </c>
      <c r="X733">
        <v>1</v>
      </c>
      <c r="Y733">
        <v>3</v>
      </c>
      <c r="Z733" t="s">
        <v>61</v>
      </c>
      <c r="AA733">
        <v>1</v>
      </c>
      <c r="AB733" t="s">
        <v>48</v>
      </c>
      <c r="AC733">
        <v>0</v>
      </c>
      <c r="AD733" t="s">
        <v>48</v>
      </c>
      <c r="AE733">
        <v>0</v>
      </c>
      <c r="AF733" t="s">
        <v>49</v>
      </c>
    </row>
    <row r="734" spans="1:32" x14ac:dyDescent="0.25">
      <c r="A734">
        <v>30</v>
      </c>
      <c r="B734" t="s">
        <v>32</v>
      </c>
      <c r="C734" t="s">
        <v>33</v>
      </c>
      <c r="D734" t="s">
        <v>51</v>
      </c>
      <c r="E734" t="s">
        <v>52</v>
      </c>
      <c r="F734">
        <v>5</v>
      </c>
      <c r="G734" t="s">
        <v>36</v>
      </c>
      <c r="H734">
        <v>2</v>
      </c>
      <c r="I734" t="s">
        <v>37</v>
      </c>
      <c r="J734" t="s">
        <v>38</v>
      </c>
      <c r="K734">
        <v>3</v>
      </c>
      <c r="L734" t="s">
        <v>39</v>
      </c>
      <c r="M734">
        <v>1</v>
      </c>
      <c r="N734" t="s">
        <v>40</v>
      </c>
      <c r="O734" t="s">
        <v>62</v>
      </c>
      <c r="P734">
        <v>2</v>
      </c>
      <c r="Q734" t="s">
        <v>57</v>
      </c>
      <c r="R734" t="s">
        <v>43</v>
      </c>
      <c r="S734">
        <v>0</v>
      </c>
      <c r="T734" t="s">
        <v>44</v>
      </c>
      <c r="U734" t="s">
        <v>59</v>
      </c>
      <c r="V734">
        <v>17</v>
      </c>
      <c r="W734" t="s">
        <v>45</v>
      </c>
      <c r="X734">
        <v>4</v>
      </c>
      <c r="Y734">
        <v>3</v>
      </c>
      <c r="Z734" t="s">
        <v>61</v>
      </c>
      <c r="AA734">
        <v>3</v>
      </c>
      <c r="AB734" t="s">
        <v>48</v>
      </c>
      <c r="AC734">
        <v>2</v>
      </c>
      <c r="AD734" t="s">
        <v>48</v>
      </c>
      <c r="AE734">
        <v>1</v>
      </c>
      <c r="AF734" t="s">
        <v>49</v>
      </c>
    </row>
    <row r="735" spans="1:32" x14ac:dyDescent="0.25">
      <c r="A735">
        <v>26</v>
      </c>
      <c r="B735" t="s">
        <v>63</v>
      </c>
      <c r="C735" t="s">
        <v>50</v>
      </c>
      <c r="D735" t="s">
        <v>34</v>
      </c>
      <c r="E735" t="s">
        <v>52</v>
      </c>
      <c r="F735">
        <v>2</v>
      </c>
      <c r="G735" t="s">
        <v>36</v>
      </c>
      <c r="H735">
        <v>4</v>
      </c>
      <c r="I735" t="s">
        <v>42</v>
      </c>
      <c r="J735" t="s">
        <v>54</v>
      </c>
      <c r="K735">
        <v>4</v>
      </c>
      <c r="L735" t="s">
        <v>65</v>
      </c>
      <c r="M735">
        <v>2</v>
      </c>
      <c r="N735" t="s">
        <v>40</v>
      </c>
      <c r="O735" t="s">
        <v>69</v>
      </c>
      <c r="P735">
        <v>4</v>
      </c>
      <c r="Q735" t="s">
        <v>42</v>
      </c>
      <c r="R735" t="s">
        <v>58</v>
      </c>
      <c r="S735">
        <v>1</v>
      </c>
      <c r="T735" t="s">
        <v>44</v>
      </c>
      <c r="U735" t="s">
        <v>59</v>
      </c>
      <c r="V735">
        <v>12</v>
      </c>
      <c r="W735" t="s">
        <v>45</v>
      </c>
      <c r="X735">
        <v>8</v>
      </c>
      <c r="Y735">
        <v>3</v>
      </c>
      <c r="Z735" t="s">
        <v>61</v>
      </c>
      <c r="AA735">
        <v>8</v>
      </c>
      <c r="AB735" t="s">
        <v>47</v>
      </c>
      <c r="AC735">
        <v>7</v>
      </c>
      <c r="AD735" t="s">
        <v>47</v>
      </c>
      <c r="AE735">
        <v>1</v>
      </c>
      <c r="AF735" t="s">
        <v>49</v>
      </c>
    </row>
    <row r="736" spans="1:32" x14ac:dyDescent="0.25">
      <c r="A736">
        <v>22</v>
      </c>
      <c r="B736" t="s">
        <v>63</v>
      </c>
      <c r="C736" t="s">
        <v>50</v>
      </c>
      <c r="D736" t="s">
        <v>34</v>
      </c>
      <c r="E736" t="s">
        <v>52</v>
      </c>
      <c r="F736">
        <v>8</v>
      </c>
      <c r="G736" t="s">
        <v>53</v>
      </c>
      <c r="H736">
        <v>2</v>
      </c>
      <c r="I736" t="s">
        <v>37</v>
      </c>
      <c r="J736" t="s">
        <v>54</v>
      </c>
      <c r="K736">
        <v>1</v>
      </c>
      <c r="L736" t="s">
        <v>55</v>
      </c>
      <c r="M736">
        <v>1</v>
      </c>
      <c r="N736" t="s">
        <v>40</v>
      </c>
      <c r="O736" t="s">
        <v>62</v>
      </c>
      <c r="P736">
        <v>1</v>
      </c>
      <c r="Q736" t="s">
        <v>57</v>
      </c>
      <c r="R736" t="s">
        <v>58</v>
      </c>
      <c r="S736">
        <v>1</v>
      </c>
      <c r="T736" t="s">
        <v>44</v>
      </c>
      <c r="U736" t="s">
        <v>59</v>
      </c>
      <c r="V736">
        <v>15</v>
      </c>
      <c r="W736" t="s">
        <v>45</v>
      </c>
      <c r="X736">
        <v>4</v>
      </c>
      <c r="Y736">
        <v>2</v>
      </c>
      <c r="Z736" t="s">
        <v>46</v>
      </c>
      <c r="AA736">
        <v>4</v>
      </c>
      <c r="AB736" t="s">
        <v>48</v>
      </c>
      <c r="AC736">
        <v>3</v>
      </c>
      <c r="AD736" t="s">
        <v>48</v>
      </c>
      <c r="AE736">
        <v>1</v>
      </c>
      <c r="AF736" t="s">
        <v>49</v>
      </c>
    </row>
    <row r="737" spans="1:32" x14ac:dyDescent="0.25">
      <c r="A737">
        <v>48</v>
      </c>
      <c r="B737" t="s">
        <v>32</v>
      </c>
      <c r="C737" t="s">
        <v>50</v>
      </c>
      <c r="D737" t="s">
        <v>34</v>
      </c>
      <c r="E737" t="s">
        <v>52</v>
      </c>
      <c r="F737">
        <v>6</v>
      </c>
      <c r="G737" t="s">
        <v>53</v>
      </c>
      <c r="H737">
        <v>1</v>
      </c>
      <c r="I737" t="s">
        <v>37</v>
      </c>
      <c r="J737" t="s">
        <v>54</v>
      </c>
      <c r="K737">
        <v>2</v>
      </c>
      <c r="L737" t="s">
        <v>55</v>
      </c>
      <c r="M737">
        <v>2</v>
      </c>
      <c r="N737" t="s">
        <v>40</v>
      </c>
      <c r="O737" t="s">
        <v>70</v>
      </c>
      <c r="P737">
        <v>3</v>
      </c>
      <c r="Q737" t="s">
        <v>42</v>
      </c>
      <c r="R737" t="s">
        <v>43</v>
      </c>
      <c r="S737">
        <v>2</v>
      </c>
      <c r="T737" t="s">
        <v>44</v>
      </c>
      <c r="U737" t="s">
        <v>59</v>
      </c>
      <c r="V737">
        <v>13</v>
      </c>
      <c r="W737" t="s">
        <v>45</v>
      </c>
      <c r="X737">
        <v>19</v>
      </c>
      <c r="Y737">
        <v>3</v>
      </c>
      <c r="Z737" t="s">
        <v>61</v>
      </c>
      <c r="AA737">
        <v>2</v>
      </c>
      <c r="AB737" t="s">
        <v>48</v>
      </c>
      <c r="AC737">
        <v>2</v>
      </c>
      <c r="AD737" t="s">
        <v>48</v>
      </c>
      <c r="AE737">
        <v>2</v>
      </c>
      <c r="AF737" t="s">
        <v>49</v>
      </c>
    </row>
    <row r="738" spans="1:32" x14ac:dyDescent="0.25">
      <c r="A738">
        <v>48</v>
      </c>
      <c r="B738" t="s">
        <v>32</v>
      </c>
      <c r="C738" t="s">
        <v>50</v>
      </c>
      <c r="D738" t="s">
        <v>34</v>
      </c>
      <c r="E738" t="s">
        <v>52</v>
      </c>
      <c r="F738">
        <v>4</v>
      </c>
      <c r="G738" t="s">
        <v>36</v>
      </c>
      <c r="H738">
        <v>3</v>
      </c>
      <c r="I738" t="s">
        <v>42</v>
      </c>
      <c r="J738" t="s">
        <v>54</v>
      </c>
      <c r="K738">
        <v>2</v>
      </c>
      <c r="L738" t="s">
        <v>55</v>
      </c>
      <c r="M738">
        <v>3</v>
      </c>
      <c r="N738" t="s">
        <v>68</v>
      </c>
      <c r="O738" t="s">
        <v>70</v>
      </c>
      <c r="P738">
        <v>3</v>
      </c>
      <c r="Q738" t="s">
        <v>42</v>
      </c>
      <c r="R738" t="s">
        <v>43</v>
      </c>
      <c r="S738">
        <v>7</v>
      </c>
      <c r="T738" t="s">
        <v>44</v>
      </c>
      <c r="U738" t="s">
        <v>59</v>
      </c>
      <c r="V738">
        <v>14</v>
      </c>
      <c r="W738" t="s">
        <v>45</v>
      </c>
      <c r="X738">
        <v>27</v>
      </c>
      <c r="Y738">
        <v>3</v>
      </c>
      <c r="Z738" t="s">
        <v>61</v>
      </c>
      <c r="AA738">
        <v>15</v>
      </c>
      <c r="AB738" t="s">
        <v>74</v>
      </c>
      <c r="AC738">
        <v>11</v>
      </c>
      <c r="AD738" t="s">
        <v>74</v>
      </c>
      <c r="AE738">
        <v>4</v>
      </c>
      <c r="AF738" t="s">
        <v>71</v>
      </c>
    </row>
    <row r="739" spans="1:32" x14ac:dyDescent="0.25">
      <c r="A739">
        <v>41</v>
      </c>
      <c r="B739" t="s">
        <v>32</v>
      </c>
      <c r="C739" t="s">
        <v>50</v>
      </c>
      <c r="D739" t="s">
        <v>34</v>
      </c>
      <c r="E739" t="s">
        <v>52</v>
      </c>
      <c r="F739">
        <v>7</v>
      </c>
      <c r="G739" t="s">
        <v>53</v>
      </c>
      <c r="H739">
        <v>4</v>
      </c>
      <c r="I739" t="s">
        <v>42</v>
      </c>
      <c r="J739" t="s">
        <v>38</v>
      </c>
      <c r="K739">
        <v>3</v>
      </c>
      <c r="L739" t="s">
        <v>39</v>
      </c>
      <c r="M739">
        <v>2</v>
      </c>
      <c r="N739" t="s">
        <v>40</v>
      </c>
      <c r="O739" t="s">
        <v>69</v>
      </c>
      <c r="P739">
        <v>3</v>
      </c>
      <c r="Q739" t="s">
        <v>42</v>
      </c>
      <c r="R739" t="s">
        <v>43</v>
      </c>
      <c r="S739">
        <v>6</v>
      </c>
      <c r="T739" t="s">
        <v>44</v>
      </c>
      <c r="U739" t="s">
        <v>59</v>
      </c>
      <c r="V739">
        <v>14</v>
      </c>
      <c r="W739" t="s">
        <v>45</v>
      </c>
      <c r="X739">
        <v>8</v>
      </c>
      <c r="Y739">
        <v>3</v>
      </c>
      <c r="Z739" t="s">
        <v>61</v>
      </c>
      <c r="AA739">
        <v>2</v>
      </c>
      <c r="AB739" t="s">
        <v>48</v>
      </c>
      <c r="AC739">
        <v>2</v>
      </c>
      <c r="AD739" t="s">
        <v>48</v>
      </c>
      <c r="AE739">
        <v>2</v>
      </c>
      <c r="AF739" t="s">
        <v>49</v>
      </c>
    </row>
    <row r="740" spans="1:32" x14ac:dyDescent="0.25">
      <c r="A740">
        <v>39</v>
      </c>
      <c r="B740" t="s">
        <v>32</v>
      </c>
      <c r="C740" t="s">
        <v>50</v>
      </c>
      <c r="D740" t="s">
        <v>34</v>
      </c>
      <c r="E740" t="s">
        <v>52</v>
      </c>
      <c r="F740">
        <v>1</v>
      </c>
      <c r="G740" t="s">
        <v>36</v>
      </c>
      <c r="H740">
        <v>4</v>
      </c>
      <c r="I740" t="s">
        <v>42</v>
      </c>
      <c r="J740" t="s">
        <v>38</v>
      </c>
      <c r="K740">
        <v>2</v>
      </c>
      <c r="L740" t="s">
        <v>55</v>
      </c>
      <c r="M740">
        <v>4</v>
      </c>
      <c r="N740" t="s">
        <v>72</v>
      </c>
      <c r="O740" t="s">
        <v>69</v>
      </c>
      <c r="P740">
        <v>4</v>
      </c>
      <c r="Q740" t="s">
        <v>42</v>
      </c>
      <c r="R740" t="s">
        <v>58</v>
      </c>
      <c r="S740">
        <v>1</v>
      </c>
      <c r="T740" t="s">
        <v>44</v>
      </c>
      <c r="U740" t="s">
        <v>59</v>
      </c>
      <c r="V740">
        <v>16</v>
      </c>
      <c r="W740" t="s">
        <v>45</v>
      </c>
      <c r="X740">
        <v>21</v>
      </c>
      <c r="Y740">
        <v>3</v>
      </c>
      <c r="Z740" t="s">
        <v>61</v>
      </c>
      <c r="AA740">
        <v>21</v>
      </c>
      <c r="AB740" t="s">
        <v>74</v>
      </c>
      <c r="AC740">
        <v>6</v>
      </c>
      <c r="AD740" t="s">
        <v>47</v>
      </c>
      <c r="AE740">
        <v>11</v>
      </c>
      <c r="AF740" t="s">
        <v>71</v>
      </c>
    </row>
    <row r="741" spans="1:32" x14ac:dyDescent="0.25">
      <c r="A741">
        <v>27</v>
      </c>
      <c r="B741" t="s">
        <v>63</v>
      </c>
      <c r="C741" t="s">
        <v>50</v>
      </c>
      <c r="D741" t="s">
        <v>34</v>
      </c>
      <c r="E741" t="s">
        <v>52</v>
      </c>
      <c r="F741">
        <v>2</v>
      </c>
      <c r="G741" t="s">
        <v>36</v>
      </c>
      <c r="H741">
        <v>1</v>
      </c>
      <c r="I741" t="s">
        <v>37</v>
      </c>
      <c r="J741" t="s">
        <v>38</v>
      </c>
      <c r="K741">
        <v>3</v>
      </c>
      <c r="L741" t="s">
        <v>39</v>
      </c>
      <c r="M741">
        <v>2</v>
      </c>
      <c r="N741" t="s">
        <v>40</v>
      </c>
      <c r="O741" t="s">
        <v>69</v>
      </c>
      <c r="P741">
        <v>4</v>
      </c>
      <c r="Q741" t="s">
        <v>42</v>
      </c>
      <c r="R741" t="s">
        <v>58</v>
      </c>
      <c r="S741">
        <v>0</v>
      </c>
      <c r="T741" t="s">
        <v>44</v>
      </c>
      <c r="U741" t="s">
        <v>59</v>
      </c>
      <c r="V741">
        <v>18</v>
      </c>
      <c r="W741" t="s">
        <v>45</v>
      </c>
      <c r="X741">
        <v>4</v>
      </c>
      <c r="Y741">
        <v>3</v>
      </c>
      <c r="Z741" t="s">
        <v>61</v>
      </c>
      <c r="AA741">
        <v>3</v>
      </c>
      <c r="AB741" t="s">
        <v>48</v>
      </c>
      <c r="AC741">
        <v>2</v>
      </c>
      <c r="AD741" t="s">
        <v>48</v>
      </c>
      <c r="AE741">
        <v>2</v>
      </c>
      <c r="AF741" t="s">
        <v>49</v>
      </c>
    </row>
    <row r="742" spans="1:32" x14ac:dyDescent="0.25">
      <c r="A742">
        <v>35</v>
      </c>
      <c r="B742" t="s">
        <v>32</v>
      </c>
      <c r="C742" t="s">
        <v>50</v>
      </c>
      <c r="D742" t="s">
        <v>34</v>
      </c>
      <c r="E742" t="s">
        <v>52</v>
      </c>
      <c r="F742">
        <v>10</v>
      </c>
      <c r="G742" t="s">
        <v>53</v>
      </c>
      <c r="H742">
        <v>2</v>
      </c>
      <c r="I742" t="s">
        <v>37</v>
      </c>
      <c r="J742" t="s">
        <v>54</v>
      </c>
      <c r="K742">
        <v>3</v>
      </c>
      <c r="L742" t="s">
        <v>39</v>
      </c>
      <c r="M742">
        <v>1</v>
      </c>
      <c r="N742" t="s">
        <v>40</v>
      </c>
      <c r="O742" t="s">
        <v>62</v>
      </c>
      <c r="P742">
        <v>4</v>
      </c>
      <c r="Q742" t="s">
        <v>42</v>
      </c>
      <c r="R742" t="s">
        <v>67</v>
      </c>
      <c r="S742">
        <v>1</v>
      </c>
      <c r="T742" t="s">
        <v>44</v>
      </c>
      <c r="U742" t="s">
        <v>59</v>
      </c>
      <c r="V742">
        <v>20</v>
      </c>
      <c r="W742" t="s">
        <v>60</v>
      </c>
      <c r="X742">
        <v>3</v>
      </c>
      <c r="Y742">
        <v>2</v>
      </c>
      <c r="Z742" t="s">
        <v>46</v>
      </c>
      <c r="AA742">
        <v>3</v>
      </c>
      <c r="AB742" t="s">
        <v>48</v>
      </c>
      <c r="AC742">
        <v>2</v>
      </c>
      <c r="AD742" t="s">
        <v>48</v>
      </c>
      <c r="AE742">
        <v>1</v>
      </c>
      <c r="AF742" t="s">
        <v>49</v>
      </c>
    </row>
    <row r="743" spans="1:32" x14ac:dyDescent="0.25">
      <c r="A743">
        <v>42</v>
      </c>
      <c r="B743" t="s">
        <v>32</v>
      </c>
      <c r="C743" t="s">
        <v>50</v>
      </c>
      <c r="D743" t="s">
        <v>34</v>
      </c>
      <c r="E743" t="s">
        <v>35</v>
      </c>
      <c r="F743">
        <v>5</v>
      </c>
      <c r="G743" t="s">
        <v>36</v>
      </c>
      <c r="H743">
        <v>4</v>
      </c>
      <c r="I743" t="s">
        <v>42</v>
      </c>
      <c r="J743" t="s">
        <v>54</v>
      </c>
      <c r="K743">
        <v>3</v>
      </c>
      <c r="L743" t="s">
        <v>39</v>
      </c>
      <c r="M743">
        <v>5</v>
      </c>
      <c r="N743" t="s">
        <v>72</v>
      </c>
      <c r="O743" t="s">
        <v>73</v>
      </c>
      <c r="P743">
        <v>3</v>
      </c>
      <c r="Q743" t="s">
        <v>42</v>
      </c>
      <c r="R743" t="s">
        <v>58</v>
      </c>
      <c r="S743">
        <v>6</v>
      </c>
      <c r="T743" t="s">
        <v>44</v>
      </c>
      <c r="U743" t="s">
        <v>59</v>
      </c>
      <c r="V743">
        <v>13</v>
      </c>
      <c r="W743" t="s">
        <v>45</v>
      </c>
      <c r="X743">
        <v>21</v>
      </c>
      <c r="Y743">
        <v>4</v>
      </c>
      <c r="Z743" t="s">
        <v>61</v>
      </c>
      <c r="AA743">
        <v>1</v>
      </c>
      <c r="AB743" t="s">
        <v>48</v>
      </c>
      <c r="AC743">
        <v>0</v>
      </c>
      <c r="AD743" t="s">
        <v>48</v>
      </c>
      <c r="AE743">
        <v>0</v>
      </c>
      <c r="AF743" t="s">
        <v>49</v>
      </c>
    </row>
    <row r="744" spans="1:32" x14ac:dyDescent="0.25">
      <c r="A744">
        <v>50</v>
      </c>
      <c r="B744" t="s">
        <v>32</v>
      </c>
      <c r="C744" t="s">
        <v>50</v>
      </c>
      <c r="D744" t="s">
        <v>34</v>
      </c>
      <c r="E744" t="s">
        <v>52</v>
      </c>
      <c r="F744">
        <v>9</v>
      </c>
      <c r="G744" t="s">
        <v>53</v>
      </c>
      <c r="H744">
        <v>1</v>
      </c>
      <c r="I744" t="s">
        <v>37</v>
      </c>
      <c r="J744" t="s">
        <v>54</v>
      </c>
      <c r="K744">
        <v>3</v>
      </c>
      <c r="L744" t="s">
        <v>39</v>
      </c>
      <c r="M744">
        <v>1</v>
      </c>
      <c r="N744" t="s">
        <v>40</v>
      </c>
      <c r="O744" t="s">
        <v>62</v>
      </c>
      <c r="P744">
        <v>4</v>
      </c>
      <c r="Q744" t="s">
        <v>42</v>
      </c>
      <c r="R744" t="s">
        <v>58</v>
      </c>
      <c r="S744">
        <v>4</v>
      </c>
      <c r="T744" t="s">
        <v>44</v>
      </c>
      <c r="U744" t="s">
        <v>59</v>
      </c>
      <c r="V744">
        <v>18</v>
      </c>
      <c r="W744" t="s">
        <v>45</v>
      </c>
      <c r="X744">
        <v>8</v>
      </c>
      <c r="Y744">
        <v>3</v>
      </c>
      <c r="Z744" t="s">
        <v>61</v>
      </c>
      <c r="AA744">
        <v>1</v>
      </c>
      <c r="AB744" t="s">
        <v>48</v>
      </c>
      <c r="AC744">
        <v>0</v>
      </c>
      <c r="AD744" t="s">
        <v>48</v>
      </c>
      <c r="AE744">
        <v>0</v>
      </c>
      <c r="AF744" t="s">
        <v>49</v>
      </c>
    </row>
    <row r="745" spans="1:32" x14ac:dyDescent="0.25">
      <c r="A745">
        <v>59</v>
      </c>
      <c r="B745" t="s">
        <v>64</v>
      </c>
      <c r="C745" t="s">
        <v>50</v>
      </c>
      <c r="D745" t="s">
        <v>34</v>
      </c>
      <c r="E745" t="s">
        <v>52</v>
      </c>
      <c r="F745">
        <v>2</v>
      </c>
      <c r="G745" t="s">
        <v>36</v>
      </c>
      <c r="H745">
        <v>3</v>
      </c>
      <c r="I745" t="s">
        <v>42</v>
      </c>
      <c r="J745" t="s">
        <v>38</v>
      </c>
      <c r="K745">
        <v>2</v>
      </c>
      <c r="L745" t="s">
        <v>55</v>
      </c>
      <c r="M745">
        <v>4</v>
      </c>
      <c r="N745" t="s">
        <v>72</v>
      </c>
      <c r="O745" t="s">
        <v>69</v>
      </c>
      <c r="P745">
        <v>4</v>
      </c>
      <c r="Q745" t="s">
        <v>42</v>
      </c>
      <c r="R745" t="s">
        <v>43</v>
      </c>
      <c r="S745">
        <v>3</v>
      </c>
      <c r="T745" t="s">
        <v>44</v>
      </c>
      <c r="U745" t="s">
        <v>44</v>
      </c>
      <c r="V745">
        <v>13</v>
      </c>
      <c r="W745" t="s">
        <v>45</v>
      </c>
      <c r="X745">
        <v>30</v>
      </c>
      <c r="Y745">
        <v>3</v>
      </c>
      <c r="Z745" t="s">
        <v>61</v>
      </c>
      <c r="AA745">
        <v>5</v>
      </c>
      <c r="AB745" t="s">
        <v>47</v>
      </c>
      <c r="AC745">
        <v>3</v>
      </c>
      <c r="AD745" t="s">
        <v>48</v>
      </c>
      <c r="AE745">
        <v>4</v>
      </c>
      <c r="AF745" t="s">
        <v>71</v>
      </c>
    </row>
    <row r="746" spans="1:32" x14ac:dyDescent="0.25">
      <c r="A746">
        <v>37</v>
      </c>
      <c r="B746" t="s">
        <v>32</v>
      </c>
      <c r="C746" t="s">
        <v>33</v>
      </c>
      <c r="D746" t="s">
        <v>34</v>
      </c>
      <c r="E746" t="s">
        <v>52</v>
      </c>
      <c r="F746">
        <v>11</v>
      </c>
      <c r="G746" t="s">
        <v>53</v>
      </c>
      <c r="H746">
        <v>1</v>
      </c>
      <c r="I746" t="s">
        <v>37</v>
      </c>
      <c r="J746" t="s">
        <v>38</v>
      </c>
      <c r="K746">
        <v>1</v>
      </c>
      <c r="L746" t="s">
        <v>55</v>
      </c>
      <c r="M746">
        <v>2</v>
      </c>
      <c r="N746" t="s">
        <v>40</v>
      </c>
      <c r="O746" t="s">
        <v>70</v>
      </c>
      <c r="P746">
        <v>2</v>
      </c>
      <c r="Q746" t="s">
        <v>57</v>
      </c>
      <c r="R746" t="s">
        <v>58</v>
      </c>
      <c r="S746">
        <v>5</v>
      </c>
      <c r="T746" t="s">
        <v>44</v>
      </c>
      <c r="U746" t="s">
        <v>59</v>
      </c>
      <c r="V746">
        <v>15</v>
      </c>
      <c r="W746" t="s">
        <v>45</v>
      </c>
      <c r="X746">
        <v>15</v>
      </c>
      <c r="Y746">
        <v>1</v>
      </c>
      <c r="Z746" t="s">
        <v>46</v>
      </c>
      <c r="AA746">
        <v>1</v>
      </c>
      <c r="AB746" t="s">
        <v>48</v>
      </c>
      <c r="AC746">
        <v>0</v>
      </c>
      <c r="AD746" t="s">
        <v>48</v>
      </c>
      <c r="AE746">
        <v>0</v>
      </c>
      <c r="AF746" t="s">
        <v>49</v>
      </c>
    </row>
    <row r="747" spans="1:32" x14ac:dyDescent="0.25">
      <c r="A747">
        <v>55</v>
      </c>
      <c r="B747" t="s">
        <v>64</v>
      </c>
      <c r="C747" t="s">
        <v>50</v>
      </c>
      <c r="D747" t="s">
        <v>51</v>
      </c>
      <c r="E747" t="s">
        <v>52</v>
      </c>
      <c r="F747">
        <v>18</v>
      </c>
      <c r="G747" t="s">
        <v>66</v>
      </c>
      <c r="H747">
        <v>3</v>
      </c>
      <c r="I747" t="s">
        <v>42</v>
      </c>
      <c r="J747" t="s">
        <v>54</v>
      </c>
      <c r="K747">
        <v>3</v>
      </c>
      <c r="L747" t="s">
        <v>39</v>
      </c>
      <c r="M747">
        <v>2</v>
      </c>
      <c r="N747" t="s">
        <v>40</v>
      </c>
      <c r="O747" t="s">
        <v>70</v>
      </c>
      <c r="P747">
        <v>2</v>
      </c>
      <c r="Q747" t="s">
        <v>57</v>
      </c>
      <c r="R747" t="s">
        <v>58</v>
      </c>
      <c r="S747">
        <v>3</v>
      </c>
      <c r="T747" t="s">
        <v>44</v>
      </c>
      <c r="U747" t="s">
        <v>44</v>
      </c>
      <c r="V747">
        <v>14</v>
      </c>
      <c r="W747" t="s">
        <v>45</v>
      </c>
      <c r="X747">
        <v>17</v>
      </c>
      <c r="Y747">
        <v>3</v>
      </c>
      <c r="Z747" t="s">
        <v>61</v>
      </c>
      <c r="AA747">
        <v>8</v>
      </c>
      <c r="AB747" t="s">
        <v>47</v>
      </c>
      <c r="AC747">
        <v>7</v>
      </c>
      <c r="AD747" t="s">
        <v>47</v>
      </c>
      <c r="AE747">
        <v>6</v>
      </c>
      <c r="AF747" t="s">
        <v>71</v>
      </c>
    </row>
    <row r="748" spans="1:32" x14ac:dyDescent="0.25">
      <c r="A748">
        <v>41</v>
      </c>
      <c r="B748" t="s">
        <v>32</v>
      </c>
      <c r="C748" t="s">
        <v>50</v>
      </c>
      <c r="D748" t="s">
        <v>34</v>
      </c>
      <c r="E748" t="s">
        <v>52</v>
      </c>
      <c r="F748">
        <v>7</v>
      </c>
      <c r="G748" t="s">
        <v>53</v>
      </c>
      <c r="H748">
        <v>2</v>
      </c>
      <c r="I748" t="s">
        <v>37</v>
      </c>
      <c r="J748" t="s">
        <v>38</v>
      </c>
      <c r="K748">
        <v>1</v>
      </c>
      <c r="L748" t="s">
        <v>55</v>
      </c>
      <c r="M748">
        <v>5</v>
      </c>
      <c r="N748" t="s">
        <v>72</v>
      </c>
      <c r="O748" t="s">
        <v>76</v>
      </c>
      <c r="P748">
        <v>3</v>
      </c>
      <c r="Q748" t="s">
        <v>42</v>
      </c>
      <c r="R748" t="s">
        <v>67</v>
      </c>
      <c r="S748">
        <v>1</v>
      </c>
      <c r="T748" t="s">
        <v>44</v>
      </c>
      <c r="U748" t="s">
        <v>59</v>
      </c>
      <c r="V748">
        <v>22</v>
      </c>
      <c r="W748" t="s">
        <v>60</v>
      </c>
      <c r="X748">
        <v>21</v>
      </c>
      <c r="Y748">
        <v>3</v>
      </c>
      <c r="Z748" t="s">
        <v>61</v>
      </c>
      <c r="AA748">
        <v>21</v>
      </c>
      <c r="AB748" t="s">
        <v>74</v>
      </c>
      <c r="AC748">
        <v>16</v>
      </c>
      <c r="AD748" t="s">
        <v>74</v>
      </c>
      <c r="AE748">
        <v>5</v>
      </c>
      <c r="AF748" t="s">
        <v>71</v>
      </c>
    </row>
    <row r="749" spans="1:32" x14ac:dyDescent="0.25">
      <c r="A749">
        <v>38</v>
      </c>
      <c r="B749" t="s">
        <v>32</v>
      </c>
      <c r="C749" t="s">
        <v>50</v>
      </c>
      <c r="D749" t="s">
        <v>34</v>
      </c>
      <c r="E749" t="s">
        <v>35</v>
      </c>
      <c r="F749">
        <v>3</v>
      </c>
      <c r="G749" t="s">
        <v>36</v>
      </c>
      <c r="H749">
        <v>2</v>
      </c>
      <c r="I749" t="s">
        <v>37</v>
      </c>
      <c r="J749" t="s">
        <v>54</v>
      </c>
      <c r="K749">
        <v>3</v>
      </c>
      <c r="L749" t="s">
        <v>39</v>
      </c>
      <c r="M749">
        <v>2</v>
      </c>
      <c r="N749" t="s">
        <v>40</v>
      </c>
      <c r="O749" t="s">
        <v>41</v>
      </c>
      <c r="P749">
        <v>4</v>
      </c>
      <c r="Q749" t="s">
        <v>42</v>
      </c>
      <c r="R749" t="s">
        <v>43</v>
      </c>
      <c r="S749">
        <v>8</v>
      </c>
      <c r="T749" t="s">
        <v>44</v>
      </c>
      <c r="U749" t="s">
        <v>44</v>
      </c>
      <c r="V749">
        <v>12</v>
      </c>
      <c r="W749" t="s">
        <v>45</v>
      </c>
      <c r="X749">
        <v>19</v>
      </c>
      <c r="Y749">
        <v>3</v>
      </c>
      <c r="Z749" t="s">
        <v>61</v>
      </c>
      <c r="AA749">
        <v>1</v>
      </c>
      <c r="AB749" t="s">
        <v>48</v>
      </c>
      <c r="AC749">
        <v>0</v>
      </c>
      <c r="AD749" t="s">
        <v>48</v>
      </c>
      <c r="AE749">
        <v>0</v>
      </c>
      <c r="AF749" t="s">
        <v>49</v>
      </c>
    </row>
    <row r="750" spans="1:32" x14ac:dyDescent="0.25">
      <c r="A750">
        <v>26</v>
      </c>
      <c r="B750" t="s">
        <v>63</v>
      </c>
      <c r="C750" t="s">
        <v>33</v>
      </c>
      <c r="D750" t="s">
        <v>34</v>
      </c>
      <c r="E750" t="s">
        <v>35</v>
      </c>
      <c r="F750">
        <v>29</v>
      </c>
      <c r="G750" t="s">
        <v>66</v>
      </c>
      <c r="H750">
        <v>2</v>
      </c>
      <c r="I750" t="s">
        <v>37</v>
      </c>
      <c r="J750" t="s">
        <v>54</v>
      </c>
      <c r="K750">
        <v>1</v>
      </c>
      <c r="L750" t="s">
        <v>55</v>
      </c>
      <c r="M750">
        <v>2</v>
      </c>
      <c r="N750" t="s">
        <v>40</v>
      </c>
      <c r="O750" t="s">
        <v>41</v>
      </c>
      <c r="P750">
        <v>1</v>
      </c>
      <c r="Q750" t="s">
        <v>57</v>
      </c>
      <c r="R750" t="s">
        <v>43</v>
      </c>
      <c r="S750">
        <v>8</v>
      </c>
      <c r="T750" t="s">
        <v>44</v>
      </c>
      <c r="U750" t="s">
        <v>59</v>
      </c>
      <c r="V750">
        <v>18</v>
      </c>
      <c r="W750" t="s">
        <v>45</v>
      </c>
      <c r="X750">
        <v>7</v>
      </c>
      <c r="Y750">
        <v>3</v>
      </c>
      <c r="Z750" t="s">
        <v>61</v>
      </c>
      <c r="AA750">
        <v>2</v>
      </c>
      <c r="AB750" t="s">
        <v>48</v>
      </c>
      <c r="AC750">
        <v>2</v>
      </c>
      <c r="AD750" t="s">
        <v>48</v>
      </c>
      <c r="AE750">
        <v>2</v>
      </c>
      <c r="AF750" t="s">
        <v>49</v>
      </c>
    </row>
    <row r="751" spans="1:32" x14ac:dyDescent="0.25">
      <c r="A751">
        <v>52</v>
      </c>
      <c r="B751" t="s">
        <v>64</v>
      </c>
      <c r="C751" t="s">
        <v>33</v>
      </c>
      <c r="D751" t="s">
        <v>34</v>
      </c>
      <c r="E751" t="s">
        <v>35</v>
      </c>
      <c r="F751">
        <v>2</v>
      </c>
      <c r="G751" t="s">
        <v>36</v>
      </c>
      <c r="H751">
        <v>1</v>
      </c>
      <c r="I751" t="s">
        <v>37</v>
      </c>
      <c r="J751" t="s">
        <v>38</v>
      </c>
      <c r="K751">
        <v>1</v>
      </c>
      <c r="L751" t="s">
        <v>55</v>
      </c>
      <c r="M751">
        <v>5</v>
      </c>
      <c r="N751" t="s">
        <v>72</v>
      </c>
      <c r="O751" t="s">
        <v>73</v>
      </c>
      <c r="P751">
        <v>4</v>
      </c>
      <c r="Q751" t="s">
        <v>42</v>
      </c>
      <c r="R751" t="s">
        <v>58</v>
      </c>
      <c r="S751">
        <v>1</v>
      </c>
      <c r="T751" t="s">
        <v>44</v>
      </c>
      <c r="U751" t="s">
        <v>59</v>
      </c>
      <c r="V751">
        <v>15</v>
      </c>
      <c r="W751" t="s">
        <v>45</v>
      </c>
      <c r="X751">
        <v>33</v>
      </c>
      <c r="Y751">
        <v>3</v>
      </c>
      <c r="Z751" t="s">
        <v>61</v>
      </c>
      <c r="AA751">
        <v>32</v>
      </c>
      <c r="AB751" t="s">
        <v>74</v>
      </c>
      <c r="AC751">
        <v>14</v>
      </c>
      <c r="AD751" t="s">
        <v>74</v>
      </c>
      <c r="AE751">
        <v>6</v>
      </c>
      <c r="AF751" t="s">
        <v>71</v>
      </c>
    </row>
    <row r="752" spans="1:32" x14ac:dyDescent="0.25">
      <c r="A752">
        <v>44</v>
      </c>
      <c r="B752" t="s">
        <v>32</v>
      </c>
      <c r="C752" t="s">
        <v>50</v>
      </c>
      <c r="D752" t="s">
        <v>34</v>
      </c>
      <c r="E752" t="s">
        <v>35</v>
      </c>
      <c r="F752">
        <v>28</v>
      </c>
      <c r="G752" t="s">
        <v>66</v>
      </c>
      <c r="H752">
        <v>4</v>
      </c>
      <c r="I752" t="s">
        <v>42</v>
      </c>
      <c r="J752" t="s">
        <v>38</v>
      </c>
      <c r="K752">
        <v>4</v>
      </c>
      <c r="L752" t="s">
        <v>65</v>
      </c>
      <c r="M752">
        <v>4</v>
      </c>
      <c r="N752" t="s">
        <v>72</v>
      </c>
      <c r="O752" t="s">
        <v>41</v>
      </c>
      <c r="P752">
        <v>4</v>
      </c>
      <c r="Q752" t="s">
        <v>42</v>
      </c>
      <c r="R752" t="s">
        <v>58</v>
      </c>
      <c r="S752">
        <v>3</v>
      </c>
      <c r="T752" t="s">
        <v>44</v>
      </c>
      <c r="U752" t="s">
        <v>44</v>
      </c>
      <c r="V752">
        <v>18</v>
      </c>
      <c r="W752" t="s">
        <v>45</v>
      </c>
      <c r="X752">
        <v>23</v>
      </c>
      <c r="Y752">
        <v>3</v>
      </c>
      <c r="Z752" t="s">
        <v>61</v>
      </c>
      <c r="AA752">
        <v>12</v>
      </c>
      <c r="AB752" t="s">
        <v>74</v>
      </c>
      <c r="AC752">
        <v>11</v>
      </c>
      <c r="AD752" t="s">
        <v>74</v>
      </c>
      <c r="AE752">
        <v>11</v>
      </c>
      <c r="AF752" t="s">
        <v>71</v>
      </c>
    </row>
    <row r="753" spans="1:32" x14ac:dyDescent="0.25">
      <c r="A753">
        <v>50</v>
      </c>
      <c r="B753" t="s">
        <v>32</v>
      </c>
      <c r="C753" t="s">
        <v>50</v>
      </c>
      <c r="D753" t="s">
        <v>34</v>
      </c>
      <c r="E753" t="s">
        <v>35</v>
      </c>
      <c r="F753">
        <v>1</v>
      </c>
      <c r="G753" t="s">
        <v>36</v>
      </c>
      <c r="H753">
        <v>4</v>
      </c>
      <c r="I753" t="s">
        <v>42</v>
      </c>
      <c r="J753" t="s">
        <v>38</v>
      </c>
      <c r="K753">
        <v>3</v>
      </c>
      <c r="L753" t="s">
        <v>39</v>
      </c>
      <c r="M753">
        <v>2</v>
      </c>
      <c r="N753" t="s">
        <v>40</v>
      </c>
      <c r="O753" t="s">
        <v>41</v>
      </c>
      <c r="P753">
        <v>3</v>
      </c>
      <c r="Q753" t="s">
        <v>42</v>
      </c>
      <c r="R753" t="s">
        <v>58</v>
      </c>
      <c r="S753">
        <v>0</v>
      </c>
      <c r="T753" t="s">
        <v>44</v>
      </c>
      <c r="U753" t="s">
        <v>59</v>
      </c>
      <c r="V753">
        <v>12</v>
      </c>
      <c r="W753" t="s">
        <v>45</v>
      </c>
      <c r="X753">
        <v>19</v>
      </c>
      <c r="Y753">
        <v>3</v>
      </c>
      <c r="Z753" t="s">
        <v>61</v>
      </c>
      <c r="AA753">
        <v>18</v>
      </c>
      <c r="AB753" t="s">
        <v>74</v>
      </c>
      <c r="AC753">
        <v>7</v>
      </c>
      <c r="AD753" t="s">
        <v>47</v>
      </c>
      <c r="AE753">
        <v>0</v>
      </c>
      <c r="AF753" t="s">
        <v>49</v>
      </c>
    </row>
    <row r="754" spans="1:32" x14ac:dyDescent="0.25">
      <c r="A754">
        <v>36</v>
      </c>
      <c r="B754" t="s">
        <v>32</v>
      </c>
      <c r="C754" t="s">
        <v>33</v>
      </c>
      <c r="D754" t="s">
        <v>34</v>
      </c>
      <c r="E754" t="s">
        <v>52</v>
      </c>
      <c r="F754">
        <v>16</v>
      </c>
      <c r="G754" t="s">
        <v>66</v>
      </c>
      <c r="H754">
        <v>3</v>
      </c>
      <c r="I754" t="s">
        <v>42</v>
      </c>
      <c r="J754" t="s">
        <v>38</v>
      </c>
      <c r="K754">
        <v>4</v>
      </c>
      <c r="L754" t="s">
        <v>65</v>
      </c>
      <c r="M754">
        <v>1</v>
      </c>
      <c r="N754" t="s">
        <v>40</v>
      </c>
      <c r="O754" t="s">
        <v>62</v>
      </c>
      <c r="P754">
        <v>1</v>
      </c>
      <c r="Q754" t="s">
        <v>57</v>
      </c>
      <c r="R754" t="s">
        <v>43</v>
      </c>
      <c r="S754">
        <v>1</v>
      </c>
      <c r="T754" t="s">
        <v>44</v>
      </c>
      <c r="U754" t="s">
        <v>59</v>
      </c>
      <c r="V754">
        <v>16</v>
      </c>
      <c r="W754" t="s">
        <v>45</v>
      </c>
      <c r="X754">
        <v>18</v>
      </c>
      <c r="Y754">
        <v>3</v>
      </c>
      <c r="Z754" t="s">
        <v>61</v>
      </c>
      <c r="AA754">
        <v>17</v>
      </c>
      <c r="AB754" t="s">
        <v>74</v>
      </c>
      <c r="AC754">
        <v>13</v>
      </c>
      <c r="AD754" t="s">
        <v>74</v>
      </c>
      <c r="AE754">
        <v>15</v>
      </c>
      <c r="AF754" t="s">
        <v>71</v>
      </c>
    </row>
    <row r="755" spans="1:32" x14ac:dyDescent="0.25">
      <c r="A755">
        <v>39</v>
      </c>
      <c r="B755" t="s">
        <v>32</v>
      </c>
      <c r="C755" t="s">
        <v>50</v>
      </c>
      <c r="D755" t="s">
        <v>51</v>
      </c>
      <c r="E755" t="s">
        <v>52</v>
      </c>
      <c r="F755">
        <v>22</v>
      </c>
      <c r="G755" t="s">
        <v>66</v>
      </c>
      <c r="H755">
        <v>4</v>
      </c>
      <c r="I755" t="s">
        <v>42</v>
      </c>
      <c r="J755" t="s">
        <v>38</v>
      </c>
      <c r="K755">
        <v>3</v>
      </c>
      <c r="L755" t="s">
        <v>39</v>
      </c>
      <c r="M755">
        <v>3</v>
      </c>
      <c r="N755" t="s">
        <v>68</v>
      </c>
      <c r="O755" t="s">
        <v>69</v>
      </c>
      <c r="P755">
        <v>1</v>
      </c>
      <c r="Q755" t="s">
        <v>57</v>
      </c>
      <c r="R755" t="s">
        <v>43</v>
      </c>
      <c r="S755">
        <v>1</v>
      </c>
      <c r="T755" t="s">
        <v>44</v>
      </c>
      <c r="U755" t="s">
        <v>44</v>
      </c>
      <c r="V755">
        <v>13</v>
      </c>
      <c r="W755" t="s">
        <v>45</v>
      </c>
      <c r="X755">
        <v>21</v>
      </c>
      <c r="Y755">
        <v>3</v>
      </c>
      <c r="Z755" t="s">
        <v>61</v>
      </c>
      <c r="AA755">
        <v>21</v>
      </c>
      <c r="AB755" t="s">
        <v>74</v>
      </c>
      <c r="AC755">
        <v>6</v>
      </c>
      <c r="AD755" t="s">
        <v>47</v>
      </c>
      <c r="AE755">
        <v>2</v>
      </c>
      <c r="AF755" t="s">
        <v>49</v>
      </c>
    </row>
    <row r="756" spans="1:32" x14ac:dyDescent="0.25">
      <c r="A756">
        <v>33</v>
      </c>
      <c r="B756" t="s">
        <v>32</v>
      </c>
      <c r="C756" t="s">
        <v>50</v>
      </c>
      <c r="D756" t="s">
        <v>34</v>
      </c>
      <c r="E756" t="s">
        <v>35</v>
      </c>
      <c r="F756">
        <v>8</v>
      </c>
      <c r="G756" t="s">
        <v>53</v>
      </c>
      <c r="H756">
        <v>2</v>
      </c>
      <c r="I756" t="s">
        <v>37</v>
      </c>
      <c r="J756" t="s">
        <v>38</v>
      </c>
      <c r="K756">
        <v>2</v>
      </c>
      <c r="L756" t="s">
        <v>55</v>
      </c>
      <c r="M756">
        <v>1</v>
      </c>
      <c r="N756" t="s">
        <v>40</v>
      </c>
      <c r="O756" t="s">
        <v>75</v>
      </c>
      <c r="P756">
        <v>4</v>
      </c>
      <c r="Q756" t="s">
        <v>42</v>
      </c>
      <c r="R756" t="s">
        <v>43</v>
      </c>
      <c r="S756">
        <v>0</v>
      </c>
      <c r="T756" t="s">
        <v>44</v>
      </c>
      <c r="U756" t="s">
        <v>59</v>
      </c>
      <c r="V756">
        <v>19</v>
      </c>
      <c r="W756" t="s">
        <v>45</v>
      </c>
      <c r="X756">
        <v>3</v>
      </c>
      <c r="Y756">
        <v>2</v>
      </c>
      <c r="Z756" t="s">
        <v>46</v>
      </c>
      <c r="AA756">
        <v>2</v>
      </c>
      <c r="AB756" t="s">
        <v>48</v>
      </c>
      <c r="AC756">
        <v>2</v>
      </c>
      <c r="AD756" t="s">
        <v>48</v>
      </c>
      <c r="AE756">
        <v>2</v>
      </c>
      <c r="AF756" t="s">
        <v>49</v>
      </c>
    </row>
    <row r="757" spans="1:32" x14ac:dyDescent="0.25">
      <c r="A757">
        <v>45</v>
      </c>
      <c r="B757" t="s">
        <v>32</v>
      </c>
      <c r="C757" t="s">
        <v>50</v>
      </c>
      <c r="D757" t="s">
        <v>34</v>
      </c>
      <c r="E757" t="s">
        <v>35</v>
      </c>
      <c r="F757">
        <v>11</v>
      </c>
      <c r="G757" t="s">
        <v>53</v>
      </c>
      <c r="H757">
        <v>4</v>
      </c>
      <c r="I757" t="s">
        <v>42</v>
      </c>
      <c r="J757" t="s">
        <v>38</v>
      </c>
      <c r="K757">
        <v>3</v>
      </c>
      <c r="L757" t="s">
        <v>39</v>
      </c>
      <c r="M757">
        <v>4</v>
      </c>
      <c r="N757" t="s">
        <v>72</v>
      </c>
      <c r="O757" t="s">
        <v>73</v>
      </c>
      <c r="P757">
        <v>4</v>
      </c>
      <c r="Q757" t="s">
        <v>42</v>
      </c>
      <c r="R757" t="s">
        <v>58</v>
      </c>
      <c r="S757">
        <v>3</v>
      </c>
      <c r="T757" t="s">
        <v>44</v>
      </c>
      <c r="U757" t="s">
        <v>59</v>
      </c>
      <c r="V757">
        <v>13</v>
      </c>
      <c r="W757" t="s">
        <v>45</v>
      </c>
      <c r="X757">
        <v>26</v>
      </c>
      <c r="Y757">
        <v>4</v>
      </c>
      <c r="Z757" t="s">
        <v>61</v>
      </c>
      <c r="AA757">
        <v>9</v>
      </c>
      <c r="AB757" t="s">
        <v>47</v>
      </c>
      <c r="AC757">
        <v>3</v>
      </c>
      <c r="AD757" t="s">
        <v>48</v>
      </c>
      <c r="AE757">
        <v>1</v>
      </c>
      <c r="AF757" t="s">
        <v>49</v>
      </c>
    </row>
    <row r="758" spans="1:32" x14ac:dyDescent="0.25">
      <c r="A758">
        <v>32</v>
      </c>
      <c r="B758" t="s">
        <v>32</v>
      </c>
      <c r="C758" t="s">
        <v>50</v>
      </c>
      <c r="D758" t="s">
        <v>34</v>
      </c>
      <c r="E758" t="s">
        <v>52</v>
      </c>
      <c r="F758">
        <v>29</v>
      </c>
      <c r="G758" t="s">
        <v>66</v>
      </c>
      <c r="H758">
        <v>4</v>
      </c>
      <c r="I758" t="s">
        <v>42</v>
      </c>
      <c r="J758" t="s">
        <v>38</v>
      </c>
      <c r="K758">
        <v>3</v>
      </c>
      <c r="L758" t="s">
        <v>39</v>
      </c>
      <c r="M758">
        <v>1</v>
      </c>
      <c r="N758" t="s">
        <v>40</v>
      </c>
      <c r="O758" t="s">
        <v>62</v>
      </c>
      <c r="P758">
        <v>3</v>
      </c>
      <c r="Q758" t="s">
        <v>42</v>
      </c>
      <c r="R758" t="s">
        <v>43</v>
      </c>
      <c r="S758">
        <v>9</v>
      </c>
      <c r="T758" t="s">
        <v>44</v>
      </c>
      <c r="U758" t="s">
        <v>59</v>
      </c>
      <c r="V758">
        <v>12</v>
      </c>
      <c r="W758" t="s">
        <v>45</v>
      </c>
      <c r="X758">
        <v>10</v>
      </c>
      <c r="Y758">
        <v>3</v>
      </c>
      <c r="Z758" t="s">
        <v>61</v>
      </c>
      <c r="AA758">
        <v>8</v>
      </c>
      <c r="AB758" t="s">
        <v>47</v>
      </c>
      <c r="AC758">
        <v>7</v>
      </c>
      <c r="AD758" t="s">
        <v>47</v>
      </c>
      <c r="AE758">
        <v>7</v>
      </c>
      <c r="AF758" t="s">
        <v>71</v>
      </c>
    </row>
    <row r="759" spans="1:32" x14ac:dyDescent="0.25">
      <c r="A759">
        <v>34</v>
      </c>
      <c r="B759" t="s">
        <v>32</v>
      </c>
      <c r="C759" t="s">
        <v>50</v>
      </c>
      <c r="D759" t="s">
        <v>34</v>
      </c>
      <c r="E759" t="s">
        <v>35</v>
      </c>
      <c r="F759">
        <v>1</v>
      </c>
      <c r="G759" t="s">
        <v>36</v>
      </c>
      <c r="H759">
        <v>2</v>
      </c>
      <c r="I759" t="s">
        <v>37</v>
      </c>
      <c r="J759" t="s">
        <v>54</v>
      </c>
      <c r="K759">
        <v>4</v>
      </c>
      <c r="L759" t="s">
        <v>65</v>
      </c>
      <c r="M759">
        <v>2</v>
      </c>
      <c r="N759" t="s">
        <v>40</v>
      </c>
      <c r="O759" t="s">
        <v>41</v>
      </c>
      <c r="P759">
        <v>4</v>
      </c>
      <c r="Q759" t="s">
        <v>42</v>
      </c>
      <c r="R759" t="s">
        <v>67</v>
      </c>
      <c r="S759">
        <v>0</v>
      </c>
      <c r="T759" t="s">
        <v>44</v>
      </c>
      <c r="U759" t="s">
        <v>59</v>
      </c>
      <c r="V759">
        <v>11</v>
      </c>
      <c r="W759" t="s">
        <v>45</v>
      </c>
      <c r="X759">
        <v>16</v>
      </c>
      <c r="Y759">
        <v>2</v>
      </c>
      <c r="Z759" t="s">
        <v>46</v>
      </c>
      <c r="AA759">
        <v>15</v>
      </c>
      <c r="AB759" t="s">
        <v>74</v>
      </c>
      <c r="AC759">
        <v>1</v>
      </c>
      <c r="AD759" t="s">
        <v>48</v>
      </c>
      <c r="AE759">
        <v>0</v>
      </c>
      <c r="AF759" t="s">
        <v>49</v>
      </c>
    </row>
    <row r="760" spans="1:32" x14ac:dyDescent="0.25">
      <c r="A760">
        <v>59</v>
      </c>
      <c r="B760" t="s">
        <v>64</v>
      </c>
      <c r="C760" t="s">
        <v>50</v>
      </c>
      <c r="D760" t="s">
        <v>34</v>
      </c>
      <c r="E760" t="s">
        <v>35</v>
      </c>
      <c r="F760">
        <v>1</v>
      </c>
      <c r="G760" t="s">
        <v>36</v>
      </c>
      <c r="H760">
        <v>2</v>
      </c>
      <c r="I760" t="s">
        <v>37</v>
      </c>
      <c r="J760" t="s">
        <v>54</v>
      </c>
      <c r="K760">
        <v>3</v>
      </c>
      <c r="L760" t="s">
        <v>39</v>
      </c>
      <c r="M760">
        <v>3</v>
      </c>
      <c r="N760" t="s">
        <v>68</v>
      </c>
      <c r="O760" t="s">
        <v>73</v>
      </c>
      <c r="P760">
        <v>4</v>
      </c>
      <c r="Q760" t="s">
        <v>42</v>
      </c>
      <c r="R760" t="s">
        <v>58</v>
      </c>
      <c r="S760">
        <v>3</v>
      </c>
      <c r="T760" t="s">
        <v>44</v>
      </c>
      <c r="U760" t="s">
        <v>44</v>
      </c>
      <c r="V760">
        <v>14</v>
      </c>
      <c r="W760" t="s">
        <v>45</v>
      </c>
      <c r="X760">
        <v>14</v>
      </c>
      <c r="Y760">
        <v>1</v>
      </c>
      <c r="Z760" t="s">
        <v>46</v>
      </c>
      <c r="AA760">
        <v>6</v>
      </c>
      <c r="AB760" t="s">
        <v>47</v>
      </c>
      <c r="AC760">
        <v>4</v>
      </c>
      <c r="AD760" t="s">
        <v>48</v>
      </c>
      <c r="AE760">
        <v>0</v>
      </c>
      <c r="AF760" t="s">
        <v>49</v>
      </c>
    </row>
    <row r="761" spans="1:32" x14ac:dyDescent="0.25">
      <c r="A761">
        <v>45</v>
      </c>
      <c r="B761" t="s">
        <v>32</v>
      </c>
      <c r="C761" t="s">
        <v>50</v>
      </c>
      <c r="D761" t="s">
        <v>34</v>
      </c>
      <c r="E761" t="s">
        <v>77</v>
      </c>
      <c r="F761">
        <v>24</v>
      </c>
      <c r="G761" t="s">
        <v>66</v>
      </c>
      <c r="H761">
        <v>2</v>
      </c>
      <c r="I761" t="s">
        <v>37</v>
      </c>
      <c r="J761" t="s">
        <v>54</v>
      </c>
      <c r="K761">
        <v>3</v>
      </c>
      <c r="L761" t="s">
        <v>39</v>
      </c>
      <c r="M761">
        <v>1</v>
      </c>
      <c r="N761" t="s">
        <v>40</v>
      </c>
      <c r="O761" t="s">
        <v>77</v>
      </c>
      <c r="P761">
        <v>2</v>
      </c>
      <c r="Q761" t="s">
        <v>57</v>
      </c>
      <c r="R761" t="s">
        <v>43</v>
      </c>
      <c r="S761">
        <v>1</v>
      </c>
      <c r="T761" t="s">
        <v>44</v>
      </c>
      <c r="U761" t="s">
        <v>59</v>
      </c>
      <c r="V761">
        <v>16</v>
      </c>
      <c r="W761" t="s">
        <v>45</v>
      </c>
      <c r="X761">
        <v>6</v>
      </c>
      <c r="Y761">
        <v>3</v>
      </c>
      <c r="Z761" t="s">
        <v>61</v>
      </c>
      <c r="AA761">
        <v>6</v>
      </c>
      <c r="AB761" t="s">
        <v>47</v>
      </c>
      <c r="AC761">
        <v>3</v>
      </c>
      <c r="AD761" t="s">
        <v>48</v>
      </c>
      <c r="AE761">
        <v>0</v>
      </c>
      <c r="AF761" t="s">
        <v>49</v>
      </c>
    </row>
    <row r="762" spans="1:32" x14ac:dyDescent="0.25">
      <c r="A762">
        <v>53</v>
      </c>
      <c r="B762" t="s">
        <v>64</v>
      </c>
      <c r="C762" t="s">
        <v>50</v>
      </c>
      <c r="D762" t="s">
        <v>51</v>
      </c>
      <c r="E762" t="s">
        <v>35</v>
      </c>
      <c r="F762">
        <v>2</v>
      </c>
      <c r="G762" t="s">
        <v>36</v>
      </c>
      <c r="H762">
        <v>3</v>
      </c>
      <c r="I762" t="s">
        <v>42</v>
      </c>
      <c r="J762" t="s">
        <v>38</v>
      </c>
      <c r="K762">
        <v>2</v>
      </c>
      <c r="L762" t="s">
        <v>55</v>
      </c>
      <c r="M762">
        <v>3</v>
      </c>
      <c r="N762" t="s">
        <v>68</v>
      </c>
      <c r="O762" t="s">
        <v>41</v>
      </c>
      <c r="P762">
        <v>2</v>
      </c>
      <c r="Q762" t="s">
        <v>57</v>
      </c>
      <c r="R762" t="s">
        <v>58</v>
      </c>
      <c r="S762">
        <v>2</v>
      </c>
      <c r="T762" t="s">
        <v>44</v>
      </c>
      <c r="U762" t="s">
        <v>59</v>
      </c>
      <c r="V762">
        <v>12</v>
      </c>
      <c r="W762" t="s">
        <v>45</v>
      </c>
      <c r="X762">
        <v>30</v>
      </c>
      <c r="Y762">
        <v>3</v>
      </c>
      <c r="Z762" t="s">
        <v>61</v>
      </c>
      <c r="AA762">
        <v>15</v>
      </c>
      <c r="AB762" t="s">
        <v>74</v>
      </c>
      <c r="AC762">
        <v>7</v>
      </c>
      <c r="AD762" t="s">
        <v>47</v>
      </c>
      <c r="AE762">
        <v>6</v>
      </c>
      <c r="AF762" t="s">
        <v>71</v>
      </c>
    </row>
    <row r="763" spans="1:32" x14ac:dyDescent="0.25">
      <c r="A763">
        <v>36</v>
      </c>
      <c r="B763" t="s">
        <v>32</v>
      </c>
      <c r="C763" t="s">
        <v>33</v>
      </c>
      <c r="D763" t="s">
        <v>34</v>
      </c>
      <c r="E763" t="s">
        <v>52</v>
      </c>
      <c r="F763">
        <v>15</v>
      </c>
      <c r="G763" t="s">
        <v>66</v>
      </c>
      <c r="H763">
        <v>1</v>
      </c>
      <c r="I763" t="s">
        <v>37</v>
      </c>
      <c r="J763" t="s">
        <v>54</v>
      </c>
      <c r="K763">
        <v>3</v>
      </c>
      <c r="L763" t="s">
        <v>39</v>
      </c>
      <c r="M763">
        <v>2</v>
      </c>
      <c r="N763" t="s">
        <v>40</v>
      </c>
      <c r="O763" t="s">
        <v>62</v>
      </c>
      <c r="P763">
        <v>3</v>
      </c>
      <c r="Q763" t="s">
        <v>42</v>
      </c>
      <c r="R763" t="s">
        <v>67</v>
      </c>
      <c r="S763">
        <v>7</v>
      </c>
      <c r="T763" t="s">
        <v>44</v>
      </c>
      <c r="U763" t="s">
        <v>59</v>
      </c>
      <c r="V763">
        <v>14</v>
      </c>
      <c r="W763" t="s">
        <v>45</v>
      </c>
      <c r="X763">
        <v>9</v>
      </c>
      <c r="Y763">
        <v>2</v>
      </c>
      <c r="Z763" t="s">
        <v>46</v>
      </c>
      <c r="AA763">
        <v>1</v>
      </c>
      <c r="AB763" t="s">
        <v>48</v>
      </c>
      <c r="AC763">
        <v>0</v>
      </c>
      <c r="AD763" t="s">
        <v>48</v>
      </c>
      <c r="AE763">
        <v>0</v>
      </c>
      <c r="AF763" t="s">
        <v>49</v>
      </c>
    </row>
    <row r="764" spans="1:32" x14ac:dyDescent="0.25">
      <c r="A764">
        <v>26</v>
      </c>
      <c r="B764" t="s">
        <v>63</v>
      </c>
      <c r="C764" t="s">
        <v>33</v>
      </c>
      <c r="D764" t="s">
        <v>51</v>
      </c>
      <c r="E764" t="s">
        <v>52</v>
      </c>
      <c r="F764">
        <v>2</v>
      </c>
      <c r="G764" t="s">
        <v>36</v>
      </c>
      <c r="H764">
        <v>1</v>
      </c>
      <c r="I764" t="s">
        <v>37</v>
      </c>
      <c r="J764" t="s">
        <v>54</v>
      </c>
      <c r="K764">
        <v>3</v>
      </c>
      <c r="L764" t="s">
        <v>39</v>
      </c>
      <c r="M764">
        <v>1</v>
      </c>
      <c r="N764" t="s">
        <v>40</v>
      </c>
      <c r="O764" t="s">
        <v>56</v>
      </c>
      <c r="P764">
        <v>1</v>
      </c>
      <c r="Q764" t="s">
        <v>57</v>
      </c>
      <c r="R764" t="s">
        <v>58</v>
      </c>
      <c r="S764">
        <v>6</v>
      </c>
      <c r="T764" t="s">
        <v>44</v>
      </c>
      <c r="U764" t="s">
        <v>44</v>
      </c>
      <c r="V764">
        <v>14</v>
      </c>
      <c r="W764" t="s">
        <v>45</v>
      </c>
      <c r="X764">
        <v>6</v>
      </c>
      <c r="Y764">
        <v>3</v>
      </c>
      <c r="Z764" t="s">
        <v>61</v>
      </c>
      <c r="AA764">
        <v>3</v>
      </c>
      <c r="AB764" t="s">
        <v>48</v>
      </c>
      <c r="AC764">
        <v>2</v>
      </c>
      <c r="AD764" t="s">
        <v>48</v>
      </c>
      <c r="AE764">
        <v>1</v>
      </c>
      <c r="AF764" t="s">
        <v>49</v>
      </c>
    </row>
    <row r="765" spans="1:32" x14ac:dyDescent="0.25">
      <c r="A765">
        <v>34</v>
      </c>
      <c r="B765" t="s">
        <v>32</v>
      </c>
      <c r="C765" t="s">
        <v>50</v>
      </c>
      <c r="D765" t="s">
        <v>34</v>
      </c>
      <c r="E765" t="s">
        <v>35</v>
      </c>
      <c r="F765">
        <v>10</v>
      </c>
      <c r="G765" t="s">
        <v>53</v>
      </c>
      <c r="H765">
        <v>3</v>
      </c>
      <c r="I765" t="s">
        <v>42</v>
      </c>
      <c r="J765" t="s">
        <v>38</v>
      </c>
      <c r="K765">
        <v>3</v>
      </c>
      <c r="L765" t="s">
        <v>39</v>
      </c>
      <c r="M765">
        <v>1</v>
      </c>
      <c r="N765" t="s">
        <v>40</v>
      </c>
      <c r="O765" t="s">
        <v>75</v>
      </c>
      <c r="P765">
        <v>3</v>
      </c>
      <c r="Q765" t="s">
        <v>42</v>
      </c>
      <c r="R765" t="s">
        <v>58</v>
      </c>
      <c r="S765">
        <v>1</v>
      </c>
      <c r="T765" t="s">
        <v>44</v>
      </c>
      <c r="U765" t="s">
        <v>44</v>
      </c>
      <c r="V765">
        <v>19</v>
      </c>
      <c r="W765" t="s">
        <v>45</v>
      </c>
      <c r="X765">
        <v>1</v>
      </c>
      <c r="Y765">
        <v>3</v>
      </c>
      <c r="Z765" t="s">
        <v>61</v>
      </c>
      <c r="AA765">
        <v>1</v>
      </c>
      <c r="AB765" t="s">
        <v>48</v>
      </c>
      <c r="AC765">
        <v>1</v>
      </c>
      <c r="AD765" t="s">
        <v>48</v>
      </c>
      <c r="AE765">
        <v>0</v>
      </c>
      <c r="AF765" t="s">
        <v>49</v>
      </c>
    </row>
    <row r="766" spans="1:32" x14ac:dyDescent="0.25">
      <c r="A766">
        <v>28</v>
      </c>
      <c r="B766" t="s">
        <v>63</v>
      </c>
      <c r="C766" t="s">
        <v>50</v>
      </c>
      <c r="D766" t="s">
        <v>34</v>
      </c>
      <c r="E766" t="s">
        <v>35</v>
      </c>
      <c r="F766">
        <v>10</v>
      </c>
      <c r="G766" t="s">
        <v>53</v>
      </c>
      <c r="H766">
        <v>4</v>
      </c>
      <c r="I766" t="s">
        <v>42</v>
      </c>
      <c r="J766" t="s">
        <v>54</v>
      </c>
      <c r="K766">
        <v>3</v>
      </c>
      <c r="L766" t="s">
        <v>39</v>
      </c>
      <c r="M766">
        <v>1</v>
      </c>
      <c r="N766" t="s">
        <v>40</v>
      </c>
      <c r="O766" t="s">
        <v>75</v>
      </c>
      <c r="P766">
        <v>2</v>
      </c>
      <c r="Q766" t="s">
        <v>57</v>
      </c>
      <c r="R766" t="s">
        <v>58</v>
      </c>
      <c r="S766">
        <v>1</v>
      </c>
      <c r="T766" t="s">
        <v>44</v>
      </c>
      <c r="U766" t="s">
        <v>59</v>
      </c>
      <c r="V766">
        <v>22</v>
      </c>
      <c r="W766" t="s">
        <v>60</v>
      </c>
      <c r="X766">
        <v>1</v>
      </c>
      <c r="Y766">
        <v>3</v>
      </c>
      <c r="Z766" t="s">
        <v>61</v>
      </c>
      <c r="AA766">
        <v>1</v>
      </c>
      <c r="AB766" t="s">
        <v>48</v>
      </c>
      <c r="AC766">
        <v>0</v>
      </c>
      <c r="AD766" t="s">
        <v>48</v>
      </c>
      <c r="AE766">
        <v>0</v>
      </c>
      <c r="AF766" t="s">
        <v>49</v>
      </c>
    </row>
    <row r="767" spans="1:32" x14ac:dyDescent="0.25">
      <c r="A767">
        <v>38</v>
      </c>
      <c r="B767" t="s">
        <v>32</v>
      </c>
      <c r="C767" t="s">
        <v>50</v>
      </c>
      <c r="D767" t="s">
        <v>51</v>
      </c>
      <c r="E767" t="s">
        <v>52</v>
      </c>
      <c r="F767">
        <v>3</v>
      </c>
      <c r="G767" t="s">
        <v>36</v>
      </c>
      <c r="H767">
        <v>3</v>
      </c>
      <c r="I767" t="s">
        <v>42</v>
      </c>
      <c r="J767" t="s">
        <v>54</v>
      </c>
      <c r="K767">
        <v>3</v>
      </c>
      <c r="L767" t="s">
        <v>39</v>
      </c>
      <c r="M767">
        <v>1</v>
      </c>
      <c r="N767" t="s">
        <v>40</v>
      </c>
      <c r="O767" t="s">
        <v>56</v>
      </c>
      <c r="P767">
        <v>3</v>
      </c>
      <c r="Q767" t="s">
        <v>42</v>
      </c>
      <c r="R767" t="s">
        <v>58</v>
      </c>
      <c r="S767">
        <v>3</v>
      </c>
      <c r="T767" t="s">
        <v>44</v>
      </c>
      <c r="U767" t="s">
        <v>59</v>
      </c>
      <c r="V767">
        <v>16</v>
      </c>
      <c r="W767" t="s">
        <v>45</v>
      </c>
      <c r="X767">
        <v>8</v>
      </c>
      <c r="Y767">
        <v>3</v>
      </c>
      <c r="Z767" t="s">
        <v>61</v>
      </c>
      <c r="AA767">
        <v>2</v>
      </c>
      <c r="AB767" t="s">
        <v>48</v>
      </c>
      <c r="AC767">
        <v>2</v>
      </c>
      <c r="AD767" t="s">
        <v>48</v>
      </c>
      <c r="AE767">
        <v>2</v>
      </c>
      <c r="AF767" t="s">
        <v>49</v>
      </c>
    </row>
    <row r="768" spans="1:32" x14ac:dyDescent="0.25">
      <c r="A768">
        <v>50</v>
      </c>
      <c r="B768" t="s">
        <v>32</v>
      </c>
      <c r="C768" t="s">
        <v>50</v>
      </c>
      <c r="D768" t="s">
        <v>34</v>
      </c>
      <c r="E768" t="s">
        <v>52</v>
      </c>
      <c r="F768">
        <v>2</v>
      </c>
      <c r="G768" t="s">
        <v>36</v>
      </c>
      <c r="H768">
        <v>2</v>
      </c>
      <c r="I768" t="s">
        <v>37</v>
      </c>
      <c r="J768" t="s">
        <v>54</v>
      </c>
      <c r="K768">
        <v>3</v>
      </c>
      <c r="L768" t="s">
        <v>39</v>
      </c>
      <c r="M768">
        <v>5</v>
      </c>
      <c r="N768" t="s">
        <v>72</v>
      </c>
      <c r="O768" t="s">
        <v>76</v>
      </c>
      <c r="P768">
        <v>3</v>
      </c>
      <c r="Q768" t="s">
        <v>42</v>
      </c>
      <c r="R768" t="s">
        <v>58</v>
      </c>
      <c r="S768">
        <v>2</v>
      </c>
      <c r="T768" t="s">
        <v>44</v>
      </c>
      <c r="U768" t="s">
        <v>44</v>
      </c>
      <c r="V768">
        <v>11</v>
      </c>
      <c r="W768" t="s">
        <v>45</v>
      </c>
      <c r="X768">
        <v>29</v>
      </c>
      <c r="Y768">
        <v>2</v>
      </c>
      <c r="Z768" t="s">
        <v>46</v>
      </c>
      <c r="AA768">
        <v>8</v>
      </c>
      <c r="AB768" t="s">
        <v>47</v>
      </c>
      <c r="AC768">
        <v>1</v>
      </c>
      <c r="AD768" t="s">
        <v>48</v>
      </c>
      <c r="AE768">
        <v>7</v>
      </c>
      <c r="AF768" t="s">
        <v>71</v>
      </c>
    </row>
    <row r="769" spans="1:32" x14ac:dyDescent="0.25">
      <c r="A769">
        <v>37</v>
      </c>
      <c r="B769" t="s">
        <v>32</v>
      </c>
      <c r="C769" t="s">
        <v>50</v>
      </c>
      <c r="D769" t="s">
        <v>34</v>
      </c>
      <c r="E769" t="s">
        <v>52</v>
      </c>
      <c r="F769">
        <v>3</v>
      </c>
      <c r="G769" t="s">
        <v>36</v>
      </c>
      <c r="H769">
        <v>4</v>
      </c>
      <c r="I769" t="s">
        <v>42</v>
      </c>
      <c r="J769" t="s">
        <v>38</v>
      </c>
      <c r="K769">
        <v>3</v>
      </c>
      <c r="L769" t="s">
        <v>39</v>
      </c>
      <c r="M769">
        <v>2</v>
      </c>
      <c r="N769" t="s">
        <v>40</v>
      </c>
      <c r="O769" t="s">
        <v>70</v>
      </c>
      <c r="P769">
        <v>2</v>
      </c>
      <c r="Q769" t="s">
        <v>57</v>
      </c>
      <c r="R769" t="s">
        <v>43</v>
      </c>
      <c r="S769">
        <v>3</v>
      </c>
      <c r="T769" t="s">
        <v>44</v>
      </c>
      <c r="U769" t="s">
        <v>59</v>
      </c>
      <c r="V769">
        <v>15</v>
      </c>
      <c r="W769" t="s">
        <v>45</v>
      </c>
      <c r="X769">
        <v>8</v>
      </c>
      <c r="Y769">
        <v>2</v>
      </c>
      <c r="Z769" t="s">
        <v>46</v>
      </c>
      <c r="AA769">
        <v>4</v>
      </c>
      <c r="AB769" t="s">
        <v>48</v>
      </c>
      <c r="AC769">
        <v>3</v>
      </c>
      <c r="AD769" t="s">
        <v>48</v>
      </c>
      <c r="AE769">
        <v>0</v>
      </c>
      <c r="AF769" t="s">
        <v>49</v>
      </c>
    </row>
    <row r="770" spans="1:32" x14ac:dyDescent="0.25">
      <c r="A770">
        <v>40</v>
      </c>
      <c r="B770" t="s">
        <v>32</v>
      </c>
      <c r="C770" t="s">
        <v>50</v>
      </c>
      <c r="D770" t="s">
        <v>34</v>
      </c>
      <c r="E770" t="s">
        <v>35</v>
      </c>
      <c r="F770">
        <v>26</v>
      </c>
      <c r="G770" t="s">
        <v>66</v>
      </c>
      <c r="H770">
        <v>3</v>
      </c>
      <c r="I770" t="s">
        <v>42</v>
      </c>
      <c r="J770" t="s">
        <v>54</v>
      </c>
      <c r="K770">
        <v>3</v>
      </c>
      <c r="L770" t="s">
        <v>39</v>
      </c>
      <c r="M770">
        <v>2</v>
      </c>
      <c r="N770" t="s">
        <v>40</v>
      </c>
      <c r="O770" t="s">
        <v>41</v>
      </c>
      <c r="P770">
        <v>1</v>
      </c>
      <c r="Q770" t="s">
        <v>57</v>
      </c>
      <c r="R770" t="s">
        <v>58</v>
      </c>
      <c r="S770">
        <v>1</v>
      </c>
      <c r="T770" t="s">
        <v>44</v>
      </c>
      <c r="U770" t="s">
        <v>59</v>
      </c>
      <c r="V770">
        <v>14</v>
      </c>
      <c r="W770" t="s">
        <v>45</v>
      </c>
      <c r="X770">
        <v>8</v>
      </c>
      <c r="Y770">
        <v>2</v>
      </c>
      <c r="Z770" t="s">
        <v>46</v>
      </c>
      <c r="AA770">
        <v>7</v>
      </c>
      <c r="AB770" t="s">
        <v>47</v>
      </c>
      <c r="AC770">
        <v>7</v>
      </c>
      <c r="AD770" t="s">
        <v>47</v>
      </c>
      <c r="AE770">
        <v>7</v>
      </c>
      <c r="AF770" t="s">
        <v>71</v>
      </c>
    </row>
    <row r="771" spans="1:32" x14ac:dyDescent="0.25">
      <c r="A771">
        <v>26</v>
      </c>
      <c r="B771" t="s">
        <v>63</v>
      </c>
      <c r="C771" t="s">
        <v>50</v>
      </c>
      <c r="D771" t="s">
        <v>51</v>
      </c>
      <c r="E771" t="s">
        <v>52</v>
      </c>
      <c r="F771">
        <v>1</v>
      </c>
      <c r="G771" t="s">
        <v>36</v>
      </c>
      <c r="H771">
        <v>1</v>
      </c>
      <c r="I771" t="s">
        <v>37</v>
      </c>
      <c r="J771" t="s">
        <v>38</v>
      </c>
      <c r="K771">
        <v>2</v>
      </c>
      <c r="L771" t="s">
        <v>55</v>
      </c>
      <c r="M771">
        <v>1</v>
      </c>
      <c r="N771" t="s">
        <v>40</v>
      </c>
      <c r="O771" t="s">
        <v>56</v>
      </c>
      <c r="P771">
        <v>3</v>
      </c>
      <c r="Q771" t="s">
        <v>42</v>
      </c>
      <c r="R771" t="s">
        <v>67</v>
      </c>
      <c r="S771">
        <v>1</v>
      </c>
      <c r="T771" t="s">
        <v>44</v>
      </c>
      <c r="U771" t="s">
        <v>59</v>
      </c>
      <c r="V771">
        <v>13</v>
      </c>
      <c r="W771" t="s">
        <v>45</v>
      </c>
      <c r="X771">
        <v>5</v>
      </c>
      <c r="Y771">
        <v>3</v>
      </c>
      <c r="Z771" t="s">
        <v>61</v>
      </c>
      <c r="AA771">
        <v>5</v>
      </c>
      <c r="AB771" t="s">
        <v>47</v>
      </c>
      <c r="AC771">
        <v>3</v>
      </c>
      <c r="AD771" t="s">
        <v>48</v>
      </c>
      <c r="AE771">
        <v>1</v>
      </c>
      <c r="AF771" t="s">
        <v>49</v>
      </c>
    </row>
    <row r="772" spans="1:32" x14ac:dyDescent="0.25">
      <c r="A772">
        <v>46</v>
      </c>
      <c r="B772" t="s">
        <v>32</v>
      </c>
      <c r="C772" t="s">
        <v>50</v>
      </c>
      <c r="D772" t="s">
        <v>34</v>
      </c>
      <c r="E772" t="s">
        <v>52</v>
      </c>
      <c r="F772">
        <v>1</v>
      </c>
      <c r="G772" t="s">
        <v>36</v>
      </c>
      <c r="H772">
        <v>4</v>
      </c>
      <c r="I772" t="s">
        <v>42</v>
      </c>
      <c r="J772" t="s">
        <v>54</v>
      </c>
      <c r="K772">
        <v>3</v>
      </c>
      <c r="L772" t="s">
        <v>39</v>
      </c>
      <c r="M772">
        <v>5</v>
      </c>
      <c r="N772" t="s">
        <v>72</v>
      </c>
      <c r="O772" t="s">
        <v>76</v>
      </c>
      <c r="P772">
        <v>4</v>
      </c>
      <c r="Q772" t="s">
        <v>42</v>
      </c>
      <c r="R772" t="s">
        <v>67</v>
      </c>
      <c r="S772">
        <v>9</v>
      </c>
      <c r="T772" t="s">
        <v>44</v>
      </c>
      <c r="U772" t="s">
        <v>59</v>
      </c>
      <c r="V772">
        <v>17</v>
      </c>
      <c r="W772" t="s">
        <v>45</v>
      </c>
      <c r="X772">
        <v>23</v>
      </c>
      <c r="Y772">
        <v>3</v>
      </c>
      <c r="Z772" t="s">
        <v>61</v>
      </c>
      <c r="AA772">
        <v>2</v>
      </c>
      <c r="AB772" t="s">
        <v>48</v>
      </c>
      <c r="AC772">
        <v>2</v>
      </c>
      <c r="AD772" t="s">
        <v>48</v>
      </c>
      <c r="AE772">
        <v>2</v>
      </c>
      <c r="AF772" t="s">
        <v>49</v>
      </c>
    </row>
    <row r="773" spans="1:32" x14ac:dyDescent="0.25">
      <c r="A773">
        <v>54</v>
      </c>
      <c r="B773" t="s">
        <v>64</v>
      </c>
      <c r="C773" t="s">
        <v>50</v>
      </c>
      <c r="D773" t="s">
        <v>34</v>
      </c>
      <c r="E773" t="s">
        <v>35</v>
      </c>
      <c r="F773">
        <v>2</v>
      </c>
      <c r="G773" t="s">
        <v>36</v>
      </c>
      <c r="H773">
        <v>3</v>
      </c>
      <c r="I773" t="s">
        <v>42</v>
      </c>
      <c r="J773" t="s">
        <v>38</v>
      </c>
      <c r="K773">
        <v>2</v>
      </c>
      <c r="L773" t="s">
        <v>55</v>
      </c>
      <c r="M773">
        <v>3</v>
      </c>
      <c r="N773" t="s">
        <v>68</v>
      </c>
      <c r="O773" t="s">
        <v>41</v>
      </c>
      <c r="P773">
        <v>3</v>
      </c>
      <c r="Q773" t="s">
        <v>42</v>
      </c>
      <c r="R773" t="s">
        <v>58</v>
      </c>
      <c r="S773">
        <v>6</v>
      </c>
      <c r="T773" t="s">
        <v>44</v>
      </c>
      <c r="U773" t="s">
        <v>59</v>
      </c>
      <c r="V773">
        <v>11</v>
      </c>
      <c r="W773" t="s">
        <v>45</v>
      </c>
      <c r="X773">
        <v>13</v>
      </c>
      <c r="Y773">
        <v>3</v>
      </c>
      <c r="Z773" t="s">
        <v>61</v>
      </c>
      <c r="AA773">
        <v>9</v>
      </c>
      <c r="AB773" t="s">
        <v>47</v>
      </c>
      <c r="AC773">
        <v>4</v>
      </c>
      <c r="AD773" t="s">
        <v>48</v>
      </c>
      <c r="AE773">
        <v>7</v>
      </c>
      <c r="AF773" t="s">
        <v>71</v>
      </c>
    </row>
    <row r="774" spans="1:32" x14ac:dyDescent="0.25">
      <c r="A774">
        <v>56</v>
      </c>
      <c r="B774" t="s">
        <v>64</v>
      </c>
      <c r="C774" t="s">
        <v>50</v>
      </c>
      <c r="D774" t="s">
        <v>51</v>
      </c>
      <c r="E774" t="s">
        <v>52</v>
      </c>
      <c r="F774">
        <v>9</v>
      </c>
      <c r="G774" t="s">
        <v>53</v>
      </c>
      <c r="H774">
        <v>1</v>
      </c>
      <c r="I774" t="s">
        <v>37</v>
      </c>
      <c r="J774" t="s">
        <v>38</v>
      </c>
      <c r="K774">
        <v>3</v>
      </c>
      <c r="L774" t="s">
        <v>39</v>
      </c>
      <c r="M774">
        <v>1</v>
      </c>
      <c r="N774" t="s">
        <v>40</v>
      </c>
      <c r="O774" t="s">
        <v>56</v>
      </c>
      <c r="P774">
        <v>3</v>
      </c>
      <c r="Q774" t="s">
        <v>42</v>
      </c>
      <c r="R774" t="s">
        <v>58</v>
      </c>
      <c r="S774">
        <v>2</v>
      </c>
      <c r="T774" t="s">
        <v>44</v>
      </c>
      <c r="U774" t="s">
        <v>59</v>
      </c>
      <c r="V774">
        <v>19</v>
      </c>
      <c r="W774" t="s">
        <v>45</v>
      </c>
      <c r="X774">
        <v>18</v>
      </c>
      <c r="Y774">
        <v>3</v>
      </c>
      <c r="Z774" t="s">
        <v>61</v>
      </c>
      <c r="AA774">
        <v>5</v>
      </c>
      <c r="AB774" t="s">
        <v>47</v>
      </c>
      <c r="AC774">
        <v>4</v>
      </c>
      <c r="AD774" t="s">
        <v>48</v>
      </c>
      <c r="AE774">
        <v>0</v>
      </c>
      <c r="AF774" t="s">
        <v>49</v>
      </c>
    </row>
    <row r="775" spans="1:32" x14ac:dyDescent="0.25">
      <c r="A775">
        <v>36</v>
      </c>
      <c r="B775" t="s">
        <v>32</v>
      </c>
      <c r="C775" t="s">
        <v>50</v>
      </c>
      <c r="D775" t="s">
        <v>34</v>
      </c>
      <c r="E775" t="s">
        <v>52</v>
      </c>
      <c r="F775">
        <v>12</v>
      </c>
      <c r="G775" t="s">
        <v>53</v>
      </c>
      <c r="H775">
        <v>4</v>
      </c>
      <c r="I775" t="s">
        <v>42</v>
      </c>
      <c r="J775" t="s">
        <v>38</v>
      </c>
      <c r="K775">
        <v>2</v>
      </c>
      <c r="L775" t="s">
        <v>55</v>
      </c>
      <c r="M775">
        <v>3</v>
      </c>
      <c r="N775" t="s">
        <v>68</v>
      </c>
      <c r="O775" t="s">
        <v>69</v>
      </c>
      <c r="P775">
        <v>4</v>
      </c>
      <c r="Q775" t="s">
        <v>42</v>
      </c>
      <c r="R775" t="s">
        <v>43</v>
      </c>
      <c r="S775">
        <v>0</v>
      </c>
      <c r="T775" t="s">
        <v>44</v>
      </c>
      <c r="U775" t="s">
        <v>59</v>
      </c>
      <c r="V775">
        <v>11</v>
      </c>
      <c r="W775" t="s">
        <v>45</v>
      </c>
      <c r="X775">
        <v>15</v>
      </c>
      <c r="Y775">
        <v>2</v>
      </c>
      <c r="Z775" t="s">
        <v>46</v>
      </c>
      <c r="AA775">
        <v>14</v>
      </c>
      <c r="AB775" t="s">
        <v>74</v>
      </c>
      <c r="AC775">
        <v>8</v>
      </c>
      <c r="AD775" t="s">
        <v>47</v>
      </c>
      <c r="AE775">
        <v>7</v>
      </c>
      <c r="AF775" t="s">
        <v>71</v>
      </c>
    </row>
    <row r="776" spans="1:32" x14ac:dyDescent="0.25">
      <c r="A776">
        <v>55</v>
      </c>
      <c r="B776" t="s">
        <v>64</v>
      </c>
      <c r="C776" t="s">
        <v>50</v>
      </c>
      <c r="D776" t="s">
        <v>34</v>
      </c>
      <c r="E776" t="s">
        <v>52</v>
      </c>
      <c r="F776">
        <v>2</v>
      </c>
      <c r="G776" t="s">
        <v>36</v>
      </c>
      <c r="H776">
        <v>3</v>
      </c>
      <c r="I776" t="s">
        <v>42</v>
      </c>
      <c r="J776" t="s">
        <v>54</v>
      </c>
      <c r="K776">
        <v>2</v>
      </c>
      <c r="L776" t="s">
        <v>55</v>
      </c>
      <c r="M776">
        <v>4</v>
      </c>
      <c r="N776" t="s">
        <v>72</v>
      </c>
      <c r="O776" t="s">
        <v>73</v>
      </c>
      <c r="P776">
        <v>1</v>
      </c>
      <c r="Q776" t="s">
        <v>57</v>
      </c>
      <c r="R776" t="s">
        <v>43</v>
      </c>
      <c r="S776">
        <v>7</v>
      </c>
      <c r="T776" t="s">
        <v>44</v>
      </c>
      <c r="U776" t="s">
        <v>59</v>
      </c>
      <c r="V776">
        <v>15</v>
      </c>
      <c r="W776" t="s">
        <v>45</v>
      </c>
      <c r="X776">
        <v>31</v>
      </c>
      <c r="Y776">
        <v>4</v>
      </c>
      <c r="Z776" t="s">
        <v>61</v>
      </c>
      <c r="AA776">
        <v>9</v>
      </c>
      <c r="AB776" t="s">
        <v>47</v>
      </c>
      <c r="AC776">
        <v>7</v>
      </c>
      <c r="AD776" t="s">
        <v>47</v>
      </c>
      <c r="AE776">
        <v>6</v>
      </c>
      <c r="AF776" t="s">
        <v>71</v>
      </c>
    </row>
    <row r="777" spans="1:32" x14ac:dyDescent="0.25">
      <c r="A777">
        <v>43</v>
      </c>
      <c r="B777" t="s">
        <v>32</v>
      </c>
      <c r="C777" t="s">
        <v>50</v>
      </c>
      <c r="D777" t="s">
        <v>34</v>
      </c>
      <c r="E777" t="s">
        <v>35</v>
      </c>
      <c r="F777">
        <v>25</v>
      </c>
      <c r="G777" t="s">
        <v>66</v>
      </c>
      <c r="H777">
        <v>3</v>
      </c>
      <c r="I777" t="s">
        <v>42</v>
      </c>
      <c r="J777" t="s">
        <v>54</v>
      </c>
      <c r="K777">
        <v>2</v>
      </c>
      <c r="L777" t="s">
        <v>55</v>
      </c>
      <c r="M777">
        <v>3</v>
      </c>
      <c r="N777" t="s">
        <v>68</v>
      </c>
      <c r="O777" t="s">
        <v>41</v>
      </c>
      <c r="P777">
        <v>4</v>
      </c>
      <c r="Q777" t="s">
        <v>42</v>
      </c>
      <c r="R777" t="s">
        <v>67</v>
      </c>
      <c r="S777">
        <v>5</v>
      </c>
      <c r="T777" t="s">
        <v>44</v>
      </c>
      <c r="U777" t="s">
        <v>59</v>
      </c>
      <c r="V777">
        <v>13</v>
      </c>
      <c r="W777" t="s">
        <v>45</v>
      </c>
      <c r="X777">
        <v>18</v>
      </c>
      <c r="Y777">
        <v>3</v>
      </c>
      <c r="Z777" t="s">
        <v>61</v>
      </c>
      <c r="AA777">
        <v>1</v>
      </c>
      <c r="AB777" t="s">
        <v>48</v>
      </c>
      <c r="AC777">
        <v>0</v>
      </c>
      <c r="AD777" t="s">
        <v>48</v>
      </c>
      <c r="AE777">
        <v>0</v>
      </c>
      <c r="AF777" t="s">
        <v>49</v>
      </c>
    </row>
    <row r="778" spans="1:32" x14ac:dyDescent="0.25">
      <c r="A778">
        <v>20</v>
      </c>
      <c r="B778" t="s">
        <v>63</v>
      </c>
      <c r="C778" t="s">
        <v>33</v>
      </c>
      <c r="D778" t="s">
        <v>51</v>
      </c>
      <c r="E778" t="s">
        <v>35</v>
      </c>
      <c r="F778">
        <v>9</v>
      </c>
      <c r="G778" t="s">
        <v>53</v>
      </c>
      <c r="H778">
        <v>4</v>
      </c>
      <c r="I778" t="s">
        <v>42</v>
      </c>
      <c r="J778" t="s">
        <v>38</v>
      </c>
      <c r="K778">
        <v>3</v>
      </c>
      <c r="L778" t="s">
        <v>39</v>
      </c>
      <c r="M778">
        <v>1</v>
      </c>
      <c r="N778" t="s">
        <v>40</v>
      </c>
      <c r="O778" t="s">
        <v>75</v>
      </c>
      <c r="P778">
        <v>4</v>
      </c>
      <c r="Q778" t="s">
        <v>42</v>
      </c>
      <c r="R778" t="s">
        <v>43</v>
      </c>
      <c r="S778">
        <v>1</v>
      </c>
      <c r="T778" t="s">
        <v>44</v>
      </c>
      <c r="U778" t="s">
        <v>44</v>
      </c>
      <c r="V778">
        <v>14</v>
      </c>
      <c r="W778" t="s">
        <v>45</v>
      </c>
      <c r="X778">
        <v>2</v>
      </c>
      <c r="Y778">
        <v>3</v>
      </c>
      <c r="Z778" t="s">
        <v>61</v>
      </c>
      <c r="AA778">
        <v>2</v>
      </c>
      <c r="AB778" t="s">
        <v>48</v>
      </c>
      <c r="AC778">
        <v>2</v>
      </c>
      <c r="AD778" t="s">
        <v>48</v>
      </c>
      <c r="AE778">
        <v>0</v>
      </c>
      <c r="AF778" t="s">
        <v>49</v>
      </c>
    </row>
    <row r="779" spans="1:32" x14ac:dyDescent="0.25">
      <c r="A779">
        <v>21</v>
      </c>
      <c r="B779" t="s">
        <v>63</v>
      </c>
      <c r="C779" t="s">
        <v>33</v>
      </c>
      <c r="D779" t="s">
        <v>34</v>
      </c>
      <c r="E779" t="s">
        <v>52</v>
      </c>
      <c r="F779">
        <v>10</v>
      </c>
      <c r="G779" t="s">
        <v>53</v>
      </c>
      <c r="H779">
        <v>3</v>
      </c>
      <c r="I779" t="s">
        <v>42</v>
      </c>
      <c r="J779" t="s">
        <v>38</v>
      </c>
      <c r="K779">
        <v>2</v>
      </c>
      <c r="L779" t="s">
        <v>55</v>
      </c>
      <c r="M779">
        <v>1</v>
      </c>
      <c r="N779" t="s">
        <v>40</v>
      </c>
      <c r="O779" t="s">
        <v>62</v>
      </c>
      <c r="P779">
        <v>1</v>
      </c>
      <c r="Q779" t="s">
        <v>57</v>
      </c>
      <c r="R779" t="s">
        <v>43</v>
      </c>
      <c r="S779">
        <v>1</v>
      </c>
      <c r="T779" t="s">
        <v>44</v>
      </c>
      <c r="U779" t="s">
        <v>59</v>
      </c>
      <c r="V779">
        <v>13</v>
      </c>
      <c r="W779" t="s">
        <v>45</v>
      </c>
      <c r="X779">
        <v>1</v>
      </c>
      <c r="Y779">
        <v>2</v>
      </c>
      <c r="Z779" t="s">
        <v>46</v>
      </c>
      <c r="AA779">
        <v>1</v>
      </c>
      <c r="AB779" t="s">
        <v>48</v>
      </c>
      <c r="AC779">
        <v>0</v>
      </c>
      <c r="AD779" t="s">
        <v>48</v>
      </c>
      <c r="AE779">
        <v>1</v>
      </c>
      <c r="AF779" t="s">
        <v>49</v>
      </c>
    </row>
    <row r="780" spans="1:32" x14ac:dyDescent="0.25">
      <c r="A780">
        <v>46</v>
      </c>
      <c r="B780" t="s">
        <v>32</v>
      </c>
      <c r="C780" t="s">
        <v>50</v>
      </c>
      <c r="D780" t="s">
        <v>34</v>
      </c>
      <c r="E780" t="s">
        <v>52</v>
      </c>
      <c r="F780">
        <v>8</v>
      </c>
      <c r="G780" t="s">
        <v>53</v>
      </c>
      <c r="H780">
        <v>4</v>
      </c>
      <c r="I780" t="s">
        <v>42</v>
      </c>
      <c r="J780" t="s">
        <v>38</v>
      </c>
      <c r="K780">
        <v>2</v>
      </c>
      <c r="L780" t="s">
        <v>55</v>
      </c>
      <c r="M780">
        <v>2</v>
      </c>
      <c r="N780" t="s">
        <v>40</v>
      </c>
      <c r="O780" t="s">
        <v>56</v>
      </c>
      <c r="P780">
        <v>1</v>
      </c>
      <c r="Q780" t="s">
        <v>57</v>
      </c>
      <c r="R780" t="s">
        <v>67</v>
      </c>
      <c r="S780">
        <v>8</v>
      </c>
      <c r="T780" t="s">
        <v>44</v>
      </c>
      <c r="U780" t="s">
        <v>44</v>
      </c>
      <c r="V780">
        <v>23</v>
      </c>
      <c r="W780" t="s">
        <v>60</v>
      </c>
      <c r="X780">
        <v>19</v>
      </c>
      <c r="Y780">
        <v>3</v>
      </c>
      <c r="Z780" t="s">
        <v>61</v>
      </c>
      <c r="AA780">
        <v>16</v>
      </c>
      <c r="AB780" t="s">
        <v>74</v>
      </c>
      <c r="AC780">
        <v>13</v>
      </c>
      <c r="AD780" t="s">
        <v>74</v>
      </c>
      <c r="AE780">
        <v>1</v>
      </c>
      <c r="AF780" t="s">
        <v>49</v>
      </c>
    </row>
    <row r="781" spans="1:32" x14ac:dyDescent="0.25">
      <c r="A781">
        <v>51</v>
      </c>
      <c r="B781" t="s">
        <v>64</v>
      </c>
      <c r="C781" t="s">
        <v>33</v>
      </c>
      <c r="D781" t="s">
        <v>34</v>
      </c>
      <c r="E781" t="s">
        <v>52</v>
      </c>
      <c r="F781">
        <v>4</v>
      </c>
      <c r="G781" t="s">
        <v>36</v>
      </c>
      <c r="H781">
        <v>1</v>
      </c>
      <c r="I781" t="s">
        <v>37</v>
      </c>
      <c r="J781" t="s">
        <v>54</v>
      </c>
      <c r="K781">
        <v>3</v>
      </c>
      <c r="L781" t="s">
        <v>39</v>
      </c>
      <c r="M781">
        <v>1</v>
      </c>
      <c r="N781" t="s">
        <v>40</v>
      </c>
      <c r="O781" t="s">
        <v>56</v>
      </c>
      <c r="P781">
        <v>3</v>
      </c>
      <c r="Q781" t="s">
        <v>42</v>
      </c>
      <c r="R781" t="s">
        <v>58</v>
      </c>
      <c r="S781">
        <v>9</v>
      </c>
      <c r="T781" t="s">
        <v>44</v>
      </c>
      <c r="U781" t="s">
        <v>44</v>
      </c>
      <c r="V781">
        <v>12</v>
      </c>
      <c r="W781" t="s">
        <v>45</v>
      </c>
      <c r="X781">
        <v>18</v>
      </c>
      <c r="Y781">
        <v>4</v>
      </c>
      <c r="Z781" t="s">
        <v>61</v>
      </c>
      <c r="AA781">
        <v>10</v>
      </c>
      <c r="AB781" t="s">
        <v>47</v>
      </c>
      <c r="AC781">
        <v>0</v>
      </c>
      <c r="AD781" t="s">
        <v>48</v>
      </c>
      <c r="AE781">
        <v>2</v>
      </c>
      <c r="AF781" t="s">
        <v>49</v>
      </c>
    </row>
    <row r="782" spans="1:32" x14ac:dyDescent="0.25">
      <c r="A782">
        <v>28</v>
      </c>
      <c r="B782" t="s">
        <v>63</v>
      </c>
      <c r="C782" t="s">
        <v>33</v>
      </c>
      <c r="D782" t="s">
        <v>34</v>
      </c>
      <c r="E782" t="s">
        <v>52</v>
      </c>
      <c r="F782">
        <v>24</v>
      </c>
      <c r="G782" t="s">
        <v>66</v>
      </c>
      <c r="H782">
        <v>2</v>
      </c>
      <c r="I782" t="s">
        <v>37</v>
      </c>
      <c r="J782" t="s">
        <v>54</v>
      </c>
      <c r="K782">
        <v>2</v>
      </c>
      <c r="L782" t="s">
        <v>55</v>
      </c>
      <c r="M782">
        <v>3</v>
      </c>
      <c r="N782" t="s">
        <v>68</v>
      </c>
      <c r="O782" t="s">
        <v>70</v>
      </c>
      <c r="P782">
        <v>1</v>
      </c>
      <c r="Q782" t="s">
        <v>57</v>
      </c>
      <c r="R782" t="s">
        <v>43</v>
      </c>
      <c r="S782">
        <v>1</v>
      </c>
      <c r="T782" t="s">
        <v>44</v>
      </c>
      <c r="U782" t="s">
        <v>59</v>
      </c>
      <c r="V782">
        <v>12</v>
      </c>
      <c r="W782" t="s">
        <v>45</v>
      </c>
      <c r="X782">
        <v>10</v>
      </c>
      <c r="Y782">
        <v>2</v>
      </c>
      <c r="Z782" t="s">
        <v>46</v>
      </c>
      <c r="AA782">
        <v>10</v>
      </c>
      <c r="AB782" t="s">
        <v>47</v>
      </c>
      <c r="AC782">
        <v>7</v>
      </c>
      <c r="AD782" t="s">
        <v>47</v>
      </c>
      <c r="AE782">
        <v>1</v>
      </c>
      <c r="AF782" t="s">
        <v>49</v>
      </c>
    </row>
    <row r="783" spans="1:32" x14ac:dyDescent="0.25">
      <c r="A783">
        <v>26</v>
      </c>
      <c r="B783" t="s">
        <v>63</v>
      </c>
      <c r="C783" t="s">
        <v>50</v>
      </c>
      <c r="D783" t="s">
        <v>34</v>
      </c>
      <c r="E783" t="s">
        <v>52</v>
      </c>
      <c r="F783">
        <v>1</v>
      </c>
      <c r="G783" t="s">
        <v>36</v>
      </c>
      <c r="H783">
        <v>1</v>
      </c>
      <c r="I783" t="s">
        <v>37</v>
      </c>
      <c r="J783" t="s">
        <v>54</v>
      </c>
      <c r="K783">
        <v>2</v>
      </c>
      <c r="L783" t="s">
        <v>55</v>
      </c>
      <c r="M783">
        <v>1</v>
      </c>
      <c r="N783" t="s">
        <v>40</v>
      </c>
      <c r="O783" t="s">
        <v>62</v>
      </c>
      <c r="P783">
        <v>1</v>
      </c>
      <c r="Q783" t="s">
        <v>57</v>
      </c>
      <c r="R783" t="s">
        <v>58</v>
      </c>
      <c r="S783">
        <v>1</v>
      </c>
      <c r="T783" t="s">
        <v>44</v>
      </c>
      <c r="U783" t="s">
        <v>59</v>
      </c>
      <c r="V783">
        <v>16</v>
      </c>
      <c r="W783" t="s">
        <v>45</v>
      </c>
      <c r="X783">
        <v>6</v>
      </c>
      <c r="Y783">
        <v>3</v>
      </c>
      <c r="Z783" t="s">
        <v>61</v>
      </c>
      <c r="AA783">
        <v>5</v>
      </c>
      <c r="AB783" t="s">
        <v>47</v>
      </c>
      <c r="AC783">
        <v>3</v>
      </c>
      <c r="AD783" t="s">
        <v>48</v>
      </c>
      <c r="AE783">
        <v>1</v>
      </c>
      <c r="AF783" t="s">
        <v>49</v>
      </c>
    </row>
    <row r="784" spans="1:32" x14ac:dyDescent="0.25">
      <c r="A784">
        <v>30</v>
      </c>
      <c r="B784" t="s">
        <v>32</v>
      </c>
      <c r="C784" t="s">
        <v>50</v>
      </c>
      <c r="D784" t="s">
        <v>34</v>
      </c>
      <c r="E784" t="s">
        <v>52</v>
      </c>
      <c r="F784">
        <v>20</v>
      </c>
      <c r="G784" t="s">
        <v>66</v>
      </c>
      <c r="H784">
        <v>3</v>
      </c>
      <c r="I784" t="s">
        <v>42</v>
      </c>
      <c r="J784" t="s">
        <v>54</v>
      </c>
      <c r="K784">
        <v>3</v>
      </c>
      <c r="L784" t="s">
        <v>39</v>
      </c>
      <c r="M784">
        <v>2</v>
      </c>
      <c r="N784" t="s">
        <v>40</v>
      </c>
      <c r="O784" t="s">
        <v>69</v>
      </c>
      <c r="P784">
        <v>1</v>
      </c>
      <c r="Q784" t="s">
        <v>57</v>
      </c>
      <c r="R784" t="s">
        <v>58</v>
      </c>
      <c r="S784">
        <v>0</v>
      </c>
      <c r="T784" t="s">
        <v>44</v>
      </c>
      <c r="U784" t="s">
        <v>59</v>
      </c>
      <c r="V784">
        <v>15</v>
      </c>
      <c r="W784" t="s">
        <v>45</v>
      </c>
      <c r="X784">
        <v>7</v>
      </c>
      <c r="Y784">
        <v>2</v>
      </c>
      <c r="Z784" t="s">
        <v>46</v>
      </c>
      <c r="AA784">
        <v>6</v>
      </c>
      <c r="AB784" t="s">
        <v>47</v>
      </c>
      <c r="AC784">
        <v>2</v>
      </c>
      <c r="AD784" t="s">
        <v>48</v>
      </c>
      <c r="AE784">
        <v>0</v>
      </c>
      <c r="AF784" t="s">
        <v>49</v>
      </c>
    </row>
    <row r="785" spans="1:32" x14ac:dyDescent="0.25">
      <c r="A785">
        <v>41</v>
      </c>
      <c r="B785" t="s">
        <v>32</v>
      </c>
      <c r="C785" t="s">
        <v>50</v>
      </c>
      <c r="D785" t="s">
        <v>34</v>
      </c>
      <c r="E785" t="s">
        <v>52</v>
      </c>
      <c r="F785">
        <v>7</v>
      </c>
      <c r="G785" t="s">
        <v>53</v>
      </c>
      <c r="H785">
        <v>2</v>
      </c>
      <c r="I785" t="s">
        <v>37</v>
      </c>
      <c r="J785" t="s">
        <v>38</v>
      </c>
      <c r="K785">
        <v>4</v>
      </c>
      <c r="L785" t="s">
        <v>65</v>
      </c>
      <c r="M785">
        <v>1</v>
      </c>
      <c r="N785" t="s">
        <v>40</v>
      </c>
      <c r="O785" t="s">
        <v>56</v>
      </c>
      <c r="P785">
        <v>3</v>
      </c>
      <c r="Q785" t="s">
        <v>42</v>
      </c>
      <c r="R785" t="s">
        <v>58</v>
      </c>
      <c r="S785">
        <v>1</v>
      </c>
      <c r="T785" t="s">
        <v>44</v>
      </c>
      <c r="U785" t="s">
        <v>59</v>
      </c>
      <c r="V785">
        <v>13</v>
      </c>
      <c r="W785" t="s">
        <v>45</v>
      </c>
      <c r="X785">
        <v>10</v>
      </c>
      <c r="Y785">
        <v>3</v>
      </c>
      <c r="Z785" t="s">
        <v>61</v>
      </c>
      <c r="AA785">
        <v>10</v>
      </c>
      <c r="AB785" t="s">
        <v>47</v>
      </c>
      <c r="AC785">
        <v>6</v>
      </c>
      <c r="AD785" t="s">
        <v>47</v>
      </c>
      <c r="AE785">
        <v>0</v>
      </c>
      <c r="AF785" t="s">
        <v>49</v>
      </c>
    </row>
    <row r="786" spans="1:32" x14ac:dyDescent="0.25">
      <c r="A786">
        <v>38</v>
      </c>
      <c r="B786" t="s">
        <v>32</v>
      </c>
      <c r="C786" t="s">
        <v>50</v>
      </c>
      <c r="D786" t="s">
        <v>34</v>
      </c>
      <c r="E786" t="s">
        <v>52</v>
      </c>
      <c r="F786">
        <v>17</v>
      </c>
      <c r="G786" t="s">
        <v>66</v>
      </c>
      <c r="H786">
        <v>3</v>
      </c>
      <c r="I786" t="s">
        <v>42</v>
      </c>
      <c r="J786" t="s">
        <v>38</v>
      </c>
      <c r="K786">
        <v>2</v>
      </c>
      <c r="L786" t="s">
        <v>55</v>
      </c>
      <c r="M786">
        <v>3</v>
      </c>
      <c r="N786" t="s">
        <v>68</v>
      </c>
      <c r="O786" t="s">
        <v>70</v>
      </c>
      <c r="P786">
        <v>3</v>
      </c>
      <c r="Q786" t="s">
        <v>42</v>
      </c>
      <c r="R786" t="s">
        <v>58</v>
      </c>
      <c r="S786">
        <v>0</v>
      </c>
      <c r="T786" t="s">
        <v>44</v>
      </c>
      <c r="U786" t="s">
        <v>59</v>
      </c>
      <c r="V786">
        <v>18</v>
      </c>
      <c r="W786" t="s">
        <v>45</v>
      </c>
      <c r="X786">
        <v>20</v>
      </c>
      <c r="Y786">
        <v>2</v>
      </c>
      <c r="Z786" t="s">
        <v>46</v>
      </c>
      <c r="AA786">
        <v>19</v>
      </c>
      <c r="AB786" t="s">
        <v>74</v>
      </c>
      <c r="AC786">
        <v>9</v>
      </c>
      <c r="AD786" t="s">
        <v>47</v>
      </c>
      <c r="AE786">
        <v>1</v>
      </c>
      <c r="AF786" t="s">
        <v>49</v>
      </c>
    </row>
    <row r="787" spans="1:32" x14ac:dyDescent="0.25">
      <c r="A787">
        <v>40</v>
      </c>
      <c r="B787" t="s">
        <v>32</v>
      </c>
      <c r="C787" t="s">
        <v>50</v>
      </c>
      <c r="D787" t="s">
        <v>34</v>
      </c>
      <c r="E787" t="s">
        <v>52</v>
      </c>
      <c r="F787">
        <v>20</v>
      </c>
      <c r="G787" t="s">
        <v>66</v>
      </c>
      <c r="H787">
        <v>1</v>
      </c>
      <c r="I787" t="s">
        <v>37</v>
      </c>
      <c r="J787" t="s">
        <v>54</v>
      </c>
      <c r="K787">
        <v>3</v>
      </c>
      <c r="L787" t="s">
        <v>39</v>
      </c>
      <c r="M787">
        <v>3</v>
      </c>
      <c r="N787" t="s">
        <v>68</v>
      </c>
      <c r="O787" t="s">
        <v>70</v>
      </c>
      <c r="P787">
        <v>4</v>
      </c>
      <c r="Q787" t="s">
        <v>42</v>
      </c>
      <c r="R787" t="s">
        <v>58</v>
      </c>
      <c r="S787">
        <v>4</v>
      </c>
      <c r="T787" t="s">
        <v>44</v>
      </c>
      <c r="U787" t="s">
        <v>59</v>
      </c>
      <c r="V787">
        <v>20</v>
      </c>
      <c r="W787" t="s">
        <v>60</v>
      </c>
      <c r="X787">
        <v>14</v>
      </c>
      <c r="Y787">
        <v>3</v>
      </c>
      <c r="Z787" t="s">
        <v>61</v>
      </c>
      <c r="AA787">
        <v>11</v>
      </c>
      <c r="AB787" t="s">
        <v>74</v>
      </c>
      <c r="AC787">
        <v>10</v>
      </c>
      <c r="AD787" t="s">
        <v>47</v>
      </c>
      <c r="AE787">
        <v>11</v>
      </c>
      <c r="AF787" t="s">
        <v>71</v>
      </c>
    </row>
    <row r="788" spans="1:32" x14ac:dyDescent="0.25">
      <c r="A788">
        <v>27</v>
      </c>
      <c r="B788" t="s">
        <v>63</v>
      </c>
      <c r="C788" t="s">
        <v>50</v>
      </c>
      <c r="D788" t="s">
        <v>34</v>
      </c>
      <c r="E788" t="s">
        <v>52</v>
      </c>
      <c r="F788">
        <v>8</v>
      </c>
      <c r="G788" t="s">
        <v>53</v>
      </c>
      <c r="H788">
        <v>1</v>
      </c>
      <c r="I788" t="s">
        <v>37</v>
      </c>
      <c r="J788" t="s">
        <v>54</v>
      </c>
      <c r="K788">
        <v>1</v>
      </c>
      <c r="L788" t="s">
        <v>55</v>
      </c>
      <c r="M788">
        <v>1</v>
      </c>
      <c r="N788" t="s">
        <v>40</v>
      </c>
      <c r="O788" t="s">
        <v>62</v>
      </c>
      <c r="P788">
        <v>3</v>
      </c>
      <c r="Q788" t="s">
        <v>42</v>
      </c>
      <c r="R788" t="s">
        <v>58</v>
      </c>
      <c r="S788">
        <v>1</v>
      </c>
      <c r="T788" t="s">
        <v>44</v>
      </c>
      <c r="U788" t="s">
        <v>59</v>
      </c>
      <c r="V788">
        <v>19</v>
      </c>
      <c r="W788" t="s">
        <v>45</v>
      </c>
      <c r="X788">
        <v>3</v>
      </c>
      <c r="Y788">
        <v>3</v>
      </c>
      <c r="Z788" t="s">
        <v>61</v>
      </c>
      <c r="AA788">
        <v>3</v>
      </c>
      <c r="AB788" t="s">
        <v>48</v>
      </c>
      <c r="AC788">
        <v>2</v>
      </c>
      <c r="AD788" t="s">
        <v>48</v>
      </c>
      <c r="AE788">
        <v>1</v>
      </c>
      <c r="AF788" t="s">
        <v>49</v>
      </c>
    </row>
    <row r="789" spans="1:32" x14ac:dyDescent="0.25">
      <c r="A789">
        <v>55</v>
      </c>
      <c r="B789" t="s">
        <v>64</v>
      </c>
      <c r="C789" t="s">
        <v>50</v>
      </c>
      <c r="D789" t="s">
        <v>51</v>
      </c>
      <c r="E789" t="s">
        <v>52</v>
      </c>
      <c r="F789">
        <v>2</v>
      </c>
      <c r="G789" t="s">
        <v>36</v>
      </c>
      <c r="H789">
        <v>4</v>
      </c>
      <c r="I789" t="s">
        <v>42</v>
      </c>
      <c r="J789" t="s">
        <v>54</v>
      </c>
      <c r="K789">
        <v>3</v>
      </c>
      <c r="L789" t="s">
        <v>39</v>
      </c>
      <c r="M789">
        <v>3</v>
      </c>
      <c r="N789" t="s">
        <v>68</v>
      </c>
      <c r="O789" t="s">
        <v>69</v>
      </c>
      <c r="P789">
        <v>2</v>
      </c>
      <c r="Q789" t="s">
        <v>57</v>
      </c>
      <c r="R789" t="s">
        <v>58</v>
      </c>
      <c r="S789">
        <v>3</v>
      </c>
      <c r="T789" t="s">
        <v>44</v>
      </c>
      <c r="U789" t="s">
        <v>59</v>
      </c>
      <c r="V789">
        <v>18</v>
      </c>
      <c r="W789" t="s">
        <v>45</v>
      </c>
      <c r="X789">
        <v>23</v>
      </c>
      <c r="Y789">
        <v>3</v>
      </c>
      <c r="Z789" t="s">
        <v>61</v>
      </c>
      <c r="AA789">
        <v>3</v>
      </c>
      <c r="AB789" t="s">
        <v>48</v>
      </c>
      <c r="AC789">
        <v>2</v>
      </c>
      <c r="AD789" t="s">
        <v>48</v>
      </c>
      <c r="AE789">
        <v>1</v>
      </c>
      <c r="AF789" t="s">
        <v>49</v>
      </c>
    </row>
    <row r="790" spans="1:32" x14ac:dyDescent="0.25">
      <c r="A790">
        <v>28</v>
      </c>
      <c r="B790" t="s">
        <v>63</v>
      </c>
      <c r="C790" t="s">
        <v>50</v>
      </c>
      <c r="D790" t="s">
        <v>34</v>
      </c>
      <c r="E790" t="s">
        <v>52</v>
      </c>
      <c r="F790">
        <v>10</v>
      </c>
      <c r="G790" t="s">
        <v>53</v>
      </c>
      <c r="H790">
        <v>3</v>
      </c>
      <c r="I790" t="s">
        <v>42</v>
      </c>
      <c r="J790" t="s">
        <v>38</v>
      </c>
      <c r="K790">
        <v>3</v>
      </c>
      <c r="L790" t="s">
        <v>39</v>
      </c>
      <c r="M790">
        <v>2</v>
      </c>
      <c r="N790" t="s">
        <v>40</v>
      </c>
      <c r="O790" t="s">
        <v>56</v>
      </c>
      <c r="P790">
        <v>3</v>
      </c>
      <c r="Q790" t="s">
        <v>42</v>
      </c>
      <c r="R790" t="s">
        <v>43</v>
      </c>
      <c r="S790">
        <v>3</v>
      </c>
      <c r="T790" t="s">
        <v>44</v>
      </c>
      <c r="U790" t="s">
        <v>59</v>
      </c>
      <c r="V790">
        <v>13</v>
      </c>
      <c r="W790" t="s">
        <v>45</v>
      </c>
      <c r="X790">
        <v>10</v>
      </c>
      <c r="Y790">
        <v>4</v>
      </c>
      <c r="Z790" t="s">
        <v>61</v>
      </c>
      <c r="AA790">
        <v>8</v>
      </c>
      <c r="AB790" t="s">
        <v>47</v>
      </c>
      <c r="AC790">
        <v>7</v>
      </c>
      <c r="AD790" t="s">
        <v>47</v>
      </c>
      <c r="AE790">
        <v>1</v>
      </c>
      <c r="AF790" t="s">
        <v>49</v>
      </c>
    </row>
    <row r="791" spans="1:32" x14ac:dyDescent="0.25">
      <c r="A791">
        <v>44</v>
      </c>
      <c r="B791" t="s">
        <v>32</v>
      </c>
      <c r="C791" t="s">
        <v>33</v>
      </c>
      <c r="D791" t="s">
        <v>34</v>
      </c>
      <c r="E791" t="s">
        <v>77</v>
      </c>
      <c r="F791">
        <v>1</v>
      </c>
      <c r="G791" t="s">
        <v>36</v>
      </c>
      <c r="H791">
        <v>2</v>
      </c>
      <c r="I791" t="s">
        <v>37</v>
      </c>
      <c r="J791" t="s">
        <v>54</v>
      </c>
      <c r="K791">
        <v>2</v>
      </c>
      <c r="L791" t="s">
        <v>55</v>
      </c>
      <c r="M791">
        <v>3</v>
      </c>
      <c r="N791" t="s">
        <v>68</v>
      </c>
      <c r="O791" t="s">
        <v>77</v>
      </c>
      <c r="P791">
        <v>1</v>
      </c>
      <c r="Q791" t="s">
        <v>57</v>
      </c>
      <c r="R791" t="s">
        <v>58</v>
      </c>
      <c r="S791">
        <v>9</v>
      </c>
      <c r="T791" t="s">
        <v>44</v>
      </c>
      <c r="U791" t="s">
        <v>59</v>
      </c>
      <c r="V791">
        <v>14</v>
      </c>
      <c r="W791" t="s">
        <v>45</v>
      </c>
      <c r="X791">
        <v>24</v>
      </c>
      <c r="Y791">
        <v>3</v>
      </c>
      <c r="Z791" t="s">
        <v>61</v>
      </c>
      <c r="AA791">
        <v>20</v>
      </c>
      <c r="AB791" t="s">
        <v>74</v>
      </c>
      <c r="AC791">
        <v>6</v>
      </c>
      <c r="AD791" t="s">
        <v>47</v>
      </c>
      <c r="AE791">
        <v>3</v>
      </c>
      <c r="AF791" t="s">
        <v>49</v>
      </c>
    </row>
    <row r="792" spans="1:32" x14ac:dyDescent="0.25">
      <c r="A792">
        <v>33</v>
      </c>
      <c r="B792" t="s">
        <v>32</v>
      </c>
      <c r="C792" t="s">
        <v>50</v>
      </c>
      <c r="D792" t="s">
        <v>34</v>
      </c>
      <c r="E792" t="s">
        <v>52</v>
      </c>
      <c r="F792">
        <v>5</v>
      </c>
      <c r="G792" t="s">
        <v>36</v>
      </c>
      <c r="H792">
        <v>4</v>
      </c>
      <c r="I792" t="s">
        <v>42</v>
      </c>
      <c r="J792" t="s">
        <v>54</v>
      </c>
      <c r="K792">
        <v>2</v>
      </c>
      <c r="L792" t="s">
        <v>55</v>
      </c>
      <c r="M792">
        <v>3</v>
      </c>
      <c r="N792" t="s">
        <v>68</v>
      </c>
      <c r="O792" t="s">
        <v>70</v>
      </c>
      <c r="P792">
        <v>4</v>
      </c>
      <c r="Q792" t="s">
        <v>42</v>
      </c>
      <c r="R792" t="s">
        <v>67</v>
      </c>
      <c r="S792">
        <v>4</v>
      </c>
      <c r="T792" t="s">
        <v>44</v>
      </c>
      <c r="U792" t="s">
        <v>59</v>
      </c>
      <c r="V792">
        <v>15</v>
      </c>
      <c r="W792" t="s">
        <v>45</v>
      </c>
      <c r="X792">
        <v>9</v>
      </c>
      <c r="Y792">
        <v>3</v>
      </c>
      <c r="Z792" t="s">
        <v>61</v>
      </c>
      <c r="AA792">
        <v>3</v>
      </c>
      <c r="AB792" t="s">
        <v>48</v>
      </c>
      <c r="AC792">
        <v>2</v>
      </c>
      <c r="AD792" t="s">
        <v>48</v>
      </c>
      <c r="AE792">
        <v>1</v>
      </c>
      <c r="AF792" t="s">
        <v>49</v>
      </c>
    </row>
    <row r="793" spans="1:32" x14ac:dyDescent="0.25">
      <c r="A793">
        <v>35</v>
      </c>
      <c r="B793" t="s">
        <v>32</v>
      </c>
      <c r="C793" t="s">
        <v>33</v>
      </c>
      <c r="D793" t="s">
        <v>34</v>
      </c>
      <c r="E793" t="s">
        <v>35</v>
      </c>
      <c r="F793">
        <v>4</v>
      </c>
      <c r="G793" t="s">
        <v>36</v>
      </c>
      <c r="H793">
        <v>4</v>
      </c>
      <c r="I793" t="s">
        <v>42</v>
      </c>
      <c r="J793" t="s">
        <v>54</v>
      </c>
      <c r="K793">
        <v>3</v>
      </c>
      <c r="L793" t="s">
        <v>39</v>
      </c>
      <c r="M793">
        <v>3</v>
      </c>
      <c r="N793" t="s">
        <v>68</v>
      </c>
      <c r="O793" t="s">
        <v>41</v>
      </c>
      <c r="P793">
        <v>1</v>
      </c>
      <c r="Q793" t="s">
        <v>57</v>
      </c>
      <c r="R793" t="s">
        <v>43</v>
      </c>
      <c r="S793">
        <v>0</v>
      </c>
      <c r="T793" t="s">
        <v>44</v>
      </c>
      <c r="U793" t="s">
        <v>44</v>
      </c>
      <c r="V793">
        <v>22</v>
      </c>
      <c r="W793" t="s">
        <v>60</v>
      </c>
      <c r="X793">
        <v>9</v>
      </c>
      <c r="Y793">
        <v>3</v>
      </c>
      <c r="Z793" t="s">
        <v>61</v>
      </c>
      <c r="AA793">
        <v>8</v>
      </c>
      <c r="AB793" t="s">
        <v>47</v>
      </c>
      <c r="AC793">
        <v>7</v>
      </c>
      <c r="AD793" t="s">
        <v>47</v>
      </c>
      <c r="AE793">
        <v>4</v>
      </c>
      <c r="AF793" t="s">
        <v>71</v>
      </c>
    </row>
    <row r="794" spans="1:32" x14ac:dyDescent="0.25">
      <c r="A794">
        <v>33</v>
      </c>
      <c r="B794" t="s">
        <v>32</v>
      </c>
      <c r="C794" t="s">
        <v>33</v>
      </c>
      <c r="D794" t="s">
        <v>51</v>
      </c>
      <c r="E794" t="s">
        <v>52</v>
      </c>
      <c r="F794">
        <v>29</v>
      </c>
      <c r="G794" t="s">
        <v>66</v>
      </c>
      <c r="H794">
        <v>1</v>
      </c>
      <c r="I794" t="s">
        <v>37</v>
      </c>
      <c r="J794" t="s">
        <v>38</v>
      </c>
      <c r="K794">
        <v>2</v>
      </c>
      <c r="L794" t="s">
        <v>55</v>
      </c>
      <c r="M794">
        <v>2</v>
      </c>
      <c r="N794" t="s">
        <v>40</v>
      </c>
      <c r="O794" t="s">
        <v>56</v>
      </c>
      <c r="P794">
        <v>3</v>
      </c>
      <c r="Q794" t="s">
        <v>42</v>
      </c>
      <c r="R794" t="s">
        <v>43</v>
      </c>
      <c r="S794">
        <v>1</v>
      </c>
      <c r="T794" t="s">
        <v>44</v>
      </c>
      <c r="U794" t="s">
        <v>59</v>
      </c>
      <c r="V794">
        <v>22</v>
      </c>
      <c r="W794" t="s">
        <v>60</v>
      </c>
      <c r="X794">
        <v>14</v>
      </c>
      <c r="Y794">
        <v>3</v>
      </c>
      <c r="Z794" t="s">
        <v>61</v>
      </c>
      <c r="AA794">
        <v>13</v>
      </c>
      <c r="AB794" t="s">
        <v>74</v>
      </c>
      <c r="AC794">
        <v>7</v>
      </c>
      <c r="AD794" t="s">
        <v>47</v>
      </c>
      <c r="AE794">
        <v>3</v>
      </c>
      <c r="AF794" t="s">
        <v>49</v>
      </c>
    </row>
    <row r="795" spans="1:32" x14ac:dyDescent="0.25">
      <c r="A795">
        <v>28</v>
      </c>
      <c r="B795" t="s">
        <v>63</v>
      </c>
      <c r="C795" t="s">
        <v>50</v>
      </c>
      <c r="D795" t="s">
        <v>34</v>
      </c>
      <c r="E795" t="s">
        <v>52</v>
      </c>
      <c r="F795">
        <v>15</v>
      </c>
      <c r="G795" t="s">
        <v>66</v>
      </c>
      <c r="H795">
        <v>1</v>
      </c>
      <c r="I795" t="s">
        <v>37</v>
      </c>
      <c r="J795" t="s">
        <v>54</v>
      </c>
      <c r="K795">
        <v>3</v>
      </c>
      <c r="L795" t="s">
        <v>39</v>
      </c>
      <c r="M795">
        <v>1</v>
      </c>
      <c r="N795" t="s">
        <v>40</v>
      </c>
      <c r="O795" t="s">
        <v>62</v>
      </c>
      <c r="P795">
        <v>3</v>
      </c>
      <c r="Q795" t="s">
        <v>42</v>
      </c>
      <c r="R795" t="s">
        <v>67</v>
      </c>
      <c r="S795">
        <v>1</v>
      </c>
      <c r="T795" t="s">
        <v>44</v>
      </c>
      <c r="U795" t="s">
        <v>59</v>
      </c>
      <c r="V795">
        <v>16</v>
      </c>
      <c r="W795" t="s">
        <v>45</v>
      </c>
      <c r="X795">
        <v>4</v>
      </c>
      <c r="Y795">
        <v>2</v>
      </c>
      <c r="Z795" t="s">
        <v>46</v>
      </c>
      <c r="AA795">
        <v>4</v>
      </c>
      <c r="AB795" t="s">
        <v>48</v>
      </c>
      <c r="AC795">
        <v>2</v>
      </c>
      <c r="AD795" t="s">
        <v>48</v>
      </c>
      <c r="AE795">
        <v>2</v>
      </c>
      <c r="AF795" t="s">
        <v>49</v>
      </c>
    </row>
    <row r="796" spans="1:32" x14ac:dyDescent="0.25">
      <c r="A796">
        <v>34</v>
      </c>
      <c r="B796" t="s">
        <v>32</v>
      </c>
      <c r="C796" t="s">
        <v>50</v>
      </c>
      <c r="D796" t="s">
        <v>51</v>
      </c>
      <c r="E796" t="s">
        <v>52</v>
      </c>
      <c r="F796">
        <v>3</v>
      </c>
      <c r="G796" t="s">
        <v>36</v>
      </c>
      <c r="H796">
        <v>1</v>
      </c>
      <c r="I796" t="s">
        <v>37</v>
      </c>
      <c r="J796" t="s">
        <v>54</v>
      </c>
      <c r="K796">
        <v>3</v>
      </c>
      <c r="L796" t="s">
        <v>39</v>
      </c>
      <c r="M796">
        <v>2</v>
      </c>
      <c r="N796" t="s">
        <v>40</v>
      </c>
      <c r="O796" t="s">
        <v>70</v>
      </c>
      <c r="P796">
        <v>4</v>
      </c>
      <c r="Q796" t="s">
        <v>42</v>
      </c>
      <c r="R796" t="s">
        <v>43</v>
      </c>
      <c r="S796">
        <v>0</v>
      </c>
      <c r="T796" t="s">
        <v>44</v>
      </c>
      <c r="U796" t="s">
        <v>59</v>
      </c>
      <c r="V796">
        <v>17</v>
      </c>
      <c r="W796" t="s">
        <v>45</v>
      </c>
      <c r="X796">
        <v>7</v>
      </c>
      <c r="Y796">
        <v>2</v>
      </c>
      <c r="Z796" t="s">
        <v>46</v>
      </c>
      <c r="AA796">
        <v>6</v>
      </c>
      <c r="AB796" t="s">
        <v>47</v>
      </c>
      <c r="AC796">
        <v>2</v>
      </c>
      <c r="AD796" t="s">
        <v>48</v>
      </c>
      <c r="AE796">
        <v>0</v>
      </c>
      <c r="AF796" t="s">
        <v>49</v>
      </c>
    </row>
    <row r="797" spans="1:32" x14ac:dyDescent="0.25">
      <c r="A797">
        <v>37</v>
      </c>
      <c r="B797" t="s">
        <v>32</v>
      </c>
      <c r="C797" t="s">
        <v>50</v>
      </c>
      <c r="D797" t="s">
        <v>34</v>
      </c>
      <c r="E797" t="s">
        <v>35</v>
      </c>
      <c r="F797">
        <v>10</v>
      </c>
      <c r="G797" t="s">
        <v>53</v>
      </c>
      <c r="H797">
        <v>4</v>
      </c>
      <c r="I797" t="s">
        <v>42</v>
      </c>
      <c r="J797" t="s">
        <v>38</v>
      </c>
      <c r="K797">
        <v>2</v>
      </c>
      <c r="L797" t="s">
        <v>55</v>
      </c>
      <c r="M797">
        <v>2</v>
      </c>
      <c r="N797" t="s">
        <v>40</v>
      </c>
      <c r="O797" t="s">
        <v>41</v>
      </c>
      <c r="P797">
        <v>4</v>
      </c>
      <c r="Q797" t="s">
        <v>42</v>
      </c>
      <c r="R797" t="s">
        <v>67</v>
      </c>
      <c r="S797">
        <v>2</v>
      </c>
      <c r="T797" t="s">
        <v>44</v>
      </c>
      <c r="U797" t="s">
        <v>44</v>
      </c>
      <c r="V797">
        <v>14</v>
      </c>
      <c r="W797" t="s">
        <v>45</v>
      </c>
      <c r="X797">
        <v>8</v>
      </c>
      <c r="Y797">
        <v>3</v>
      </c>
      <c r="Z797" t="s">
        <v>61</v>
      </c>
      <c r="AA797">
        <v>1</v>
      </c>
      <c r="AB797" t="s">
        <v>48</v>
      </c>
      <c r="AC797">
        <v>0</v>
      </c>
      <c r="AD797" t="s">
        <v>48</v>
      </c>
      <c r="AE797">
        <v>0</v>
      </c>
      <c r="AF797" t="s">
        <v>49</v>
      </c>
    </row>
    <row r="798" spans="1:32" x14ac:dyDescent="0.25">
      <c r="A798">
        <v>25</v>
      </c>
      <c r="B798" t="s">
        <v>63</v>
      </c>
      <c r="C798" t="s">
        <v>33</v>
      </c>
      <c r="D798" t="s">
        <v>34</v>
      </c>
      <c r="E798" t="s">
        <v>52</v>
      </c>
      <c r="F798">
        <v>4</v>
      </c>
      <c r="G798" t="s">
        <v>36</v>
      </c>
      <c r="H798">
        <v>4</v>
      </c>
      <c r="I798" t="s">
        <v>42</v>
      </c>
      <c r="J798" t="s">
        <v>54</v>
      </c>
      <c r="K798">
        <v>3</v>
      </c>
      <c r="L798" t="s">
        <v>39</v>
      </c>
      <c r="M798">
        <v>1</v>
      </c>
      <c r="N798" t="s">
        <v>40</v>
      </c>
      <c r="O798" t="s">
        <v>62</v>
      </c>
      <c r="P798">
        <v>4</v>
      </c>
      <c r="Q798" t="s">
        <v>42</v>
      </c>
      <c r="R798" t="s">
        <v>58</v>
      </c>
      <c r="S798">
        <v>1</v>
      </c>
      <c r="T798" t="s">
        <v>44</v>
      </c>
      <c r="U798" t="s">
        <v>44</v>
      </c>
      <c r="V798">
        <v>15</v>
      </c>
      <c r="W798" t="s">
        <v>45</v>
      </c>
      <c r="X798">
        <v>7</v>
      </c>
      <c r="Y798">
        <v>4</v>
      </c>
      <c r="Z798" t="s">
        <v>61</v>
      </c>
      <c r="AA798">
        <v>7</v>
      </c>
      <c r="AB798" t="s">
        <v>47</v>
      </c>
      <c r="AC798">
        <v>7</v>
      </c>
      <c r="AD798" t="s">
        <v>47</v>
      </c>
      <c r="AE798">
        <v>5</v>
      </c>
      <c r="AF798" t="s">
        <v>71</v>
      </c>
    </row>
    <row r="799" spans="1:32" x14ac:dyDescent="0.25">
      <c r="A799">
        <v>26</v>
      </c>
      <c r="B799" t="s">
        <v>63</v>
      </c>
      <c r="C799" t="s">
        <v>33</v>
      </c>
      <c r="D799" t="s">
        <v>34</v>
      </c>
      <c r="E799" t="s">
        <v>52</v>
      </c>
      <c r="F799">
        <v>21</v>
      </c>
      <c r="G799" t="s">
        <v>66</v>
      </c>
      <c r="H799">
        <v>1</v>
      </c>
      <c r="I799" t="s">
        <v>37</v>
      </c>
      <c r="J799" t="s">
        <v>54</v>
      </c>
      <c r="K799">
        <v>3</v>
      </c>
      <c r="L799" t="s">
        <v>39</v>
      </c>
      <c r="M799">
        <v>1</v>
      </c>
      <c r="N799" t="s">
        <v>40</v>
      </c>
      <c r="O799" t="s">
        <v>62</v>
      </c>
      <c r="P799">
        <v>3</v>
      </c>
      <c r="Q799" t="s">
        <v>42</v>
      </c>
      <c r="R799" t="s">
        <v>67</v>
      </c>
      <c r="S799">
        <v>1</v>
      </c>
      <c r="T799" t="s">
        <v>44</v>
      </c>
      <c r="U799" t="s">
        <v>59</v>
      </c>
      <c r="V799">
        <v>20</v>
      </c>
      <c r="W799" t="s">
        <v>60</v>
      </c>
      <c r="X799">
        <v>1</v>
      </c>
      <c r="Y799">
        <v>2</v>
      </c>
      <c r="Z799" t="s">
        <v>46</v>
      </c>
      <c r="AA799">
        <v>1</v>
      </c>
      <c r="AB799" t="s">
        <v>48</v>
      </c>
      <c r="AC799">
        <v>1</v>
      </c>
      <c r="AD799" t="s">
        <v>48</v>
      </c>
      <c r="AE799">
        <v>0</v>
      </c>
      <c r="AF799" t="s">
        <v>49</v>
      </c>
    </row>
    <row r="800" spans="1:32" x14ac:dyDescent="0.25">
      <c r="A800">
        <v>33</v>
      </c>
      <c r="B800" t="s">
        <v>32</v>
      </c>
      <c r="C800" t="s">
        <v>33</v>
      </c>
      <c r="D800" t="s">
        <v>34</v>
      </c>
      <c r="E800" t="s">
        <v>52</v>
      </c>
      <c r="F800">
        <v>25</v>
      </c>
      <c r="G800" t="s">
        <v>66</v>
      </c>
      <c r="H800">
        <v>1</v>
      </c>
      <c r="I800" t="s">
        <v>37</v>
      </c>
      <c r="J800" t="s">
        <v>54</v>
      </c>
      <c r="K800">
        <v>2</v>
      </c>
      <c r="L800" t="s">
        <v>55</v>
      </c>
      <c r="M800">
        <v>1</v>
      </c>
      <c r="N800" t="s">
        <v>40</v>
      </c>
      <c r="O800" t="s">
        <v>56</v>
      </c>
      <c r="P800">
        <v>2</v>
      </c>
      <c r="Q800" t="s">
        <v>57</v>
      </c>
      <c r="R800" t="s">
        <v>43</v>
      </c>
      <c r="S800">
        <v>4</v>
      </c>
      <c r="T800" t="s">
        <v>44</v>
      </c>
      <c r="U800" t="s">
        <v>44</v>
      </c>
      <c r="V800">
        <v>20</v>
      </c>
      <c r="W800" t="s">
        <v>60</v>
      </c>
      <c r="X800">
        <v>5</v>
      </c>
      <c r="Y800">
        <v>3</v>
      </c>
      <c r="Z800" t="s">
        <v>61</v>
      </c>
      <c r="AA800">
        <v>2</v>
      </c>
      <c r="AB800" t="s">
        <v>48</v>
      </c>
      <c r="AC800">
        <v>2</v>
      </c>
      <c r="AD800" t="s">
        <v>48</v>
      </c>
      <c r="AE800">
        <v>2</v>
      </c>
      <c r="AF800" t="s">
        <v>49</v>
      </c>
    </row>
    <row r="801" spans="1:32" x14ac:dyDescent="0.25">
      <c r="A801">
        <v>42</v>
      </c>
      <c r="B801" t="s">
        <v>32</v>
      </c>
      <c r="C801" t="s">
        <v>50</v>
      </c>
      <c r="D801" t="s">
        <v>34</v>
      </c>
      <c r="E801" t="s">
        <v>52</v>
      </c>
      <c r="F801">
        <v>2</v>
      </c>
      <c r="G801" t="s">
        <v>36</v>
      </c>
      <c r="H801">
        <v>4</v>
      </c>
      <c r="I801" t="s">
        <v>42</v>
      </c>
      <c r="J801" t="s">
        <v>54</v>
      </c>
      <c r="K801">
        <v>3</v>
      </c>
      <c r="L801" t="s">
        <v>39</v>
      </c>
      <c r="M801">
        <v>4</v>
      </c>
      <c r="N801" t="s">
        <v>72</v>
      </c>
      <c r="O801" t="s">
        <v>73</v>
      </c>
      <c r="P801">
        <v>1</v>
      </c>
      <c r="Q801" t="s">
        <v>57</v>
      </c>
      <c r="R801" t="s">
        <v>58</v>
      </c>
      <c r="S801">
        <v>0</v>
      </c>
      <c r="T801" t="s">
        <v>44</v>
      </c>
      <c r="U801" t="s">
        <v>59</v>
      </c>
      <c r="V801">
        <v>17</v>
      </c>
      <c r="W801" t="s">
        <v>45</v>
      </c>
      <c r="X801">
        <v>23</v>
      </c>
      <c r="Y801">
        <v>3</v>
      </c>
      <c r="Z801" t="s">
        <v>61</v>
      </c>
      <c r="AA801">
        <v>22</v>
      </c>
      <c r="AB801" t="s">
        <v>74</v>
      </c>
      <c r="AC801">
        <v>6</v>
      </c>
      <c r="AD801" t="s">
        <v>47</v>
      </c>
      <c r="AE801">
        <v>13</v>
      </c>
      <c r="AF801" t="s">
        <v>71</v>
      </c>
    </row>
    <row r="802" spans="1:32" x14ac:dyDescent="0.25">
      <c r="A802">
        <v>28</v>
      </c>
      <c r="B802" t="s">
        <v>63</v>
      </c>
      <c r="C802" t="s">
        <v>33</v>
      </c>
      <c r="D802" t="s">
        <v>51</v>
      </c>
      <c r="E802" t="s">
        <v>52</v>
      </c>
      <c r="F802">
        <v>1</v>
      </c>
      <c r="G802" t="s">
        <v>36</v>
      </c>
      <c r="H802">
        <v>1</v>
      </c>
      <c r="I802" t="s">
        <v>37</v>
      </c>
      <c r="J802" t="s">
        <v>54</v>
      </c>
      <c r="K802">
        <v>2</v>
      </c>
      <c r="L802" t="s">
        <v>55</v>
      </c>
      <c r="M802">
        <v>1</v>
      </c>
      <c r="N802" t="s">
        <v>40</v>
      </c>
      <c r="O802" t="s">
        <v>62</v>
      </c>
      <c r="P802">
        <v>2</v>
      </c>
      <c r="Q802" t="s">
        <v>57</v>
      </c>
      <c r="R802" t="s">
        <v>67</v>
      </c>
      <c r="S802">
        <v>1</v>
      </c>
      <c r="T802" t="s">
        <v>44</v>
      </c>
      <c r="U802" t="s">
        <v>59</v>
      </c>
      <c r="V802">
        <v>15</v>
      </c>
      <c r="W802" t="s">
        <v>45</v>
      </c>
      <c r="X802">
        <v>1</v>
      </c>
      <c r="Y802">
        <v>3</v>
      </c>
      <c r="Z802" t="s">
        <v>61</v>
      </c>
      <c r="AA802">
        <v>1</v>
      </c>
      <c r="AB802" t="s">
        <v>48</v>
      </c>
      <c r="AC802">
        <v>0</v>
      </c>
      <c r="AD802" t="s">
        <v>48</v>
      </c>
      <c r="AE802">
        <v>0</v>
      </c>
      <c r="AF802" t="s">
        <v>49</v>
      </c>
    </row>
    <row r="803" spans="1:32" x14ac:dyDescent="0.25">
      <c r="A803">
        <v>50</v>
      </c>
      <c r="B803" t="s">
        <v>32</v>
      </c>
      <c r="C803" t="s">
        <v>33</v>
      </c>
      <c r="D803" t="s">
        <v>51</v>
      </c>
      <c r="E803" t="s">
        <v>35</v>
      </c>
      <c r="F803">
        <v>1</v>
      </c>
      <c r="G803" t="s">
        <v>36</v>
      </c>
      <c r="H803">
        <v>4</v>
      </c>
      <c r="I803" t="s">
        <v>42</v>
      </c>
      <c r="J803" t="s">
        <v>54</v>
      </c>
      <c r="K803">
        <v>3</v>
      </c>
      <c r="L803" t="s">
        <v>39</v>
      </c>
      <c r="M803">
        <v>2</v>
      </c>
      <c r="N803" t="s">
        <v>40</v>
      </c>
      <c r="O803" t="s">
        <v>41</v>
      </c>
      <c r="P803">
        <v>3</v>
      </c>
      <c r="Q803" t="s">
        <v>42</v>
      </c>
      <c r="R803" t="s">
        <v>43</v>
      </c>
      <c r="S803">
        <v>3</v>
      </c>
      <c r="T803" t="s">
        <v>44</v>
      </c>
      <c r="U803" t="s">
        <v>44</v>
      </c>
      <c r="V803">
        <v>14</v>
      </c>
      <c r="W803" t="s">
        <v>45</v>
      </c>
      <c r="X803">
        <v>5</v>
      </c>
      <c r="Y803">
        <v>3</v>
      </c>
      <c r="Z803" t="s">
        <v>61</v>
      </c>
      <c r="AA803">
        <v>0</v>
      </c>
      <c r="AB803" t="s">
        <v>48</v>
      </c>
      <c r="AC803">
        <v>0</v>
      </c>
      <c r="AD803" t="s">
        <v>48</v>
      </c>
      <c r="AE803">
        <v>0</v>
      </c>
      <c r="AF803" t="s">
        <v>49</v>
      </c>
    </row>
    <row r="804" spans="1:32" x14ac:dyDescent="0.25">
      <c r="A804">
        <v>33</v>
      </c>
      <c r="B804" t="s">
        <v>32</v>
      </c>
      <c r="C804" t="s">
        <v>50</v>
      </c>
      <c r="D804" t="s">
        <v>51</v>
      </c>
      <c r="E804" t="s">
        <v>35</v>
      </c>
      <c r="F804">
        <v>7</v>
      </c>
      <c r="G804" t="s">
        <v>53</v>
      </c>
      <c r="H804">
        <v>4</v>
      </c>
      <c r="I804" t="s">
        <v>42</v>
      </c>
      <c r="J804" t="s">
        <v>38</v>
      </c>
      <c r="K804">
        <v>3</v>
      </c>
      <c r="L804" t="s">
        <v>39</v>
      </c>
      <c r="M804">
        <v>2</v>
      </c>
      <c r="N804" t="s">
        <v>40</v>
      </c>
      <c r="O804" t="s">
        <v>41</v>
      </c>
      <c r="P804">
        <v>2</v>
      </c>
      <c r="Q804" t="s">
        <v>57</v>
      </c>
      <c r="R804" t="s">
        <v>58</v>
      </c>
      <c r="S804">
        <v>0</v>
      </c>
      <c r="T804" t="s">
        <v>44</v>
      </c>
      <c r="U804" t="s">
        <v>59</v>
      </c>
      <c r="V804">
        <v>17</v>
      </c>
      <c r="W804" t="s">
        <v>45</v>
      </c>
      <c r="X804">
        <v>4</v>
      </c>
      <c r="Y804">
        <v>3</v>
      </c>
      <c r="Z804" t="s">
        <v>61</v>
      </c>
      <c r="AA804">
        <v>3</v>
      </c>
      <c r="AB804" t="s">
        <v>48</v>
      </c>
      <c r="AC804">
        <v>2</v>
      </c>
      <c r="AD804" t="s">
        <v>48</v>
      </c>
      <c r="AE804">
        <v>0</v>
      </c>
      <c r="AF804" t="s">
        <v>49</v>
      </c>
    </row>
    <row r="805" spans="1:32" x14ac:dyDescent="0.25">
      <c r="A805">
        <v>34</v>
      </c>
      <c r="B805" t="s">
        <v>32</v>
      </c>
      <c r="C805" t="s">
        <v>50</v>
      </c>
      <c r="D805" t="s">
        <v>34</v>
      </c>
      <c r="E805" t="s">
        <v>52</v>
      </c>
      <c r="F805">
        <v>3</v>
      </c>
      <c r="G805" t="s">
        <v>36</v>
      </c>
      <c r="H805">
        <v>3</v>
      </c>
      <c r="I805" t="s">
        <v>42</v>
      </c>
      <c r="J805" t="s">
        <v>54</v>
      </c>
      <c r="K805">
        <v>2</v>
      </c>
      <c r="L805" t="s">
        <v>55</v>
      </c>
      <c r="M805">
        <v>1</v>
      </c>
      <c r="N805" t="s">
        <v>40</v>
      </c>
      <c r="O805" t="s">
        <v>56</v>
      </c>
      <c r="P805">
        <v>4</v>
      </c>
      <c r="Q805" t="s">
        <v>42</v>
      </c>
      <c r="R805" t="s">
        <v>58</v>
      </c>
      <c r="S805">
        <v>3</v>
      </c>
      <c r="T805" t="s">
        <v>44</v>
      </c>
      <c r="U805" t="s">
        <v>59</v>
      </c>
      <c r="V805">
        <v>17</v>
      </c>
      <c r="W805" t="s">
        <v>45</v>
      </c>
      <c r="X805">
        <v>6</v>
      </c>
      <c r="Y805">
        <v>3</v>
      </c>
      <c r="Z805" t="s">
        <v>61</v>
      </c>
      <c r="AA805">
        <v>0</v>
      </c>
      <c r="AB805" t="s">
        <v>48</v>
      </c>
      <c r="AC805">
        <v>0</v>
      </c>
      <c r="AD805" t="s">
        <v>48</v>
      </c>
      <c r="AE805">
        <v>0</v>
      </c>
      <c r="AF805" t="s">
        <v>49</v>
      </c>
    </row>
    <row r="806" spans="1:32" x14ac:dyDescent="0.25">
      <c r="A806">
        <v>48</v>
      </c>
      <c r="B806" t="s">
        <v>32</v>
      </c>
      <c r="C806" t="s">
        <v>50</v>
      </c>
      <c r="D806" t="s">
        <v>34</v>
      </c>
      <c r="E806" t="s">
        <v>52</v>
      </c>
      <c r="F806">
        <v>1</v>
      </c>
      <c r="G806" t="s">
        <v>36</v>
      </c>
      <c r="H806">
        <v>1</v>
      </c>
      <c r="I806" t="s">
        <v>37</v>
      </c>
      <c r="J806" t="s">
        <v>54</v>
      </c>
      <c r="K806">
        <v>4</v>
      </c>
      <c r="L806" t="s">
        <v>65</v>
      </c>
      <c r="M806">
        <v>4</v>
      </c>
      <c r="N806" t="s">
        <v>72</v>
      </c>
      <c r="O806" t="s">
        <v>73</v>
      </c>
      <c r="P806">
        <v>4</v>
      </c>
      <c r="Q806" t="s">
        <v>42</v>
      </c>
      <c r="R806" t="s">
        <v>43</v>
      </c>
      <c r="S806">
        <v>2</v>
      </c>
      <c r="T806" t="s">
        <v>44</v>
      </c>
      <c r="U806" t="s">
        <v>59</v>
      </c>
      <c r="V806">
        <v>22</v>
      </c>
      <c r="W806" t="s">
        <v>60</v>
      </c>
      <c r="X806">
        <v>27</v>
      </c>
      <c r="Y806">
        <v>2</v>
      </c>
      <c r="Z806" t="s">
        <v>46</v>
      </c>
      <c r="AA806">
        <v>5</v>
      </c>
      <c r="AB806" t="s">
        <v>47</v>
      </c>
      <c r="AC806">
        <v>4</v>
      </c>
      <c r="AD806" t="s">
        <v>48</v>
      </c>
      <c r="AE806">
        <v>2</v>
      </c>
      <c r="AF806" t="s">
        <v>49</v>
      </c>
    </row>
    <row r="807" spans="1:32" x14ac:dyDescent="0.25">
      <c r="A807">
        <v>45</v>
      </c>
      <c r="B807" t="s">
        <v>32</v>
      </c>
      <c r="C807" t="s">
        <v>50</v>
      </c>
      <c r="D807" t="s">
        <v>34</v>
      </c>
      <c r="E807" t="s">
        <v>35</v>
      </c>
      <c r="F807">
        <v>9</v>
      </c>
      <c r="G807" t="s">
        <v>53</v>
      </c>
      <c r="H807">
        <v>2</v>
      </c>
      <c r="I807" t="s">
        <v>37</v>
      </c>
      <c r="J807" t="s">
        <v>38</v>
      </c>
      <c r="K807">
        <v>2</v>
      </c>
      <c r="L807" t="s">
        <v>55</v>
      </c>
      <c r="M807">
        <v>2</v>
      </c>
      <c r="N807" t="s">
        <v>40</v>
      </c>
      <c r="O807" t="s">
        <v>41</v>
      </c>
      <c r="P807">
        <v>3</v>
      </c>
      <c r="Q807" t="s">
        <v>42</v>
      </c>
      <c r="R807" t="s">
        <v>58</v>
      </c>
      <c r="S807">
        <v>1</v>
      </c>
      <c r="T807" t="s">
        <v>44</v>
      </c>
      <c r="U807" t="s">
        <v>59</v>
      </c>
      <c r="V807">
        <v>13</v>
      </c>
      <c r="W807" t="s">
        <v>45</v>
      </c>
      <c r="X807">
        <v>15</v>
      </c>
      <c r="Y807">
        <v>3</v>
      </c>
      <c r="Z807" t="s">
        <v>61</v>
      </c>
      <c r="AA807">
        <v>15</v>
      </c>
      <c r="AB807" t="s">
        <v>74</v>
      </c>
      <c r="AC807">
        <v>10</v>
      </c>
      <c r="AD807" t="s">
        <v>47</v>
      </c>
      <c r="AE807">
        <v>4</v>
      </c>
      <c r="AF807" t="s">
        <v>71</v>
      </c>
    </row>
    <row r="808" spans="1:32" x14ac:dyDescent="0.25">
      <c r="A808">
        <v>52</v>
      </c>
      <c r="B808" t="s">
        <v>64</v>
      </c>
      <c r="C808" t="s">
        <v>50</v>
      </c>
      <c r="D808" t="s">
        <v>34</v>
      </c>
      <c r="E808" t="s">
        <v>52</v>
      </c>
      <c r="F808">
        <v>7</v>
      </c>
      <c r="G808" t="s">
        <v>53</v>
      </c>
      <c r="H808">
        <v>2</v>
      </c>
      <c r="I808" t="s">
        <v>37</v>
      </c>
      <c r="J808" t="s">
        <v>54</v>
      </c>
      <c r="K808">
        <v>3</v>
      </c>
      <c r="L808" t="s">
        <v>39</v>
      </c>
      <c r="M808">
        <v>3</v>
      </c>
      <c r="N808" t="s">
        <v>68</v>
      </c>
      <c r="O808" t="s">
        <v>70</v>
      </c>
      <c r="P808">
        <v>2</v>
      </c>
      <c r="Q808" t="s">
        <v>57</v>
      </c>
      <c r="R808" t="s">
        <v>43</v>
      </c>
      <c r="S808">
        <v>7</v>
      </c>
      <c r="T808" t="s">
        <v>44</v>
      </c>
      <c r="U808" t="s">
        <v>59</v>
      </c>
      <c r="V808">
        <v>19</v>
      </c>
      <c r="W808" t="s">
        <v>45</v>
      </c>
      <c r="X808">
        <v>18</v>
      </c>
      <c r="Y808">
        <v>3</v>
      </c>
      <c r="Z808" t="s">
        <v>61</v>
      </c>
      <c r="AA808">
        <v>8</v>
      </c>
      <c r="AB808" t="s">
        <v>47</v>
      </c>
      <c r="AC808">
        <v>6</v>
      </c>
      <c r="AD808" t="s">
        <v>47</v>
      </c>
      <c r="AE808">
        <v>4</v>
      </c>
      <c r="AF808" t="s">
        <v>71</v>
      </c>
    </row>
    <row r="809" spans="1:32" x14ac:dyDescent="0.25">
      <c r="A809">
        <v>38</v>
      </c>
      <c r="B809" t="s">
        <v>32</v>
      </c>
      <c r="C809" t="s">
        <v>50</v>
      </c>
      <c r="D809" t="s">
        <v>34</v>
      </c>
      <c r="E809" t="s">
        <v>35</v>
      </c>
      <c r="F809">
        <v>10</v>
      </c>
      <c r="G809" t="s">
        <v>53</v>
      </c>
      <c r="H809">
        <v>3</v>
      </c>
      <c r="I809" t="s">
        <v>42</v>
      </c>
      <c r="J809" t="s">
        <v>54</v>
      </c>
      <c r="K809">
        <v>2</v>
      </c>
      <c r="L809" t="s">
        <v>55</v>
      </c>
      <c r="M809">
        <v>3</v>
      </c>
      <c r="N809" t="s">
        <v>68</v>
      </c>
      <c r="O809" t="s">
        <v>41</v>
      </c>
      <c r="P809">
        <v>3</v>
      </c>
      <c r="Q809" t="s">
        <v>42</v>
      </c>
      <c r="R809" t="s">
        <v>67</v>
      </c>
      <c r="S809">
        <v>0</v>
      </c>
      <c r="T809" t="s">
        <v>44</v>
      </c>
      <c r="U809" t="s">
        <v>44</v>
      </c>
      <c r="V809">
        <v>14</v>
      </c>
      <c r="W809" t="s">
        <v>45</v>
      </c>
      <c r="X809">
        <v>9</v>
      </c>
      <c r="Y809">
        <v>3</v>
      </c>
      <c r="Z809" t="s">
        <v>61</v>
      </c>
      <c r="AA809">
        <v>8</v>
      </c>
      <c r="AB809" t="s">
        <v>47</v>
      </c>
      <c r="AC809">
        <v>7</v>
      </c>
      <c r="AD809" t="s">
        <v>47</v>
      </c>
      <c r="AE809">
        <v>2</v>
      </c>
      <c r="AF809" t="s">
        <v>49</v>
      </c>
    </row>
    <row r="810" spans="1:32" x14ac:dyDescent="0.25">
      <c r="A810">
        <v>29</v>
      </c>
      <c r="B810" t="s">
        <v>63</v>
      </c>
      <c r="C810" t="s">
        <v>50</v>
      </c>
      <c r="D810" t="s">
        <v>34</v>
      </c>
      <c r="E810" t="s">
        <v>52</v>
      </c>
      <c r="F810">
        <v>28</v>
      </c>
      <c r="G810" t="s">
        <v>66</v>
      </c>
      <c r="H810">
        <v>3</v>
      </c>
      <c r="I810" t="s">
        <v>42</v>
      </c>
      <c r="J810" t="s">
        <v>38</v>
      </c>
      <c r="K810">
        <v>3</v>
      </c>
      <c r="L810" t="s">
        <v>39</v>
      </c>
      <c r="M810">
        <v>1</v>
      </c>
      <c r="N810" t="s">
        <v>40</v>
      </c>
      <c r="O810" t="s">
        <v>56</v>
      </c>
      <c r="P810">
        <v>4</v>
      </c>
      <c r="Q810" t="s">
        <v>42</v>
      </c>
      <c r="R810" t="s">
        <v>67</v>
      </c>
      <c r="S810">
        <v>4</v>
      </c>
      <c r="T810" t="s">
        <v>44</v>
      </c>
      <c r="U810" t="s">
        <v>59</v>
      </c>
      <c r="V810">
        <v>22</v>
      </c>
      <c r="W810" t="s">
        <v>60</v>
      </c>
      <c r="X810">
        <v>11</v>
      </c>
      <c r="Y810">
        <v>3</v>
      </c>
      <c r="Z810" t="s">
        <v>61</v>
      </c>
      <c r="AA810">
        <v>7</v>
      </c>
      <c r="AB810" t="s">
        <v>47</v>
      </c>
      <c r="AC810">
        <v>5</v>
      </c>
      <c r="AD810" t="s">
        <v>47</v>
      </c>
      <c r="AE810">
        <v>1</v>
      </c>
      <c r="AF810" t="s">
        <v>49</v>
      </c>
    </row>
    <row r="811" spans="1:32" x14ac:dyDescent="0.25">
      <c r="A811">
        <v>28</v>
      </c>
      <c r="B811" t="s">
        <v>63</v>
      </c>
      <c r="C811" t="s">
        <v>50</v>
      </c>
      <c r="D811" t="s">
        <v>34</v>
      </c>
      <c r="E811" t="s">
        <v>52</v>
      </c>
      <c r="F811">
        <v>3</v>
      </c>
      <c r="G811" t="s">
        <v>36</v>
      </c>
      <c r="H811">
        <v>4</v>
      </c>
      <c r="I811" t="s">
        <v>42</v>
      </c>
      <c r="J811" t="s">
        <v>38</v>
      </c>
      <c r="K811">
        <v>3</v>
      </c>
      <c r="L811" t="s">
        <v>39</v>
      </c>
      <c r="M811">
        <v>3</v>
      </c>
      <c r="N811" t="s">
        <v>68</v>
      </c>
      <c r="O811" t="s">
        <v>69</v>
      </c>
      <c r="P811">
        <v>2</v>
      </c>
      <c r="Q811" t="s">
        <v>57</v>
      </c>
      <c r="R811" t="s">
        <v>67</v>
      </c>
      <c r="S811">
        <v>0</v>
      </c>
      <c r="T811" t="s">
        <v>44</v>
      </c>
      <c r="U811" t="s">
        <v>59</v>
      </c>
      <c r="V811">
        <v>17</v>
      </c>
      <c r="W811" t="s">
        <v>45</v>
      </c>
      <c r="X811">
        <v>10</v>
      </c>
      <c r="Y811">
        <v>2</v>
      </c>
      <c r="Z811" t="s">
        <v>46</v>
      </c>
      <c r="AA811">
        <v>9</v>
      </c>
      <c r="AB811" t="s">
        <v>47</v>
      </c>
      <c r="AC811">
        <v>7</v>
      </c>
      <c r="AD811" t="s">
        <v>47</v>
      </c>
      <c r="AE811">
        <v>1</v>
      </c>
      <c r="AF811" t="s">
        <v>49</v>
      </c>
    </row>
    <row r="812" spans="1:32" x14ac:dyDescent="0.25">
      <c r="A812">
        <v>46</v>
      </c>
      <c r="B812" t="s">
        <v>32</v>
      </c>
      <c r="C812" t="s">
        <v>50</v>
      </c>
      <c r="D812" t="s">
        <v>34</v>
      </c>
      <c r="E812" t="s">
        <v>35</v>
      </c>
      <c r="F812">
        <v>3</v>
      </c>
      <c r="G812" t="s">
        <v>36</v>
      </c>
      <c r="H812">
        <v>1</v>
      </c>
      <c r="I812" t="s">
        <v>37</v>
      </c>
      <c r="J812" t="s">
        <v>54</v>
      </c>
      <c r="K812">
        <v>3</v>
      </c>
      <c r="L812" t="s">
        <v>39</v>
      </c>
      <c r="M812">
        <v>4</v>
      </c>
      <c r="N812" t="s">
        <v>72</v>
      </c>
      <c r="O812" t="s">
        <v>73</v>
      </c>
      <c r="P812">
        <v>3</v>
      </c>
      <c r="Q812" t="s">
        <v>42</v>
      </c>
      <c r="R812" t="s">
        <v>58</v>
      </c>
      <c r="S812">
        <v>3</v>
      </c>
      <c r="T812" t="s">
        <v>44</v>
      </c>
      <c r="U812" t="s">
        <v>59</v>
      </c>
      <c r="V812">
        <v>12</v>
      </c>
      <c r="W812" t="s">
        <v>45</v>
      </c>
      <c r="X812">
        <v>23</v>
      </c>
      <c r="Y812">
        <v>3</v>
      </c>
      <c r="Z812" t="s">
        <v>61</v>
      </c>
      <c r="AA812">
        <v>12</v>
      </c>
      <c r="AB812" t="s">
        <v>74</v>
      </c>
      <c r="AC812">
        <v>9</v>
      </c>
      <c r="AD812" t="s">
        <v>47</v>
      </c>
      <c r="AE812">
        <v>4</v>
      </c>
      <c r="AF812" t="s">
        <v>71</v>
      </c>
    </row>
    <row r="813" spans="1:32" x14ac:dyDescent="0.25">
      <c r="A813">
        <v>38</v>
      </c>
      <c r="B813" t="s">
        <v>32</v>
      </c>
      <c r="C813" t="s">
        <v>50</v>
      </c>
      <c r="D813" t="s">
        <v>34</v>
      </c>
      <c r="E813" t="s">
        <v>35</v>
      </c>
      <c r="F813">
        <v>2</v>
      </c>
      <c r="G813" t="s">
        <v>36</v>
      </c>
      <c r="H813">
        <v>4</v>
      </c>
      <c r="I813" t="s">
        <v>42</v>
      </c>
      <c r="J813" t="s">
        <v>54</v>
      </c>
      <c r="K813">
        <v>3</v>
      </c>
      <c r="L813" t="s">
        <v>39</v>
      </c>
      <c r="M813">
        <v>3</v>
      </c>
      <c r="N813" t="s">
        <v>68</v>
      </c>
      <c r="O813" t="s">
        <v>41</v>
      </c>
      <c r="P813">
        <v>2</v>
      </c>
      <c r="Q813" t="s">
        <v>57</v>
      </c>
      <c r="R813" t="s">
        <v>43</v>
      </c>
      <c r="S813">
        <v>7</v>
      </c>
      <c r="T813" t="s">
        <v>44</v>
      </c>
      <c r="U813" t="s">
        <v>59</v>
      </c>
      <c r="V813">
        <v>16</v>
      </c>
      <c r="W813" t="s">
        <v>45</v>
      </c>
      <c r="X813">
        <v>10</v>
      </c>
      <c r="Y813">
        <v>3</v>
      </c>
      <c r="Z813" t="s">
        <v>61</v>
      </c>
      <c r="AA813">
        <v>1</v>
      </c>
      <c r="AB813" t="s">
        <v>48</v>
      </c>
      <c r="AC813">
        <v>0</v>
      </c>
      <c r="AD813" t="s">
        <v>48</v>
      </c>
      <c r="AE813">
        <v>0</v>
      </c>
      <c r="AF813" t="s">
        <v>49</v>
      </c>
    </row>
    <row r="814" spans="1:32" x14ac:dyDescent="0.25">
      <c r="A814">
        <v>43</v>
      </c>
      <c r="B814" t="s">
        <v>32</v>
      </c>
      <c r="C814" t="s">
        <v>50</v>
      </c>
      <c r="D814" t="s">
        <v>51</v>
      </c>
      <c r="E814" t="s">
        <v>52</v>
      </c>
      <c r="F814">
        <v>27</v>
      </c>
      <c r="G814" t="s">
        <v>66</v>
      </c>
      <c r="H814">
        <v>3</v>
      </c>
      <c r="I814" t="s">
        <v>42</v>
      </c>
      <c r="J814" t="s">
        <v>38</v>
      </c>
      <c r="K814">
        <v>3</v>
      </c>
      <c r="L814" t="s">
        <v>39</v>
      </c>
      <c r="M814">
        <v>3</v>
      </c>
      <c r="N814" t="s">
        <v>68</v>
      </c>
      <c r="O814" t="s">
        <v>69</v>
      </c>
      <c r="P814">
        <v>1</v>
      </c>
      <c r="Q814" t="s">
        <v>57</v>
      </c>
      <c r="R814" t="s">
        <v>58</v>
      </c>
      <c r="S814">
        <v>8</v>
      </c>
      <c r="T814" t="s">
        <v>44</v>
      </c>
      <c r="U814" t="s">
        <v>59</v>
      </c>
      <c r="V814">
        <v>11</v>
      </c>
      <c r="W814" t="s">
        <v>45</v>
      </c>
      <c r="X814">
        <v>18</v>
      </c>
      <c r="Y814">
        <v>3</v>
      </c>
      <c r="Z814" t="s">
        <v>61</v>
      </c>
      <c r="AA814">
        <v>8</v>
      </c>
      <c r="AB814" t="s">
        <v>47</v>
      </c>
      <c r="AC814">
        <v>7</v>
      </c>
      <c r="AD814" t="s">
        <v>47</v>
      </c>
      <c r="AE814">
        <v>0</v>
      </c>
      <c r="AF814" t="s">
        <v>49</v>
      </c>
    </row>
    <row r="815" spans="1:32" x14ac:dyDescent="0.25">
      <c r="A815">
        <v>39</v>
      </c>
      <c r="B815" t="s">
        <v>32</v>
      </c>
      <c r="C815" t="s">
        <v>33</v>
      </c>
      <c r="D815" t="s">
        <v>51</v>
      </c>
      <c r="E815" t="s">
        <v>52</v>
      </c>
      <c r="F815">
        <v>2</v>
      </c>
      <c r="G815" t="s">
        <v>36</v>
      </c>
      <c r="H815">
        <v>1</v>
      </c>
      <c r="I815" t="s">
        <v>37</v>
      </c>
      <c r="J815" t="s">
        <v>54</v>
      </c>
      <c r="K815">
        <v>3</v>
      </c>
      <c r="L815" t="s">
        <v>39</v>
      </c>
      <c r="M815">
        <v>4</v>
      </c>
      <c r="N815" t="s">
        <v>72</v>
      </c>
      <c r="O815" t="s">
        <v>70</v>
      </c>
      <c r="P815">
        <v>4</v>
      </c>
      <c r="Q815" t="s">
        <v>42</v>
      </c>
      <c r="R815" t="s">
        <v>67</v>
      </c>
      <c r="S815">
        <v>7</v>
      </c>
      <c r="T815" t="s">
        <v>44</v>
      </c>
      <c r="U815" t="s">
        <v>59</v>
      </c>
      <c r="V815">
        <v>11</v>
      </c>
      <c r="W815" t="s">
        <v>45</v>
      </c>
      <c r="X815">
        <v>21</v>
      </c>
      <c r="Y815">
        <v>3</v>
      </c>
      <c r="Z815" t="s">
        <v>61</v>
      </c>
      <c r="AA815">
        <v>18</v>
      </c>
      <c r="AB815" t="s">
        <v>74</v>
      </c>
      <c r="AC815">
        <v>7</v>
      </c>
      <c r="AD815" t="s">
        <v>47</v>
      </c>
      <c r="AE815">
        <v>11</v>
      </c>
      <c r="AF815" t="s">
        <v>71</v>
      </c>
    </row>
    <row r="816" spans="1:32" x14ac:dyDescent="0.25">
      <c r="A816">
        <v>40</v>
      </c>
      <c r="B816" t="s">
        <v>32</v>
      </c>
      <c r="C816" t="s">
        <v>50</v>
      </c>
      <c r="D816" t="s">
        <v>34</v>
      </c>
      <c r="E816" t="s">
        <v>52</v>
      </c>
      <c r="F816">
        <v>14</v>
      </c>
      <c r="G816" t="s">
        <v>53</v>
      </c>
      <c r="H816">
        <v>3</v>
      </c>
      <c r="I816" t="s">
        <v>42</v>
      </c>
      <c r="J816" t="s">
        <v>54</v>
      </c>
      <c r="K816">
        <v>2</v>
      </c>
      <c r="L816" t="s">
        <v>55</v>
      </c>
      <c r="M816">
        <v>5</v>
      </c>
      <c r="N816" t="s">
        <v>72</v>
      </c>
      <c r="O816" t="s">
        <v>76</v>
      </c>
      <c r="P816">
        <v>3</v>
      </c>
      <c r="Q816" t="s">
        <v>42</v>
      </c>
      <c r="R816" t="s">
        <v>43</v>
      </c>
      <c r="S816">
        <v>1</v>
      </c>
      <c r="T816" t="s">
        <v>44</v>
      </c>
      <c r="U816" t="s">
        <v>59</v>
      </c>
      <c r="V816">
        <v>14</v>
      </c>
      <c r="W816" t="s">
        <v>45</v>
      </c>
      <c r="X816">
        <v>21</v>
      </c>
      <c r="Y816">
        <v>4</v>
      </c>
      <c r="Z816" t="s">
        <v>61</v>
      </c>
      <c r="AA816">
        <v>20</v>
      </c>
      <c r="AB816" t="s">
        <v>74</v>
      </c>
      <c r="AC816">
        <v>7</v>
      </c>
      <c r="AD816" t="s">
        <v>47</v>
      </c>
      <c r="AE816">
        <v>4</v>
      </c>
      <c r="AF816" t="s">
        <v>71</v>
      </c>
    </row>
    <row r="817" spans="1:32" x14ac:dyDescent="0.25">
      <c r="A817">
        <v>21</v>
      </c>
      <c r="B817" t="s">
        <v>63</v>
      </c>
      <c r="C817" t="s">
        <v>50</v>
      </c>
      <c r="D817" t="s">
        <v>34</v>
      </c>
      <c r="E817" t="s">
        <v>52</v>
      </c>
      <c r="F817">
        <v>1</v>
      </c>
      <c r="G817" t="s">
        <v>36</v>
      </c>
      <c r="H817">
        <v>4</v>
      </c>
      <c r="I817" t="s">
        <v>42</v>
      </c>
      <c r="J817" t="s">
        <v>38</v>
      </c>
      <c r="K817">
        <v>2</v>
      </c>
      <c r="L817" t="s">
        <v>55</v>
      </c>
      <c r="M817">
        <v>1</v>
      </c>
      <c r="N817" t="s">
        <v>40</v>
      </c>
      <c r="O817" t="s">
        <v>56</v>
      </c>
      <c r="P817">
        <v>2</v>
      </c>
      <c r="Q817" t="s">
        <v>57</v>
      </c>
      <c r="R817" t="s">
        <v>43</v>
      </c>
      <c r="S817">
        <v>1</v>
      </c>
      <c r="T817" t="s">
        <v>44</v>
      </c>
      <c r="U817" t="s">
        <v>44</v>
      </c>
      <c r="V817">
        <v>11</v>
      </c>
      <c r="W817" t="s">
        <v>45</v>
      </c>
      <c r="X817">
        <v>2</v>
      </c>
      <c r="Y817">
        <v>4</v>
      </c>
      <c r="Z817" t="s">
        <v>61</v>
      </c>
      <c r="AA817">
        <v>2</v>
      </c>
      <c r="AB817" t="s">
        <v>48</v>
      </c>
      <c r="AC817">
        <v>2</v>
      </c>
      <c r="AD817" t="s">
        <v>48</v>
      </c>
      <c r="AE817">
        <v>2</v>
      </c>
      <c r="AF817" t="s">
        <v>49</v>
      </c>
    </row>
    <row r="818" spans="1:32" x14ac:dyDescent="0.25">
      <c r="A818">
        <v>39</v>
      </c>
      <c r="B818" t="s">
        <v>32</v>
      </c>
      <c r="C818" t="s">
        <v>50</v>
      </c>
      <c r="D818" t="s">
        <v>34</v>
      </c>
      <c r="E818" t="s">
        <v>52</v>
      </c>
      <c r="F818">
        <v>9</v>
      </c>
      <c r="G818" t="s">
        <v>53</v>
      </c>
      <c r="H818">
        <v>3</v>
      </c>
      <c r="I818" t="s">
        <v>42</v>
      </c>
      <c r="J818" t="s">
        <v>54</v>
      </c>
      <c r="K818">
        <v>3</v>
      </c>
      <c r="L818" t="s">
        <v>39</v>
      </c>
      <c r="M818">
        <v>2</v>
      </c>
      <c r="N818" t="s">
        <v>40</v>
      </c>
      <c r="O818" t="s">
        <v>62</v>
      </c>
      <c r="P818">
        <v>2</v>
      </c>
      <c r="Q818" t="s">
        <v>57</v>
      </c>
      <c r="R818" t="s">
        <v>43</v>
      </c>
      <c r="S818">
        <v>9</v>
      </c>
      <c r="T818" t="s">
        <v>44</v>
      </c>
      <c r="U818" t="s">
        <v>59</v>
      </c>
      <c r="V818">
        <v>15</v>
      </c>
      <c r="W818" t="s">
        <v>45</v>
      </c>
      <c r="X818">
        <v>9</v>
      </c>
      <c r="Y818">
        <v>2</v>
      </c>
      <c r="Z818" t="s">
        <v>46</v>
      </c>
      <c r="AA818">
        <v>5</v>
      </c>
      <c r="AB818" t="s">
        <v>47</v>
      </c>
      <c r="AC818">
        <v>4</v>
      </c>
      <c r="AD818" t="s">
        <v>48</v>
      </c>
      <c r="AE818">
        <v>0</v>
      </c>
      <c r="AF818" t="s">
        <v>49</v>
      </c>
    </row>
    <row r="819" spans="1:32" x14ac:dyDescent="0.25">
      <c r="A819">
        <v>36</v>
      </c>
      <c r="B819" t="s">
        <v>32</v>
      </c>
      <c r="C819" t="s">
        <v>50</v>
      </c>
      <c r="D819" t="s">
        <v>34</v>
      </c>
      <c r="E819" t="s">
        <v>52</v>
      </c>
      <c r="F819">
        <v>18</v>
      </c>
      <c r="G819" t="s">
        <v>66</v>
      </c>
      <c r="H819">
        <v>1</v>
      </c>
      <c r="I819" t="s">
        <v>37</v>
      </c>
      <c r="J819" t="s">
        <v>54</v>
      </c>
      <c r="K819">
        <v>3</v>
      </c>
      <c r="L819" t="s">
        <v>39</v>
      </c>
      <c r="M819">
        <v>2</v>
      </c>
      <c r="N819" t="s">
        <v>40</v>
      </c>
      <c r="O819" t="s">
        <v>69</v>
      </c>
      <c r="P819">
        <v>4</v>
      </c>
      <c r="Q819" t="s">
        <v>42</v>
      </c>
      <c r="R819" t="s">
        <v>43</v>
      </c>
      <c r="S819">
        <v>2</v>
      </c>
      <c r="T819" t="s">
        <v>44</v>
      </c>
      <c r="U819" t="s">
        <v>59</v>
      </c>
      <c r="V819">
        <v>20</v>
      </c>
      <c r="W819" t="s">
        <v>60</v>
      </c>
      <c r="X819">
        <v>18</v>
      </c>
      <c r="Y819">
        <v>3</v>
      </c>
      <c r="Z819" t="s">
        <v>61</v>
      </c>
      <c r="AA819">
        <v>11</v>
      </c>
      <c r="AB819" t="s">
        <v>74</v>
      </c>
      <c r="AC819">
        <v>9</v>
      </c>
      <c r="AD819" t="s">
        <v>47</v>
      </c>
      <c r="AE819">
        <v>0</v>
      </c>
      <c r="AF819" t="s">
        <v>49</v>
      </c>
    </row>
    <row r="820" spans="1:32" x14ac:dyDescent="0.25">
      <c r="A820">
        <v>31</v>
      </c>
      <c r="B820" t="s">
        <v>32</v>
      </c>
      <c r="C820" t="s">
        <v>50</v>
      </c>
      <c r="D820" t="s">
        <v>51</v>
      </c>
      <c r="E820" t="s">
        <v>35</v>
      </c>
      <c r="F820">
        <v>20</v>
      </c>
      <c r="G820" t="s">
        <v>66</v>
      </c>
      <c r="H820">
        <v>3</v>
      </c>
      <c r="I820" t="s">
        <v>42</v>
      </c>
      <c r="J820" t="s">
        <v>54</v>
      </c>
      <c r="K820">
        <v>4</v>
      </c>
      <c r="L820" t="s">
        <v>65</v>
      </c>
      <c r="M820">
        <v>1</v>
      </c>
      <c r="N820" t="s">
        <v>40</v>
      </c>
      <c r="O820" t="s">
        <v>75</v>
      </c>
      <c r="P820">
        <v>4</v>
      </c>
      <c r="Q820" t="s">
        <v>42</v>
      </c>
      <c r="R820" t="s">
        <v>58</v>
      </c>
      <c r="S820">
        <v>0</v>
      </c>
      <c r="T820" t="s">
        <v>44</v>
      </c>
      <c r="U820" t="s">
        <v>59</v>
      </c>
      <c r="V820">
        <v>12</v>
      </c>
      <c r="W820" t="s">
        <v>45</v>
      </c>
      <c r="X820">
        <v>3</v>
      </c>
      <c r="Y820">
        <v>3</v>
      </c>
      <c r="Z820" t="s">
        <v>61</v>
      </c>
      <c r="AA820">
        <v>2</v>
      </c>
      <c r="AB820" t="s">
        <v>48</v>
      </c>
      <c r="AC820">
        <v>2</v>
      </c>
      <c r="AD820" t="s">
        <v>48</v>
      </c>
      <c r="AE820">
        <v>2</v>
      </c>
      <c r="AF820" t="s">
        <v>49</v>
      </c>
    </row>
    <row r="821" spans="1:32" x14ac:dyDescent="0.25">
      <c r="A821">
        <v>28</v>
      </c>
      <c r="B821" t="s">
        <v>63</v>
      </c>
      <c r="C821" t="s">
        <v>50</v>
      </c>
      <c r="D821" t="s">
        <v>34</v>
      </c>
      <c r="E821" t="s">
        <v>52</v>
      </c>
      <c r="F821">
        <v>2</v>
      </c>
      <c r="G821" t="s">
        <v>36</v>
      </c>
      <c r="H821">
        <v>1</v>
      </c>
      <c r="I821" t="s">
        <v>37</v>
      </c>
      <c r="J821" t="s">
        <v>54</v>
      </c>
      <c r="K821">
        <v>2</v>
      </c>
      <c r="L821" t="s">
        <v>55</v>
      </c>
      <c r="M821">
        <v>1</v>
      </c>
      <c r="N821" t="s">
        <v>40</v>
      </c>
      <c r="O821" t="s">
        <v>56</v>
      </c>
      <c r="P821">
        <v>2</v>
      </c>
      <c r="Q821" t="s">
        <v>57</v>
      </c>
      <c r="R821" t="s">
        <v>58</v>
      </c>
      <c r="S821">
        <v>0</v>
      </c>
      <c r="T821" t="s">
        <v>44</v>
      </c>
      <c r="U821" t="s">
        <v>59</v>
      </c>
      <c r="V821">
        <v>17</v>
      </c>
      <c r="W821" t="s">
        <v>45</v>
      </c>
      <c r="X821">
        <v>6</v>
      </c>
      <c r="Y821">
        <v>1</v>
      </c>
      <c r="Z821" t="s">
        <v>46</v>
      </c>
      <c r="AA821">
        <v>5</v>
      </c>
      <c r="AB821" t="s">
        <v>47</v>
      </c>
      <c r="AC821">
        <v>3</v>
      </c>
      <c r="AD821" t="s">
        <v>48</v>
      </c>
      <c r="AE821">
        <v>0</v>
      </c>
      <c r="AF821" t="s">
        <v>49</v>
      </c>
    </row>
    <row r="822" spans="1:32" x14ac:dyDescent="0.25">
      <c r="A822">
        <v>35</v>
      </c>
      <c r="B822" t="s">
        <v>32</v>
      </c>
      <c r="C822" t="s">
        <v>50</v>
      </c>
      <c r="D822" t="s">
        <v>51</v>
      </c>
      <c r="E822" t="s">
        <v>35</v>
      </c>
      <c r="F822">
        <v>11</v>
      </c>
      <c r="G822" t="s">
        <v>53</v>
      </c>
      <c r="H822">
        <v>4</v>
      </c>
      <c r="I822" t="s">
        <v>42</v>
      </c>
      <c r="J822" t="s">
        <v>54</v>
      </c>
      <c r="K822">
        <v>3</v>
      </c>
      <c r="L822" t="s">
        <v>39</v>
      </c>
      <c r="M822">
        <v>2</v>
      </c>
      <c r="N822" t="s">
        <v>40</v>
      </c>
      <c r="O822" t="s">
        <v>41</v>
      </c>
      <c r="P822">
        <v>4</v>
      </c>
      <c r="Q822" t="s">
        <v>42</v>
      </c>
      <c r="R822" t="s">
        <v>67</v>
      </c>
      <c r="S822">
        <v>1</v>
      </c>
      <c r="T822" t="s">
        <v>44</v>
      </c>
      <c r="U822" t="s">
        <v>59</v>
      </c>
      <c r="V822">
        <v>11</v>
      </c>
      <c r="W822" t="s">
        <v>45</v>
      </c>
      <c r="X822">
        <v>5</v>
      </c>
      <c r="Y822">
        <v>3</v>
      </c>
      <c r="Z822" t="s">
        <v>61</v>
      </c>
      <c r="AA822">
        <v>5</v>
      </c>
      <c r="AB822" t="s">
        <v>47</v>
      </c>
      <c r="AC822">
        <v>2</v>
      </c>
      <c r="AD822" t="s">
        <v>48</v>
      </c>
      <c r="AE822">
        <v>0</v>
      </c>
      <c r="AF822" t="s">
        <v>49</v>
      </c>
    </row>
    <row r="823" spans="1:32" x14ac:dyDescent="0.25">
      <c r="A823">
        <v>49</v>
      </c>
      <c r="B823" t="s">
        <v>32</v>
      </c>
      <c r="C823" t="s">
        <v>50</v>
      </c>
      <c r="D823" t="s">
        <v>34</v>
      </c>
      <c r="E823" t="s">
        <v>35</v>
      </c>
      <c r="F823">
        <v>8</v>
      </c>
      <c r="G823" t="s">
        <v>53</v>
      </c>
      <c r="H823">
        <v>4</v>
      </c>
      <c r="I823" t="s">
        <v>42</v>
      </c>
      <c r="J823" t="s">
        <v>54</v>
      </c>
      <c r="K823">
        <v>2</v>
      </c>
      <c r="L823" t="s">
        <v>55</v>
      </c>
      <c r="M823">
        <v>4</v>
      </c>
      <c r="N823" t="s">
        <v>72</v>
      </c>
      <c r="O823" t="s">
        <v>41</v>
      </c>
      <c r="P823">
        <v>2</v>
      </c>
      <c r="Q823" t="s">
        <v>57</v>
      </c>
      <c r="R823" t="s">
        <v>58</v>
      </c>
      <c r="S823">
        <v>6</v>
      </c>
      <c r="T823" t="s">
        <v>44</v>
      </c>
      <c r="U823" t="s">
        <v>59</v>
      </c>
      <c r="V823">
        <v>17</v>
      </c>
      <c r="W823" t="s">
        <v>45</v>
      </c>
      <c r="X823">
        <v>22</v>
      </c>
      <c r="Y823">
        <v>3</v>
      </c>
      <c r="Z823" t="s">
        <v>61</v>
      </c>
      <c r="AA823">
        <v>9</v>
      </c>
      <c r="AB823" t="s">
        <v>47</v>
      </c>
      <c r="AC823">
        <v>8</v>
      </c>
      <c r="AD823" t="s">
        <v>47</v>
      </c>
      <c r="AE823">
        <v>2</v>
      </c>
      <c r="AF823" t="s">
        <v>49</v>
      </c>
    </row>
    <row r="824" spans="1:32" x14ac:dyDescent="0.25">
      <c r="A824">
        <v>34</v>
      </c>
      <c r="B824" t="s">
        <v>32</v>
      </c>
      <c r="C824" t="s">
        <v>50</v>
      </c>
      <c r="D824" t="s">
        <v>51</v>
      </c>
      <c r="E824" t="s">
        <v>52</v>
      </c>
      <c r="F824">
        <v>2</v>
      </c>
      <c r="G824" t="s">
        <v>36</v>
      </c>
      <c r="H824">
        <v>4</v>
      </c>
      <c r="I824" t="s">
        <v>42</v>
      </c>
      <c r="J824" t="s">
        <v>54</v>
      </c>
      <c r="K824">
        <v>3</v>
      </c>
      <c r="L824" t="s">
        <v>39</v>
      </c>
      <c r="M824">
        <v>2</v>
      </c>
      <c r="N824" t="s">
        <v>40</v>
      </c>
      <c r="O824" t="s">
        <v>69</v>
      </c>
      <c r="P824">
        <v>3</v>
      </c>
      <c r="Q824" t="s">
        <v>42</v>
      </c>
      <c r="R824" t="s">
        <v>43</v>
      </c>
      <c r="S824">
        <v>2</v>
      </c>
      <c r="T824" t="s">
        <v>44</v>
      </c>
      <c r="U824" t="s">
        <v>59</v>
      </c>
      <c r="V824">
        <v>11</v>
      </c>
      <c r="W824" t="s">
        <v>45</v>
      </c>
      <c r="X824">
        <v>5</v>
      </c>
      <c r="Y824">
        <v>2</v>
      </c>
      <c r="Z824" t="s">
        <v>46</v>
      </c>
      <c r="AA824">
        <v>3</v>
      </c>
      <c r="AB824" t="s">
        <v>48</v>
      </c>
      <c r="AC824">
        <v>2</v>
      </c>
      <c r="AD824" t="s">
        <v>48</v>
      </c>
      <c r="AE824">
        <v>0</v>
      </c>
      <c r="AF824" t="s">
        <v>49</v>
      </c>
    </row>
    <row r="825" spans="1:32" x14ac:dyDescent="0.25">
      <c r="A825">
        <v>29</v>
      </c>
      <c r="B825" t="s">
        <v>63</v>
      </c>
      <c r="C825" t="s">
        <v>50</v>
      </c>
      <c r="D825" t="s">
        <v>51</v>
      </c>
      <c r="E825" t="s">
        <v>52</v>
      </c>
      <c r="F825">
        <v>10</v>
      </c>
      <c r="G825" t="s">
        <v>53</v>
      </c>
      <c r="H825">
        <v>4</v>
      </c>
      <c r="I825" t="s">
        <v>42</v>
      </c>
      <c r="J825" t="s">
        <v>38</v>
      </c>
      <c r="K825">
        <v>3</v>
      </c>
      <c r="L825" t="s">
        <v>39</v>
      </c>
      <c r="M825">
        <v>1</v>
      </c>
      <c r="N825" t="s">
        <v>40</v>
      </c>
      <c r="O825" t="s">
        <v>56</v>
      </c>
      <c r="P825">
        <v>2</v>
      </c>
      <c r="Q825" t="s">
        <v>57</v>
      </c>
      <c r="R825" t="s">
        <v>67</v>
      </c>
      <c r="S825">
        <v>0</v>
      </c>
      <c r="T825" t="s">
        <v>44</v>
      </c>
      <c r="U825" t="s">
        <v>59</v>
      </c>
      <c r="V825">
        <v>14</v>
      </c>
      <c r="W825" t="s">
        <v>45</v>
      </c>
      <c r="X825">
        <v>8</v>
      </c>
      <c r="Y825">
        <v>2</v>
      </c>
      <c r="Z825" t="s">
        <v>46</v>
      </c>
      <c r="AA825">
        <v>7</v>
      </c>
      <c r="AB825" t="s">
        <v>47</v>
      </c>
      <c r="AC825">
        <v>5</v>
      </c>
      <c r="AD825" t="s">
        <v>47</v>
      </c>
      <c r="AE825">
        <v>1</v>
      </c>
      <c r="AF825" t="s">
        <v>49</v>
      </c>
    </row>
    <row r="826" spans="1:32" x14ac:dyDescent="0.25">
      <c r="A826">
        <v>42</v>
      </c>
      <c r="B826" t="s">
        <v>32</v>
      </c>
      <c r="C826" t="s">
        <v>50</v>
      </c>
      <c r="D826" t="s">
        <v>34</v>
      </c>
      <c r="E826" t="s">
        <v>52</v>
      </c>
      <c r="F826">
        <v>29</v>
      </c>
      <c r="G826" t="s">
        <v>66</v>
      </c>
      <c r="H826">
        <v>2</v>
      </c>
      <c r="I826" t="s">
        <v>37</v>
      </c>
      <c r="J826" t="s">
        <v>54</v>
      </c>
      <c r="K826">
        <v>1</v>
      </c>
      <c r="L826" t="s">
        <v>55</v>
      </c>
      <c r="M826">
        <v>2</v>
      </c>
      <c r="N826" t="s">
        <v>40</v>
      </c>
      <c r="O826" t="s">
        <v>62</v>
      </c>
      <c r="P826">
        <v>4</v>
      </c>
      <c r="Q826" t="s">
        <v>42</v>
      </c>
      <c r="R826" t="s">
        <v>43</v>
      </c>
      <c r="S826">
        <v>4</v>
      </c>
      <c r="T826" t="s">
        <v>44</v>
      </c>
      <c r="U826" t="s">
        <v>59</v>
      </c>
      <c r="V826">
        <v>19</v>
      </c>
      <c r="W826" t="s">
        <v>45</v>
      </c>
      <c r="X826">
        <v>16</v>
      </c>
      <c r="Y826">
        <v>3</v>
      </c>
      <c r="Z826" t="s">
        <v>61</v>
      </c>
      <c r="AA826">
        <v>1</v>
      </c>
      <c r="AB826" t="s">
        <v>48</v>
      </c>
      <c r="AC826">
        <v>0</v>
      </c>
      <c r="AD826" t="s">
        <v>48</v>
      </c>
      <c r="AE826">
        <v>0</v>
      </c>
      <c r="AF826" t="s">
        <v>49</v>
      </c>
    </row>
    <row r="827" spans="1:32" x14ac:dyDescent="0.25">
      <c r="A827">
        <v>29</v>
      </c>
      <c r="B827" t="s">
        <v>63</v>
      </c>
      <c r="C827" t="s">
        <v>50</v>
      </c>
      <c r="D827" t="s">
        <v>34</v>
      </c>
      <c r="E827" t="s">
        <v>52</v>
      </c>
      <c r="F827">
        <v>8</v>
      </c>
      <c r="G827" t="s">
        <v>53</v>
      </c>
      <c r="H827">
        <v>2</v>
      </c>
      <c r="I827" t="s">
        <v>37</v>
      </c>
      <c r="J827" t="s">
        <v>54</v>
      </c>
      <c r="K827">
        <v>2</v>
      </c>
      <c r="L827" t="s">
        <v>55</v>
      </c>
      <c r="M827">
        <v>2</v>
      </c>
      <c r="N827" t="s">
        <v>40</v>
      </c>
      <c r="O827" t="s">
        <v>69</v>
      </c>
      <c r="P827">
        <v>4</v>
      </c>
      <c r="Q827" t="s">
        <v>42</v>
      </c>
      <c r="R827" t="s">
        <v>58</v>
      </c>
      <c r="S827">
        <v>1</v>
      </c>
      <c r="T827" t="s">
        <v>44</v>
      </c>
      <c r="U827" t="s">
        <v>44</v>
      </c>
      <c r="V827">
        <v>15</v>
      </c>
      <c r="W827" t="s">
        <v>45</v>
      </c>
      <c r="X827">
        <v>10</v>
      </c>
      <c r="Y827">
        <v>2</v>
      </c>
      <c r="Z827" t="s">
        <v>46</v>
      </c>
      <c r="AA827">
        <v>10</v>
      </c>
      <c r="AB827" t="s">
        <v>47</v>
      </c>
      <c r="AC827">
        <v>7</v>
      </c>
      <c r="AD827" t="s">
        <v>47</v>
      </c>
      <c r="AE827">
        <v>1</v>
      </c>
      <c r="AF827" t="s">
        <v>49</v>
      </c>
    </row>
    <row r="828" spans="1:32" x14ac:dyDescent="0.25">
      <c r="A828">
        <v>38</v>
      </c>
      <c r="B828" t="s">
        <v>32</v>
      </c>
      <c r="C828" t="s">
        <v>50</v>
      </c>
      <c r="D828" t="s">
        <v>34</v>
      </c>
      <c r="E828" t="s">
        <v>77</v>
      </c>
      <c r="F828">
        <v>1</v>
      </c>
      <c r="G828" t="s">
        <v>36</v>
      </c>
      <c r="H828">
        <v>3</v>
      </c>
      <c r="I828" t="s">
        <v>42</v>
      </c>
      <c r="J828" t="s">
        <v>54</v>
      </c>
      <c r="K828">
        <v>4</v>
      </c>
      <c r="L828" t="s">
        <v>65</v>
      </c>
      <c r="M828">
        <v>1</v>
      </c>
      <c r="N828" t="s">
        <v>40</v>
      </c>
      <c r="O828" t="s">
        <v>77</v>
      </c>
      <c r="P828">
        <v>3</v>
      </c>
      <c r="Q828" t="s">
        <v>42</v>
      </c>
      <c r="R828" t="s">
        <v>58</v>
      </c>
      <c r="S828">
        <v>1</v>
      </c>
      <c r="T828" t="s">
        <v>44</v>
      </c>
      <c r="U828" t="s">
        <v>59</v>
      </c>
      <c r="V828">
        <v>13</v>
      </c>
      <c r="W828" t="s">
        <v>45</v>
      </c>
      <c r="X828">
        <v>7</v>
      </c>
      <c r="Y828">
        <v>4</v>
      </c>
      <c r="Z828" t="s">
        <v>61</v>
      </c>
      <c r="AA828">
        <v>7</v>
      </c>
      <c r="AB828" t="s">
        <v>47</v>
      </c>
      <c r="AC828">
        <v>6</v>
      </c>
      <c r="AD828" t="s">
        <v>47</v>
      </c>
      <c r="AE828">
        <v>5</v>
      </c>
      <c r="AF828" t="s">
        <v>71</v>
      </c>
    </row>
    <row r="829" spans="1:32" x14ac:dyDescent="0.25">
      <c r="A829">
        <v>28</v>
      </c>
      <c r="B829" t="s">
        <v>63</v>
      </c>
      <c r="C829" t="s">
        <v>50</v>
      </c>
      <c r="D829" t="s">
        <v>51</v>
      </c>
      <c r="E829" t="s">
        <v>52</v>
      </c>
      <c r="F829">
        <v>6</v>
      </c>
      <c r="G829" t="s">
        <v>53</v>
      </c>
      <c r="H829">
        <v>3</v>
      </c>
      <c r="I829" t="s">
        <v>42</v>
      </c>
      <c r="J829" t="s">
        <v>54</v>
      </c>
      <c r="K829">
        <v>2</v>
      </c>
      <c r="L829" t="s">
        <v>55</v>
      </c>
      <c r="M829">
        <v>1</v>
      </c>
      <c r="N829" t="s">
        <v>40</v>
      </c>
      <c r="O829" t="s">
        <v>56</v>
      </c>
      <c r="P829">
        <v>3</v>
      </c>
      <c r="Q829" t="s">
        <v>42</v>
      </c>
      <c r="R829" t="s">
        <v>67</v>
      </c>
      <c r="S829">
        <v>1</v>
      </c>
      <c r="T829" t="s">
        <v>44</v>
      </c>
      <c r="U829" t="s">
        <v>44</v>
      </c>
      <c r="V829">
        <v>14</v>
      </c>
      <c r="W829" t="s">
        <v>45</v>
      </c>
      <c r="X829">
        <v>3</v>
      </c>
      <c r="Y829">
        <v>3</v>
      </c>
      <c r="Z829" t="s">
        <v>61</v>
      </c>
      <c r="AA829">
        <v>3</v>
      </c>
      <c r="AB829" t="s">
        <v>48</v>
      </c>
      <c r="AC829">
        <v>1</v>
      </c>
      <c r="AD829" t="s">
        <v>48</v>
      </c>
      <c r="AE829">
        <v>0</v>
      </c>
      <c r="AF829" t="s">
        <v>49</v>
      </c>
    </row>
    <row r="830" spans="1:32" x14ac:dyDescent="0.25">
      <c r="A830">
        <v>18</v>
      </c>
      <c r="B830" t="s">
        <v>63</v>
      </c>
      <c r="C830" t="s">
        <v>33</v>
      </c>
      <c r="D830" t="s">
        <v>34</v>
      </c>
      <c r="E830" t="s">
        <v>52</v>
      </c>
      <c r="F830">
        <v>8</v>
      </c>
      <c r="G830" t="s">
        <v>53</v>
      </c>
      <c r="H830">
        <v>3</v>
      </c>
      <c r="I830" t="s">
        <v>42</v>
      </c>
      <c r="J830" t="s">
        <v>54</v>
      </c>
      <c r="K830">
        <v>3</v>
      </c>
      <c r="L830" t="s">
        <v>39</v>
      </c>
      <c r="M830">
        <v>1</v>
      </c>
      <c r="N830" t="s">
        <v>40</v>
      </c>
      <c r="O830" t="s">
        <v>62</v>
      </c>
      <c r="P830">
        <v>3</v>
      </c>
      <c r="Q830" t="s">
        <v>42</v>
      </c>
      <c r="R830" t="s">
        <v>43</v>
      </c>
      <c r="S830">
        <v>1</v>
      </c>
      <c r="T830" t="s">
        <v>44</v>
      </c>
      <c r="U830" t="s">
        <v>59</v>
      </c>
      <c r="V830">
        <v>12</v>
      </c>
      <c r="W830" t="s">
        <v>45</v>
      </c>
      <c r="X830">
        <v>0</v>
      </c>
      <c r="Y830">
        <v>3</v>
      </c>
      <c r="Z830" t="s">
        <v>61</v>
      </c>
      <c r="AA830">
        <v>0</v>
      </c>
      <c r="AB830" t="s">
        <v>48</v>
      </c>
      <c r="AC830">
        <v>0</v>
      </c>
      <c r="AD830" t="s">
        <v>48</v>
      </c>
      <c r="AE830">
        <v>0</v>
      </c>
      <c r="AF830" t="s">
        <v>49</v>
      </c>
    </row>
    <row r="831" spans="1:32" x14ac:dyDescent="0.25">
      <c r="A831">
        <v>33</v>
      </c>
      <c r="B831" t="s">
        <v>32</v>
      </c>
      <c r="C831" t="s">
        <v>33</v>
      </c>
      <c r="D831" t="s">
        <v>34</v>
      </c>
      <c r="E831" t="s">
        <v>35</v>
      </c>
      <c r="F831">
        <v>9</v>
      </c>
      <c r="G831" t="s">
        <v>53</v>
      </c>
      <c r="H831">
        <v>1</v>
      </c>
      <c r="I831" t="s">
        <v>37</v>
      </c>
      <c r="J831" t="s">
        <v>38</v>
      </c>
      <c r="K831">
        <v>3</v>
      </c>
      <c r="L831" t="s">
        <v>39</v>
      </c>
      <c r="M831">
        <v>2</v>
      </c>
      <c r="N831" t="s">
        <v>40</v>
      </c>
      <c r="O831" t="s">
        <v>41</v>
      </c>
      <c r="P831">
        <v>1</v>
      </c>
      <c r="Q831" t="s">
        <v>57</v>
      </c>
      <c r="R831" t="s">
        <v>43</v>
      </c>
      <c r="S831">
        <v>0</v>
      </c>
      <c r="T831" t="s">
        <v>44</v>
      </c>
      <c r="U831" t="s">
        <v>44</v>
      </c>
      <c r="V831">
        <v>17</v>
      </c>
      <c r="W831" t="s">
        <v>45</v>
      </c>
      <c r="X831">
        <v>6</v>
      </c>
      <c r="Y831">
        <v>3</v>
      </c>
      <c r="Z831" t="s">
        <v>61</v>
      </c>
      <c r="AA831">
        <v>5</v>
      </c>
      <c r="AB831" t="s">
        <v>47</v>
      </c>
      <c r="AC831">
        <v>2</v>
      </c>
      <c r="AD831" t="s">
        <v>48</v>
      </c>
      <c r="AE831">
        <v>0</v>
      </c>
      <c r="AF831" t="s">
        <v>49</v>
      </c>
    </row>
    <row r="832" spans="1:32" x14ac:dyDescent="0.25">
      <c r="A832">
        <v>41</v>
      </c>
      <c r="B832" t="s">
        <v>32</v>
      </c>
      <c r="C832" t="s">
        <v>50</v>
      </c>
      <c r="D832" t="s">
        <v>34</v>
      </c>
      <c r="E832" t="s">
        <v>52</v>
      </c>
      <c r="F832">
        <v>12</v>
      </c>
      <c r="G832" t="s">
        <v>53</v>
      </c>
      <c r="H832">
        <v>2</v>
      </c>
      <c r="I832" t="s">
        <v>37</v>
      </c>
      <c r="J832" t="s">
        <v>54</v>
      </c>
      <c r="K832">
        <v>3</v>
      </c>
      <c r="L832" t="s">
        <v>39</v>
      </c>
      <c r="M832">
        <v>1</v>
      </c>
      <c r="N832" t="s">
        <v>40</v>
      </c>
      <c r="O832" t="s">
        <v>62</v>
      </c>
      <c r="P832">
        <v>4</v>
      </c>
      <c r="Q832" t="s">
        <v>42</v>
      </c>
      <c r="R832" t="s">
        <v>58</v>
      </c>
      <c r="S832">
        <v>3</v>
      </c>
      <c r="T832" t="s">
        <v>44</v>
      </c>
      <c r="U832" t="s">
        <v>44</v>
      </c>
      <c r="V832">
        <v>11</v>
      </c>
      <c r="W832" t="s">
        <v>45</v>
      </c>
      <c r="X832">
        <v>6</v>
      </c>
      <c r="Y832">
        <v>3</v>
      </c>
      <c r="Z832" t="s">
        <v>61</v>
      </c>
      <c r="AA832">
        <v>1</v>
      </c>
      <c r="AB832" t="s">
        <v>48</v>
      </c>
      <c r="AC832">
        <v>0</v>
      </c>
      <c r="AD832" t="s">
        <v>48</v>
      </c>
      <c r="AE832">
        <v>0</v>
      </c>
      <c r="AF832" t="s">
        <v>49</v>
      </c>
    </row>
    <row r="833" spans="1:32" x14ac:dyDescent="0.25">
      <c r="A833">
        <v>31</v>
      </c>
      <c r="B833" t="s">
        <v>32</v>
      </c>
      <c r="C833" t="s">
        <v>33</v>
      </c>
      <c r="D833" t="s">
        <v>51</v>
      </c>
      <c r="E833" t="s">
        <v>52</v>
      </c>
      <c r="F833">
        <v>15</v>
      </c>
      <c r="G833" t="s">
        <v>66</v>
      </c>
      <c r="H833">
        <v>3</v>
      </c>
      <c r="I833" t="s">
        <v>42</v>
      </c>
      <c r="J833" t="s">
        <v>54</v>
      </c>
      <c r="K833">
        <v>3</v>
      </c>
      <c r="L833" t="s">
        <v>39</v>
      </c>
      <c r="M833">
        <v>1</v>
      </c>
      <c r="N833" t="s">
        <v>40</v>
      </c>
      <c r="O833" t="s">
        <v>62</v>
      </c>
      <c r="P833">
        <v>3</v>
      </c>
      <c r="Q833" t="s">
        <v>42</v>
      </c>
      <c r="R833" t="s">
        <v>58</v>
      </c>
      <c r="S833">
        <v>1</v>
      </c>
      <c r="T833" t="s">
        <v>44</v>
      </c>
      <c r="U833" t="s">
        <v>59</v>
      </c>
      <c r="V833">
        <v>12</v>
      </c>
      <c r="W833" t="s">
        <v>45</v>
      </c>
      <c r="X833">
        <v>2</v>
      </c>
      <c r="Y833">
        <v>2</v>
      </c>
      <c r="Z833" t="s">
        <v>46</v>
      </c>
      <c r="AA833">
        <v>2</v>
      </c>
      <c r="AB833" t="s">
        <v>48</v>
      </c>
      <c r="AC833">
        <v>2</v>
      </c>
      <c r="AD833" t="s">
        <v>48</v>
      </c>
      <c r="AE833">
        <v>2</v>
      </c>
      <c r="AF833" t="s">
        <v>49</v>
      </c>
    </row>
    <row r="834" spans="1:32" x14ac:dyDescent="0.25">
      <c r="A834">
        <v>37</v>
      </c>
      <c r="B834" t="s">
        <v>32</v>
      </c>
      <c r="C834" t="s">
        <v>50</v>
      </c>
      <c r="D834" t="s">
        <v>34</v>
      </c>
      <c r="E834" t="s">
        <v>52</v>
      </c>
      <c r="F834">
        <v>25</v>
      </c>
      <c r="G834" t="s">
        <v>66</v>
      </c>
      <c r="H834">
        <v>3</v>
      </c>
      <c r="I834" t="s">
        <v>42</v>
      </c>
      <c r="J834" t="s">
        <v>38</v>
      </c>
      <c r="K834">
        <v>2</v>
      </c>
      <c r="L834" t="s">
        <v>55</v>
      </c>
      <c r="M834">
        <v>2</v>
      </c>
      <c r="N834" t="s">
        <v>40</v>
      </c>
      <c r="O834" t="s">
        <v>70</v>
      </c>
      <c r="P834">
        <v>4</v>
      </c>
      <c r="Q834" t="s">
        <v>42</v>
      </c>
      <c r="R834" t="s">
        <v>67</v>
      </c>
      <c r="S834">
        <v>7</v>
      </c>
      <c r="T834" t="s">
        <v>44</v>
      </c>
      <c r="U834" t="s">
        <v>59</v>
      </c>
      <c r="V834">
        <v>13</v>
      </c>
      <c r="W834" t="s">
        <v>45</v>
      </c>
      <c r="X834">
        <v>9</v>
      </c>
      <c r="Y834">
        <v>3</v>
      </c>
      <c r="Z834" t="s">
        <v>61</v>
      </c>
      <c r="AA834">
        <v>6</v>
      </c>
      <c r="AB834" t="s">
        <v>47</v>
      </c>
      <c r="AC834">
        <v>2</v>
      </c>
      <c r="AD834" t="s">
        <v>48</v>
      </c>
      <c r="AE834">
        <v>1</v>
      </c>
      <c r="AF834" t="s">
        <v>49</v>
      </c>
    </row>
    <row r="835" spans="1:32" x14ac:dyDescent="0.25">
      <c r="A835">
        <v>27</v>
      </c>
      <c r="B835" t="s">
        <v>63</v>
      </c>
      <c r="C835" t="s">
        <v>50</v>
      </c>
      <c r="D835" t="s">
        <v>34</v>
      </c>
      <c r="E835" t="s">
        <v>52</v>
      </c>
      <c r="F835">
        <v>6</v>
      </c>
      <c r="G835" t="s">
        <v>53</v>
      </c>
      <c r="H835">
        <v>4</v>
      </c>
      <c r="I835" t="s">
        <v>42</v>
      </c>
      <c r="J835" t="s">
        <v>54</v>
      </c>
      <c r="K835">
        <v>2</v>
      </c>
      <c r="L835" t="s">
        <v>55</v>
      </c>
      <c r="M835">
        <v>1</v>
      </c>
      <c r="N835" t="s">
        <v>40</v>
      </c>
      <c r="O835" t="s">
        <v>56</v>
      </c>
      <c r="P835">
        <v>3</v>
      </c>
      <c r="Q835" t="s">
        <v>42</v>
      </c>
      <c r="R835" t="s">
        <v>58</v>
      </c>
      <c r="S835">
        <v>1</v>
      </c>
      <c r="T835" t="s">
        <v>44</v>
      </c>
      <c r="U835" t="s">
        <v>59</v>
      </c>
      <c r="V835">
        <v>13</v>
      </c>
      <c r="W835" t="s">
        <v>45</v>
      </c>
      <c r="X835">
        <v>4</v>
      </c>
      <c r="Y835">
        <v>3</v>
      </c>
      <c r="Z835" t="s">
        <v>61</v>
      </c>
      <c r="AA835">
        <v>4</v>
      </c>
      <c r="AB835" t="s">
        <v>48</v>
      </c>
      <c r="AC835">
        <v>2</v>
      </c>
      <c r="AD835" t="s">
        <v>48</v>
      </c>
      <c r="AE835">
        <v>2</v>
      </c>
      <c r="AF835" t="s">
        <v>49</v>
      </c>
    </row>
    <row r="836" spans="1:32" x14ac:dyDescent="0.25">
      <c r="A836">
        <v>34</v>
      </c>
      <c r="B836" t="s">
        <v>32</v>
      </c>
      <c r="C836" t="s">
        <v>50</v>
      </c>
      <c r="D836" t="s">
        <v>34</v>
      </c>
      <c r="E836" t="s">
        <v>35</v>
      </c>
      <c r="F836">
        <v>9</v>
      </c>
      <c r="G836" t="s">
        <v>53</v>
      </c>
      <c r="H836">
        <v>2</v>
      </c>
      <c r="I836" t="s">
        <v>37</v>
      </c>
      <c r="J836" t="s">
        <v>38</v>
      </c>
      <c r="K836">
        <v>3</v>
      </c>
      <c r="L836" t="s">
        <v>39</v>
      </c>
      <c r="M836">
        <v>2</v>
      </c>
      <c r="N836" t="s">
        <v>40</v>
      </c>
      <c r="O836" t="s">
        <v>41</v>
      </c>
      <c r="P836">
        <v>3</v>
      </c>
      <c r="Q836" t="s">
        <v>42</v>
      </c>
      <c r="R836" t="s">
        <v>58</v>
      </c>
      <c r="S836">
        <v>1</v>
      </c>
      <c r="T836" t="s">
        <v>44</v>
      </c>
      <c r="U836" t="s">
        <v>59</v>
      </c>
      <c r="V836">
        <v>20</v>
      </c>
      <c r="W836" t="s">
        <v>60</v>
      </c>
      <c r="X836">
        <v>6</v>
      </c>
      <c r="Y836">
        <v>2</v>
      </c>
      <c r="Z836" t="s">
        <v>46</v>
      </c>
      <c r="AA836">
        <v>6</v>
      </c>
      <c r="AB836" t="s">
        <v>47</v>
      </c>
      <c r="AC836">
        <v>5</v>
      </c>
      <c r="AD836" t="s">
        <v>47</v>
      </c>
      <c r="AE836">
        <v>1</v>
      </c>
      <c r="AF836" t="s">
        <v>49</v>
      </c>
    </row>
    <row r="837" spans="1:32" x14ac:dyDescent="0.25">
      <c r="A837">
        <v>35</v>
      </c>
      <c r="B837" t="s">
        <v>32</v>
      </c>
      <c r="C837" t="s">
        <v>50</v>
      </c>
      <c r="D837" t="s">
        <v>34</v>
      </c>
      <c r="E837" t="s">
        <v>77</v>
      </c>
      <c r="F837">
        <v>8</v>
      </c>
      <c r="G837" t="s">
        <v>53</v>
      </c>
      <c r="H837">
        <v>3</v>
      </c>
      <c r="I837" t="s">
        <v>42</v>
      </c>
      <c r="J837" t="s">
        <v>54</v>
      </c>
      <c r="K837">
        <v>3</v>
      </c>
      <c r="L837" t="s">
        <v>39</v>
      </c>
      <c r="M837">
        <v>1</v>
      </c>
      <c r="N837" t="s">
        <v>40</v>
      </c>
      <c r="O837" t="s">
        <v>77</v>
      </c>
      <c r="P837">
        <v>3</v>
      </c>
      <c r="Q837" t="s">
        <v>42</v>
      </c>
      <c r="R837" t="s">
        <v>43</v>
      </c>
      <c r="S837">
        <v>1</v>
      </c>
      <c r="T837" t="s">
        <v>44</v>
      </c>
      <c r="U837" t="s">
        <v>59</v>
      </c>
      <c r="V837">
        <v>17</v>
      </c>
      <c r="W837" t="s">
        <v>45</v>
      </c>
      <c r="X837">
        <v>6</v>
      </c>
      <c r="Y837">
        <v>1</v>
      </c>
      <c r="Z837" t="s">
        <v>46</v>
      </c>
      <c r="AA837">
        <v>5</v>
      </c>
      <c r="AB837" t="s">
        <v>47</v>
      </c>
      <c r="AC837">
        <v>4</v>
      </c>
      <c r="AD837" t="s">
        <v>48</v>
      </c>
      <c r="AE837">
        <v>1</v>
      </c>
      <c r="AF837" t="s">
        <v>49</v>
      </c>
    </row>
    <row r="838" spans="1:32" x14ac:dyDescent="0.25">
      <c r="A838">
        <v>29</v>
      </c>
      <c r="B838" t="s">
        <v>63</v>
      </c>
      <c r="C838" t="s">
        <v>33</v>
      </c>
      <c r="D838" t="s">
        <v>34</v>
      </c>
      <c r="E838" t="s">
        <v>35</v>
      </c>
      <c r="F838">
        <v>23</v>
      </c>
      <c r="G838" t="s">
        <v>66</v>
      </c>
      <c r="H838">
        <v>4</v>
      </c>
      <c r="I838" t="s">
        <v>42</v>
      </c>
      <c r="J838" t="s">
        <v>38</v>
      </c>
      <c r="K838">
        <v>2</v>
      </c>
      <c r="L838" t="s">
        <v>55</v>
      </c>
      <c r="M838">
        <v>3</v>
      </c>
      <c r="N838" t="s">
        <v>68</v>
      </c>
      <c r="O838" t="s">
        <v>41</v>
      </c>
      <c r="P838">
        <v>1</v>
      </c>
      <c r="Q838" t="s">
        <v>57</v>
      </c>
      <c r="R838" t="s">
        <v>58</v>
      </c>
      <c r="S838">
        <v>1</v>
      </c>
      <c r="T838" t="s">
        <v>44</v>
      </c>
      <c r="U838" t="s">
        <v>59</v>
      </c>
      <c r="V838">
        <v>13</v>
      </c>
      <c r="W838" t="s">
        <v>45</v>
      </c>
      <c r="X838">
        <v>11</v>
      </c>
      <c r="Y838">
        <v>1</v>
      </c>
      <c r="Z838" t="s">
        <v>46</v>
      </c>
      <c r="AA838">
        <v>11</v>
      </c>
      <c r="AB838" t="s">
        <v>74</v>
      </c>
      <c r="AC838">
        <v>8</v>
      </c>
      <c r="AD838" t="s">
        <v>47</v>
      </c>
      <c r="AE838">
        <v>3</v>
      </c>
      <c r="AF838" t="s">
        <v>49</v>
      </c>
    </row>
    <row r="839" spans="1:32" x14ac:dyDescent="0.25">
      <c r="A839">
        <v>40</v>
      </c>
      <c r="B839" t="s">
        <v>32</v>
      </c>
      <c r="C839" t="s">
        <v>50</v>
      </c>
      <c r="D839" t="s">
        <v>51</v>
      </c>
      <c r="E839" t="s">
        <v>52</v>
      </c>
      <c r="F839">
        <v>9</v>
      </c>
      <c r="G839" t="s">
        <v>53</v>
      </c>
      <c r="H839">
        <v>2</v>
      </c>
      <c r="I839" t="s">
        <v>37</v>
      </c>
      <c r="J839" t="s">
        <v>38</v>
      </c>
      <c r="K839">
        <v>3</v>
      </c>
      <c r="L839" t="s">
        <v>39</v>
      </c>
      <c r="M839">
        <v>3</v>
      </c>
      <c r="N839" t="s">
        <v>68</v>
      </c>
      <c r="O839" t="s">
        <v>76</v>
      </c>
      <c r="P839">
        <v>3</v>
      </c>
      <c r="Q839" t="s">
        <v>42</v>
      </c>
      <c r="R839" t="s">
        <v>43</v>
      </c>
      <c r="S839">
        <v>9</v>
      </c>
      <c r="T839" t="s">
        <v>44</v>
      </c>
      <c r="U839" t="s">
        <v>59</v>
      </c>
      <c r="V839">
        <v>17</v>
      </c>
      <c r="W839" t="s">
        <v>45</v>
      </c>
      <c r="X839">
        <v>20</v>
      </c>
      <c r="Y839">
        <v>2</v>
      </c>
      <c r="Z839" t="s">
        <v>46</v>
      </c>
      <c r="AA839">
        <v>18</v>
      </c>
      <c r="AB839" t="s">
        <v>74</v>
      </c>
      <c r="AC839">
        <v>7</v>
      </c>
      <c r="AD839" t="s">
        <v>47</v>
      </c>
      <c r="AE839">
        <v>2</v>
      </c>
      <c r="AF839" t="s">
        <v>49</v>
      </c>
    </row>
    <row r="840" spans="1:32" x14ac:dyDescent="0.25">
      <c r="A840">
        <v>42</v>
      </c>
      <c r="B840" t="s">
        <v>32</v>
      </c>
      <c r="C840" t="s">
        <v>33</v>
      </c>
      <c r="D840" t="s">
        <v>51</v>
      </c>
      <c r="E840" t="s">
        <v>35</v>
      </c>
      <c r="F840">
        <v>12</v>
      </c>
      <c r="G840" t="s">
        <v>53</v>
      </c>
      <c r="H840">
        <v>3</v>
      </c>
      <c r="I840" t="s">
        <v>42</v>
      </c>
      <c r="J840" t="s">
        <v>54</v>
      </c>
      <c r="K840">
        <v>3</v>
      </c>
      <c r="L840" t="s">
        <v>39</v>
      </c>
      <c r="M840">
        <v>4</v>
      </c>
      <c r="N840" t="s">
        <v>72</v>
      </c>
      <c r="O840" t="s">
        <v>41</v>
      </c>
      <c r="P840">
        <v>1</v>
      </c>
      <c r="Q840" t="s">
        <v>57</v>
      </c>
      <c r="R840" t="s">
        <v>43</v>
      </c>
      <c r="S840">
        <v>0</v>
      </c>
      <c r="T840" t="s">
        <v>44</v>
      </c>
      <c r="U840" t="s">
        <v>44</v>
      </c>
      <c r="V840">
        <v>12</v>
      </c>
      <c r="W840" t="s">
        <v>45</v>
      </c>
      <c r="X840">
        <v>22</v>
      </c>
      <c r="Y840">
        <v>2</v>
      </c>
      <c r="Z840" t="s">
        <v>46</v>
      </c>
      <c r="AA840">
        <v>21</v>
      </c>
      <c r="AB840" t="s">
        <v>74</v>
      </c>
      <c r="AC840">
        <v>9</v>
      </c>
      <c r="AD840" t="s">
        <v>47</v>
      </c>
      <c r="AE840">
        <v>13</v>
      </c>
      <c r="AF840" t="s">
        <v>71</v>
      </c>
    </row>
    <row r="841" spans="1:32" x14ac:dyDescent="0.25">
      <c r="A841">
        <v>42</v>
      </c>
      <c r="B841" t="s">
        <v>32</v>
      </c>
      <c r="C841" t="s">
        <v>50</v>
      </c>
      <c r="D841" t="s">
        <v>34</v>
      </c>
      <c r="E841" t="s">
        <v>35</v>
      </c>
      <c r="F841">
        <v>4</v>
      </c>
      <c r="G841" t="s">
        <v>36</v>
      </c>
      <c r="H841">
        <v>2</v>
      </c>
      <c r="I841" t="s">
        <v>37</v>
      </c>
      <c r="J841" t="s">
        <v>54</v>
      </c>
      <c r="K841">
        <v>3</v>
      </c>
      <c r="L841" t="s">
        <v>39</v>
      </c>
      <c r="M841">
        <v>2</v>
      </c>
      <c r="N841" t="s">
        <v>40</v>
      </c>
      <c r="O841" t="s">
        <v>41</v>
      </c>
      <c r="P841">
        <v>1</v>
      </c>
      <c r="Q841" t="s">
        <v>57</v>
      </c>
      <c r="R841" t="s">
        <v>43</v>
      </c>
      <c r="S841">
        <v>7</v>
      </c>
      <c r="T841" t="s">
        <v>44</v>
      </c>
      <c r="U841" t="s">
        <v>59</v>
      </c>
      <c r="V841">
        <v>13</v>
      </c>
      <c r="W841" t="s">
        <v>45</v>
      </c>
      <c r="X841">
        <v>9</v>
      </c>
      <c r="Y841">
        <v>4</v>
      </c>
      <c r="Z841" t="s">
        <v>61</v>
      </c>
      <c r="AA841">
        <v>6</v>
      </c>
      <c r="AB841" t="s">
        <v>47</v>
      </c>
      <c r="AC841">
        <v>4</v>
      </c>
      <c r="AD841" t="s">
        <v>48</v>
      </c>
      <c r="AE841">
        <v>1</v>
      </c>
      <c r="AF841" t="s">
        <v>49</v>
      </c>
    </row>
    <row r="842" spans="1:32" x14ac:dyDescent="0.25">
      <c r="A842">
        <v>35</v>
      </c>
      <c r="B842" t="s">
        <v>32</v>
      </c>
      <c r="C842" t="s">
        <v>50</v>
      </c>
      <c r="D842" t="s">
        <v>34</v>
      </c>
      <c r="E842" t="s">
        <v>52</v>
      </c>
      <c r="F842">
        <v>1</v>
      </c>
      <c r="G842" t="s">
        <v>36</v>
      </c>
      <c r="H842">
        <v>4</v>
      </c>
      <c r="I842" t="s">
        <v>42</v>
      </c>
      <c r="J842" t="s">
        <v>54</v>
      </c>
      <c r="K842">
        <v>2</v>
      </c>
      <c r="L842" t="s">
        <v>55</v>
      </c>
      <c r="M842">
        <v>1</v>
      </c>
      <c r="N842" t="s">
        <v>40</v>
      </c>
      <c r="O842" t="s">
        <v>62</v>
      </c>
      <c r="P842">
        <v>3</v>
      </c>
      <c r="Q842" t="s">
        <v>42</v>
      </c>
      <c r="R842" t="s">
        <v>58</v>
      </c>
      <c r="S842">
        <v>6</v>
      </c>
      <c r="T842" t="s">
        <v>44</v>
      </c>
      <c r="U842" t="s">
        <v>59</v>
      </c>
      <c r="V842">
        <v>12</v>
      </c>
      <c r="W842" t="s">
        <v>45</v>
      </c>
      <c r="X842">
        <v>10</v>
      </c>
      <c r="Y842">
        <v>3</v>
      </c>
      <c r="Z842" t="s">
        <v>61</v>
      </c>
      <c r="AA842">
        <v>8</v>
      </c>
      <c r="AB842" t="s">
        <v>47</v>
      </c>
      <c r="AC842">
        <v>0</v>
      </c>
      <c r="AD842" t="s">
        <v>48</v>
      </c>
      <c r="AE842">
        <v>1</v>
      </c>
      <c r="AF842" t="s">
        <v>49</v>
      </c>
    </row>
    <row r="843" spans="1:32" x14ac:dyDescent="0.25">
      <c r="A843">
        <v>24</v>
      </c>
      <c r="B843" t="s">
        <v>63</v>
      </c>
      <c r="C843" t="s">
        <v>50</v>
      </c>
      <c r="D843" t="s">
        <v>34</v>
      </c>
      <c r="E843" t="s">
        <v>52</v>
      </c>
      <c r="F843">
        <v>24</v>
      </c>
      <c r="G843" t="s">
        <v>66</v>
      </c>
      <c r="H843">
        <v>4</v>
      </c>
      <c r="I843" t="s">
        <v>42</v>
      </c>
      <c r="J843" t="s">
        <v>54</v>
      </c>
      <c r="K843">
        <v>3</v>
      </c>
      <c r="L843" t="s">
        <v>39</v>
      </c>
      <c r="M843">
        <v>1</v>
      </c>
      <c r="N843" t="s">
        <v>40</v>
      </c>
      <c r="O843" t="s">
        <v>62</v>
      </c>
      <c r="P843">
        <v>2</v>
      </c>
      <c r="Q843" t="s">
        <v>57</v>
      </c>
      <c r="R843" t="s">
        <v>43</v>
      </c>
      <c r="S843">
        <v>8</v>
      </c>
      <c r="T843" t="s">
        <v>44</v>
      </c>
      <c r="U843" t="s">
        <v>59</v>
      </c>
      <c r="V843">
        <v>22</v>
      </c>
      <c r="W843" t="s">
        <v>60</v>
      </c>
      <c r="X843">
        <v>6</v>
      </c>
      <c r="Y843">
        <v>3</v>
      </c>
      <c r="Z843" t="s">
        <v>61</v>
      </c>
      <c r="AA843">
        <v>4</v>
      </c>
      <c r="AB843" t="s">
        <v>48</v>
      </c>
      <c r="AC843">
        <v>3</v>
      </c>
      <c r="AD843" t="s">
        <v>48</v>
      </c>
      <c r="AE843">
        <v>1</v>
      </c>
      <c r="AF843" t="s">
        <v>49</v>
      </c>
    </row>
    <row r="844" spans="1:32" x14ac:dyDescent="0.25">
      <c r="A844">
        <v>28</v>
      </c>
      <c r="B844" t="s">
        <v>63</v>
      </c>
      <c r="C844" t="s">
        <v>33</v>
      </c>
      <c r="D844" t="s">
        <v>34</v>
      </c>
      <c r="E844" t="s">
        <v>52</v>
      </c>
      <c r="F844">
        <v>12</v>
      </c>
      <c r="G844" t="s">
        <v>53</v>
      </c>
      <c r="H844">
        <v>3</v>
      </c>
      <c r="I844" t="s">
        <v>42</v>
      </c>
      <c r="J844" t="s">
        <v>38</v>
      </c>
      <c r="K844">
        <v>3</v>
      </c>
      <c r="L844" t="s">
        <v>39</v>
      </c>
      <c r="M844">
        <v>1</v>
      </c>
      <c r="N844" t="s">
        <v>40</v>
      </c>
      <c r="O844" t="s">
        <v>62</v>
      </c>
      <c r="P844">
        <v>4</v>
      </c>
      <c r="Q844" t="s">
        <v>42</v>
      </c>
      <c r="R844" t="s">
        <v>58</v>
      </c>
      <c r="S844">
        <v>1</v>
      </c>
      <c r="T844" t="s">
        <v>44</v>
      </c>
      <c r="U844" t="s">
        <v>44</v>
      </c>
      <c r="V844">
        <v>11</v>
      </c>
      <c r="W844" t="s">
        <v>45</v>
      </c>
      <c r="X844">
        <v>1</v>
      </c>
      <c r="Y844">
        <v>2</v>
      </c>
      <c r="Z844" t="s">
        <v>46</v>
      </c>
      <c r="AA844">
        <v>1</v>
      </c>
      <c r="AB844" t="s">
        <v>48</v>
      </c>
      <c r="AC844">
        <v>1</v>
      </c>
      <c r="AD844" t="s">
        <v>48</v>
      </c>
      <c r="AE844">
        <v>0</v>
      </c>
      <c r="AF844" t="s">
        <v>49</v>
      </c>
    </row>
    <row r="845" spans="1:32" x14ac:dyDescent="0.25">
      <c r="A845">
        <v>26</v>
      </c>
      <c r="B845" t="s">
        <v>63</v>
      </c>
      <c r="C845" t="s">
        <v>50</v>
      </c>
      <c r="D845" t="s">
        <v>34</v>
      </c>
      <c r="E845" t="s">
        <v>52</v>
      </c>
      <c r="F845">
        <v>3</v>
      </c>
      <c r="G845" t="s">
        <v>36</v>
      </c>
      <c r="H845">
        <v>1</v>
      </c>
      <c r="I845" t="s">
        <v>37</v>
      </c>
      <c r="J845" t="s">
        <v>54</v>
      </c>
      <c r="K845">
        <v>4</v>
      </c>
      <c r="L845" t="s">
        <v>65</v>
      </c>
      <c r="M845">
        <v>1</v>
      </c>
      <c r="N845" t="s">
        <v>40</v>
      </c>
      <c r="O845" t="s">
        <v>62</v>
      </c>
      <c r="P845">
        <v>4</v>
      </c>
      <c r="Q845" t="s">
        <v>42</v>
      </c>
      <c r="R845" t="s">
        <v>58</v>
      </c>
      <c r="S845">
        <v>1</v>
      </c>
      <c r="T845" t="s">
        <v>44</v>
      </c>
      <c r="U845" t="s">
        <v>59</v>
      </c>
      <c r="V845">
        <v>22</v>
      </c>
      <c r="W845" t="s">
        <v>60</v>
      </c>
      <c r="X845">
        <v>8</v>
      </c>
      <c r="Y845">
        <v>3</v>
      </c>
      <c r="Z845" t="s">
        <v>61</v>
      </c>
      <c r="AA845">
        <v>8</v>
      </c>
      <c r="AB845" t="s">
        <v>47</v>
      </c>
      <c r="AC845">
        <v>7</v>
      </c>
      <c r="AD845" t="s">
        <v>47</v>
      </c>
      <c r="AE845">
        <v>0</v>
      </c>
      <c r="AF845" t="s">
        <v>49</v>
      </c>
    </row>
    <row r="846" spans="1:32" x14ac:dyDescent="0.25">
      <c r="A846">
        <v>30</v>
      </c>
      <c r="B846" t="s">
        <v>32</v>
      </c>
      <c r="C846" t="s">
        <v>50</v>
      </c>
      <c r="D846" t="s">
        <v>34</v>
      </c>
      <c r="E846" t="s">
        <v>35</v>
      </c>
      <c r="F846">
        <v>10</v>
      </c>
      <c r="G846" t="s">
        <v>53</v>
      </c>
      <c r="H846">
        <v>3</v>
      </c>
      <c r="I846" t="s">
        <v>42</v>
      </c>
      <c r="J846" t="s">
        <v>54</v>
      </c>
      <c r="K846">
        <v>2</v>
      </c>
      <c r="L846" t="s">
        <v>55</v>
      </c>
      <c r="M846">
        <v>2</v>
      </c>
      <c r="N846" t="s">
        <v>40</v>
      </c>
      <c r="O846" t="s">
        <v>41</v>
      </c>
      <c r="P846">
        <v>3</v>
      </c>
      <c r="Q846" t="s">
        <v>42</v>
      </c>
      <c r="R846" t="s">
        <v>58</v>
      </c>
      <c r="S846">
        <v>1</v>
      </c>
      <c r="T846" t="s">
        <v>44</v>
      </c>
      <c r="U846" t="s">
        <v>59</v>
      </c>
      <c r="V846">
        <v>18</v>
      </c>
      <c r="W846" t="s">
        <v>45</v>
      </c>
      <c r="X846">
        <v>10</v>
      </c>
      <c r="Y846">
        <v>3</v>
      </c>
      <c r="Z846" t="s">
        <v>61</v>
      </c>
      <c r="AA846">
        <v>10</v>
      </c>
      <c r="AB846" t="s">
        <v>47</v>
      </c>
      <c r="AC846">
        <v>3</v>
      </c>
      <c r="AD846" t="s">
        <v>48</v>
      </c>
      <c r="AE846">
        <v>1</v>
      </c>
      <c r="AF846" t="s">
        <v>49</v>
      </c>
    </row>
    <row r="847" spans="1:32" x14ac:dyDescent="0.25">
      <c r="A847">
        <v>40</v>
      </c>
      <c r="B847" t="s">
        <v>32</v>
      </c>
      <c r="C847" t="s">
        <v>50</v>
      </c>
      <c r="D847" t="s">
        <v>51</v>
      </c>
      <c r="E847" t="s">
        <v>52</v>
      </c>
      <c r="F847">
        <v>26</v>
      </c>
      <c r="G847" t="s">
        <v>66</v>
      </c>
      <c r="H847">
        <v>3</v>
      </c>
      <c r="I847" t="s">
        <v>42</v>
      </c>
      <c r="J847" t="s">
        <v>38</v>
      </c>
      <c r="K847">
        <v>2</v>
      </c>
      <c r="L847" t="s">
        <v>55</v>
      </c>
      <c r="M847">
        <v>2</v>
      </c>
      <c r="N847" t="s">
        <v>40</v>
      </c>
      <c r="O847" t="s">
        <v>56</v>
      </c>
      <c r="P847">
        <v>4</v>
      </c>
      <c r="Q847" t="s">
        <v>42</v>
      </c>
      <c r="R847" t="s">
        <v>58</v>
      </c>
      <c r="S847">
        <v>3</v>
      </c>
      <c r="T847" t="s">
        <v>44</v>
      </c>
      <c r="U847" t="s">
        <v>44</v>
      </c>
      <c r="V847">
        <v>13</v>
      </c>
      <c r="W847" t="s">
        <v>45</v>
      </c>
      <c r="X847">
        <v>16</v>
      </c>
      <c r="Y847">
        <v>1</v>
      </c>
      <c r="Z847" t="s">
        <v>46</v>
      </c>
      <c r="AA847">
        <v>1</v>
      </c>
      <c r="AB847" t="s">
        <v>48</v>
      </c>
      <c r="AC847">
        <v>1</v>
      </c>
      <c r="AD847" t="s">
        <v>48</v>
      </c>
      <c r="AE847">
        <v>0</v>
      </c>
      <c r="AF847" t="s">
        <v>49</v>
      </c>
    </row>
    <row r="848" spans="1:32" x14ac:dyDescent="0.25">
      <c r="A848">
        <v>35</v>
      </c>
      <c r="B848" t="s">
        <v>32</v>
      </c>
      <c r="C848" t="s">
        <v>50</v>
      </c>
      <c r="D848" t="s">
        <v>34</v>
      </c>
      <c r="E848" t="s">
        <v>52</v>
      </c>
      <c r="F848">
        <v>2</v>
      </c>
      <c r="G848" t="s">
        <v>36</v>
      </c>
      <c r="H848">
        <v>3</v>
      </c>
      <c r="I848" t="s">
        <v>42</v>
      </c>
      <c r="J848" t="s">
        <v>54</v>
      </c>
      <c r="K848">
        <v>2</v>
      </c>
      <c r="L848" t="s">
        <v>55</v>
      </c>
      <c r="M848">
        <v>3</v>
      </c>
      <c r="N848" t="s">
        <v>68</v>
      </c>
      <c r="O848" t="s">
        <v>69</v>
      </c>
      <c r="P848">
        <v>2</v>
      </c>
      <c r="Q848" t="s">
        <v>57</v>
      </c>
      <c r="R848" t="s">
        <v>67</v>
      </c>
      <c r="S848">
        <v>2</v>
      </c>
      <c r="T848" t="s">
        <v>44</v>
      </c>
      <c r="U848" t="s">
        <v>59</v>
      </c>
      <c r="V848">
        <v>18</v>
      </c>
      <c r="W848" t="s">
        <v>45</v>
      </c>
      <c r="X848">
        <v>15</v>
      </c>
      <c r="Y848">
        <v>4</v>
      </c>
      <c r="Z848" t="s">
        <v>61</v>
      </c>
      <c r="AA848">
        <v>7</v>
      </c>
      <c r="AB848" t="s">
        <v>47</v>
      </c>
      <c r="AC848">
        <v>7</v>
      </c>
      <c r="AD848" t="s">
        <v>47</v>
      </c>
      <c r="AE848">
        <v>6</v>
      </c>
      <c r="AF848" t="s">
        <v>71</v>
      </c>
    </row>
    <row r="849" spans="1:32" x14ac:dyDescent="0.25">
      <c r="A849">
        <v>34</v>
      </c>
      <c r="B849" t="s">
        <v>32</v>
      </c>
      <c r="C849" t="s">
        <v>50</v>
      </c>
      <c r="D849" t="s">
        <v>51</v>
      </c>
      <c r="E849" t="s">
        <v>52</v>
      </c>
      <c r="F849">
        <v>1</v>
      </c>
      <c r="G849" t="s">
        <v>36</v>
      </c>
      <c r="H849">
        <v>4</v>
      </c>
      <c r="I849" t="s">
        <v>42</v>
      </c>
      <c r="J849" t="s">
        <v>54</v>
      </c>
      <c r="K849">
        <v>2</v>
      </c>
      <c r="L849" t="s">
        <v>55</v>
      </c>
      <c r="M849">
        <v>2</v>
      </c>
      <c r="N849" t="s">
        <v>40</v>
      </c>
      <c r="O849" t="s">
        <v>70</v>
      </c>
      <c r="P849">
        <v>1</v>
      </c>
      <c r="Q849" t="s">
        <v>57</v>
      </c>
      <c r="R849" t="s">
        <v>43</v>
      </c>
      <c r="S849">
        <v>0</v>
      </c>
      <c r="T849" t="s">
        <v>44</v>
      </c>
      <c r="U849" t="s">
        <v>59</v>
      </c>
      <c r="V849">
        <v>20</v>
      </c>
      <c r="W849" t="s">
        <v>60</v>
      </c>
      <c r="X849">
        <v>14</v>
      </c>
      <c r="Y849">
        <v>3</v>
      </c>
      <c r="Z849" t="s">
        <v>61</v>
      </c>
      <c r="AA849">
        <v>13</v>
      </c>
      <c r="AB849" t="s">
        <v>74</v>
      </c>
      <c r="AC849">
        <v>9</v>
      </c>
      <c r="AD849" t="s">
        <v>47</v>
      </c>
      <c r="AE849">
        <v>4</v>
      </c>
      <c r="AF849" t="s">
        <v>71</v>
      </c>
    </row>
    <row r="850" spans="1:32" x14ac:dyDescent="0.25">
      <c r="A850">
        <v>35</v>
      </c>
      <c r="B850" t="s">
        <v>32</v>
      </c>
      <c r="C850" t="s">
        <v>50</v>
      </c>
      <c r="D850" t="s">
        <v>51</v>
      </c>
      <c r="E850" t="s">
        <v>52</v>
      </c>
      <c r="F850">
        <v>4</v>
      </c>
      <c r="G850" t="s">
        <v>36</v>
      </c>
      <c r="H850">
        <v>4</v>
      </c>
      <c r="I850" t="s">
        <v>42</v>
      </c>
      <c r="J850" t="s">
        <v>54</v>
      </c>
      <c r="K850">
        <v>2</v>
      </c>
      <c r="L850" t="s">
        <v>55</v>
      </c>
      <c r="M850">
        <v>1</v>
      </c>
      <c r="N850" t="s">
        <v>40</v>
      </c>
      <c r="O850" t="s">
        <v>62</v>
      </c>
      <c r="P850">
        <v>4</v>
      </c>
      <c r="Q850" t="s">
        <v>42</v>
      </c>
      <c r="R850" t="s">
        <v>58</v>
      </c>
      <c r="S850">
        <v>1</v>
      </c>
      <c r="T850" t="s">
        <v>44</v>
      </c>
      <c r="U850" t="s">
        <v>59</v>
      </c>
      <c r="V850">
        <v>13</v>
      </c>
      <c r="W850" t="s">
        <v>45</v>
      </c>
      <c r="X850">
        <v>2</v>
      </c>
      <c r="Y850">
        <v>4</v>
      </c>
      <c r="Z850" t="s">
        <v>61</v>
      </c>
      <c r="AA850">
        <v>2</v>
      </c>
      <c r="AB850" t="s">
        <v>48</v>
      </c>
      <c r="AC850">
        <v>2</v>
      </c>
      <c r="AD850" t="s">
        <v>48</v>
      </c>
      <c r="AE850">
        <v>2</v>
      </c>
      <c r="AF850" t="s">
        <v>49</v>
      </c>
    </row>
    <row r="851" spans="1:32" x14ac:dyDescent="0.25">
      <c r="A851">
        <v>43</v>
      </c>
      <c r="B851" t="s">
        <v>32</v>
      </c>
      <c r="C851" t="s">
        <v>33</v>
      </c>
      <c r="D851" t="s">
        <v>34</v>
      </c>
      <c r="E851" t="s">
        <v>35</v>
      </c>
      <c r="F851">
        <v>9</v>
      </c>
      <c r="G851" t="s">
        <v>53</v>
      </c>
      <c r="H851">
        <v>1</v>
      </c>
      <c r="I851" t="s">
        <v>37</v>
      </c>
      <c r="J851" t="s">
        <v>38</v>
      </c>
      <c r="K851">
        <v>1</v>
      </c>
      <c r="L851" t="s">
        <v>55</v>
      </c>
      <c r="M851">
        <v>2</v>
      </c>
      <c r="N851" t="s">
        <v>40</v>
      </c>
      <c r="O851" t="s">
        <v>41</v>
      </c>
      <c r="P851">
        <v>3</v>
      </c>
      <c r="Q851" t="s">
        <v>42</v>
      </c>
      <c r="R851" t="s">
        <v>43</v>
      </c>
      <c r="S851">
        <v>8</v>
      </c>
      <c r="T851" t="s">
        <v>44</v>
      </c>
      <c r="U851" t="s">
        <v>59</v>
      </c>
      <c r="V851">
        <v>13</v>
      </c>
      <c r="W851" t="s">
        <v>45</v>
      </c>
      <c r="X851">
        <v>7</v>
      </c>
      <c r="Y851">
        <v>2</v>
      </c>
      <c r="Z851" t="s">
        <v>46</v>
      </c>
      <c r="AA851">
        <v>4</v>
      </c>
      <c r="AB851" t="s">
        <v>48</v>
      </c>
      <c r="AC851">
        <v>3</v>
      </c>
      <c r="AD851" t="s">
        <v>48</v>
      </c>
      <c r="AE851">
        <v>1</v>
      </c>
      <c r="AF851" t="s">
        <v>49</v>
      </c>
    </row>
    <row r="852" spans="1:32" x14ac:dyDescent="0.25">
      <c r="A852">
        <v>32</v>
      </c>
      <c r="B852" t="s">
        <v>32</v>
      </c>
      <c r="C852" t="s">
        <v>50</v>
      </c>
      <c r="D852" t="s">
        <v>34</v>
      </c>
      <c r="E852" t="s">
        <v>35</v>
      </c>
      <c r="F852">
        <v>2</v>
      </c>
      <c r="G852" t="s">
        <v>36</v>
      </c>
      <c r="H852">
        <v>3</v>
      </c>
      <c r="I852" t="s">
        <v>42</v>
      </c>
      <c r="J852" t="s">
        <v>38</v>
      </c>
      <c r="K852">
        <v>3</v>
      </c>
      <c r="L852" t="s">
        <v>39</v>
      </c>
      <c r="M852">
        <v>1</v>
      </c>
      <c r="N852" t="s">
        <v>40</v>
      </c>
      <c r="O852" t="s">
        <v>75</v>
      </c>
      <c r="P852">
        <v>1</v>
      </c>
      <c r="Q852" t="s">
        <v>57</v>
      </c>
      <c r="R852" t="s">
        <v>67</v>
      </c>
      <c r="S852">
        <v>1</v>
      </c>
      <c r="T852" t="s">
        <v>44</v>
      </c>
      <c r="U852" t="s">
        <v>59</v>
      </c>
      <c r="V852">
        <v>12</v>
      </c>
      <c r="W852" t="s">
        <v>45</v>
      </c>
      <c r="X852">
        <v>1</v>
      </c>
      <c r="Y852">
        <v>3</v>
      </c>
      <c r="Z852" t="s">
        <v>61</v>
      </c>
      <c r="AA852">
        <v>1</v>
      </c>
      <c r="AB852" t="s">
        <v>48</v>
      </c>
      <c r="AC852">
        <v>0</v>
      </c>
      <c r="AD852" t="s">
        <v>48</v>
      </c>
      <c r="AE852">
        <v>0</v>
      </c>
      <c r="AF852" t="s">
        <v>49</v>
      </c>
    </row>
    <row r="853" spans="1:32" x14ac:dyDescent="0.25">
      <c r="A853">
        <v>56</v>
      </c>
      <c r="B853" t="s">
        <v>64</v>
      </c>
      <c r="C853" t="s">
        <v>50</v>
      </c>
      <c r="D853" t="s">
        <v>34</v>
      </c>
      <c r="E853" t="s">
        <v>52</v>
      </c>
      <c r="F853">
        <v>4</v>
      </c>
      <c r="G853" t="s">
        <v>36</v>
      </c>
      <c r="H853">
        <v>4</v>
      </c>
      <c r="I853" t="s">
        <v>42</v>
      </c>
      <c r="J853" t="s">
        <v>38</v>
      </c>
      <c r="K853">
        <v>3</v>
      </c>
      <c r="L853" t="s">
        <v>39</v>
      </c>
      <c r="M853">
        <v>5</v>
      </c>
      <c r="N853" t="s">
        <v>72</v>
      </c>
      <c r="O853" t="s">
        <v>73</v>
      </c>
      <c r="P853">
        <v>1</v>
      </c>
      <c r="Q853" t="s">
        <v>57</v>
      </c>
      <c r="R853" t="s">
        <v>67</v>
      </c>
      <c r="S853">
        <v>4</v>
      </c>
      <c r="T853" t="s">
        <v>44</v>
      </c>
      <c r="U853" t="s">
        <v>59</v>
      </c>
      <c r="V853">
        <v>13</v>
      </c>
      <c r="W853" t="s">
        <v>45</v>
      </c>
      <c r="X853">
        <v>28</v>
      </c>
      <c r="Y853">
        <v>3</v>
      </c>
      <c r="Z853" t="s">
        <v>61</v>
      </c>
      <c r="AA853">
        <v>5</v>
      </c>
      <c r="AB853" t="s">
        <v>47</v>
      </c>
      <c r="AC853">
        <v>2</v>
      </c>
      <c r="AD853" t="s">
        <v>48</v>
      </c>
      <c r="AE853">
        <v>4</v>
      </c>
      <c r="AF853" t="s">
        <v>71</v>
      </c>
    </row>
    <row r="854" spans="1:32" x14ac:dyDescent="0.25">
      <c r="A854">
        <v>29</v>
      </c>
      <c r="B854" t="s">
        <v>63</v>
      </c>
      <c r="C854" t="s">
        <v>50</v>
      </c>
      <c r="D854" t="s">
        <v>34</v>
      </c>
      <c r="E854" t="s">
        <v>52</v>
      </c>
      <c r="F854">
        <v>6</v>
      </c>
      <c r="G854" t="s">
        <v>53</v>
      </c>
      <c r="H854">
        <v>2</v>
      </c>
      <c r="I854" t="s">
        <v>37</v>
      </c>
      <c r="J854" t="s">
        <v>38</v>
      </c>
      <c r="K854">
        <v>3</v>
      </c>
      <c r="L854" t="s">
        <v>39</v>
      </c>
      <c r="M854">
        <v>1</v>
      </c>
      <c r="N854" t="s">
        <v>40</v>
      </c>
      <c r="O854" t="s">
        <v>62</v>
      </c>
      <c r="P854">
        <v>4</v>
      </c>
      <c r="Q854" t="s">
        <v>42</v>
      </c>
      <c r="R854" t="s">
        <v>58</v>
      </c>
      <c r="S854">
        <v>1</v>
      </c>
      <c r="T854" t="s">
        <v>44</v>
      </c>
      <c r="U854" t="s">
        <v>59</v>
      </c>
      <c r="V854">
        <v>13</v>
      </c>
      <c r="W854" t="s">
        <v>45</v>
      </c>
      <c r="X854">
        <v>10</v>
      </c>
      <c r="Y854">
        <v>3</v>
      </c>
      <c r="Z854" t="s">
        <v>61</v>
      </c>
      <c r="AA854">
        <v>10</v>
      </c>
      <c r="AB854" t="s">
        <v>47</v>
      </c>
      <c r="AC854">
        <v>8</v>
      </c>
      <c r="AD854" t="s">
        <v>47</v>
      </c>
      <c r="AE854">
        <v>0</v>
      </c>
      <c r="AF854" t="s">
        <v>49</v>
      </c>
    </row>
    <row r="855" spans="1:32" x14ac:dyDescent="0.25">
      <c r="A855">
        <v>19</v>
      </c>
      <c r="B855" t="s">
        <v>63</v>
      </c>
      <c r="C855" t="s">
        <v>50</v>
      </c>
      <c r="D855" t="s">
        <v>34</v>
      </c>
      <c r="E855" t="s">
        <v>52</v>
      </c>
      <c r="F855">
        <v>9</v>
      </c>
      <c r="G855" t="s">
        <v>53</v>
      </c>
      <c r="H855">
        <v>3</v>
      </c>
      <c r="I855" t="s">
        <v>42</v>
      </c>
      <c r="J855" t="s">
        <v>54</v>
      </c>
      <c r="K855">
        <v>3</v>
      </c>
      <c r="L855" t="s">
        <v>39</v>
      </c>
      <c r="M855">
        <v>1</v>
      </c>
      <c r="N855" t="s">
        <v>40</v>
      </c>
      <c r="O855" t="s">
        <v>56</v>
      </c>
      <c r="P855">
        <v>1</v>
      </c>
      <c r="Q855" t="s">
        <v>57</v>
      </c>
      <c r="R855" t="s">
        <v>43</v>
      </c>
      <c r="S855">
        <v>1</v>
      </c>
      <c r="T855" t="s">
        <v>44</v>
      </c>
      <c r="U855" t="s">
        <v>59</v>
      </c>
      <c r="V855">
        <v>25</v>
      </c>
      <c r="W855" t="s">
        <v>60</v>
      </c>
      <c r="X855">
        <v>1</v>
      </c>
      <c r="Y855">
        <v>3</v>
      </c>
      <c r="Z855" t="s">
        <v>61</v>
      </c>
      <c r="AA855">
        <v>1</v>
      </c>
      <c r="AB855" t="s">
        <v>48</v>
      </c>
      <c r="AC855">
        <v>1</v>
      </c>
      <c r="AD855" t="s">
        <v>48</v>
      </c>
      <c r="AE855">
        <v>0</v>
      </c>
      <c r="AF855" t="s">
        <v>49</v>
      </c>
    </row>
    <row r="856" spans="1:32" x14ac:dyDescent="0.25">
      <c r="A856">
        <v>45</v>
      </c>
      <c r="B856" t="s">
        <v>32</v>
      </c>
      <c r="C856" t="s">
        <v>50</v>
      </c>
      <c r="D856" t="s">
        <v>34</v>
      </c>
      <c r="E856" t="s">
        <v>52</v>
      </c>
      <c r="F856">
        <v>7</v>
      </c>
      <c r="G856" t="s">
        <v>53</v>
      </c>
      <c r="H856">
        <v>1</v>
      </c>
      <c r="I856" t="s">
        <v>37</v>
      </c>
      <c r="J856" t="s">
        <v>38</v>
      </c>
      <c r="K856">
        <v>3</v>
      </c>
      <c r="L856" t="s">
        <v>39</v>
      </c>
      <c r="M856">
        <v>1</v>
      </c>
      <c r="N856" t="s">
        <v>40</v>
      </c>
      <c r="O856" t="s">
        <v>56</v>
      </c>
      <c r="P856">
        <v>3</v>
      </c>
      <c r="Q856" t="s">
        <v>42</v>
      </c>
      <c r="R856" t="s">
        <v>58</v>
      </c>
      <c r="S856">
        <v>4</v>
      </c>
      <c r="T856" t="s">
        <v>44</v>
      </c>
      <c r="U856" t="s">
        <v>44</v>
      </c>
      <c r="V856">
        <v>19</v>
      </c>
      <c r="W856" t="s">
        <v>45</v>
      </c>
      <c r="X856">
        <v>7</v>
      </c>
      <c r="Y856">
        <v>2</v>
      </c>
      <c r="Z856" t="s">
        <v>46</v>
      </c>
      <c r="AA856">
        <v>3</v>
      </c>
      <c r="AB856" t="s">
        <v>48</v>
      </c>
      <c r="AC856">
        <v>2</v>
      </c>
      <c r="AD856" t="s">
        <v>48</v>
      </c>
      <c r="AE856">
        <v>0</v>
      </c>
      <c r="AF856" t="s">
        <v>49</v>
      </c>
    </row>
    <row r="857" spans="1:32" x14ac:dyDescent="0.25">
      <c r="A857">
        <v>37</v>
      </c>
      <c r="B857" t="s">
        <v>32</v>
      </c>
      <c r="C857" t="s">
        <v>50</v>
      </c>
      <c r="D857" t="s">
        <v>34</v>
      </c>
      <c r="E857" t="s">
        <v>52</v>
      </c>
      <c r="F857">
        <v>1</v>
      </c>
      <c r="G857" t="s">
        <v>36</v>
      </c>
      <c r="H857">
        <v>4</v>
      </c>
      <c r="I857" t="s">
        <v>42</v>
      </c>
      <c r="J857" t="s">
        <v>38</v>
      </c>
      <c r="K857">
        <v>2</v>
      </c>
      <c r="L857" t="s">
        <v>55</v>
      </c>
      <c r="M857">
        <v>2</v>
      </c>
      <c r="N857" t="s">
        <v>40</v>
      </c>
      <c r="O857" t="s">
        <v>69</v>
      </c>
      <c r="P857">
        <v>4</v>
      </c>
      <c r="Q857" t="s">
        <v>42</v>
      </c>
      <c r="R857" t="s">
        <v>58</v>
      </c>
      <c r="S857">
        <v>1</v>
      </c>
      <c r="T857" t="s">
        <v>44</v>
      </c>
      <c r="U857" t="s">
        <v>59</v>
      </c>
      <c r="V857">
        <v>13</v>
      </c>
      <c r="W857" t="s">
        <v>45</v>
      </c>
      <c r="X857">
        <v>14</v>
      </c>
      <c r="Y857">
        <v>2</v>
      </c>
      <c r="Z857" t="s">
        <v>46</v>
      </c>
      <c r="AA857">
        <v>14</v>
      </c>
      <c r="AB857" t="s">
        <v>74</v>
      </c>
      <c r="AC857">
        <v>8</v>
      </c>
      <c r="AD857" t="s">
        <v>47</v>
      </c>
      <c r="AE857">
        <v>3</v>
      </c>
      <c r="AF857" t="s">
        <v>49</v>
      </c>
    </row>
    <row r="858" spans="1:32" x14ac:dyDescent="0.25">
      <c r="A858">
        <v>20</v>
      </c>
      <c r="B858" t="s">
        <v>63</v>
      </c>
      <c r="C858" t="s">
        <v>50</v>
      </c>
      <c r="D858" t="s">
        <v>34</v>
      </c>
      <c r="E858" t="s">
        <v>52</v>
      </c>
      <c r="F858">
        <v>3</v>
      </c>
      <c r="G858" t="s">
        <v>36</v>
      </c>
      <c r="H858">
        <v>1</v>
      </c>
      <c r="I858" t="s">
        <v>37</v>
      </c>
      <c r="J858" t="s">
        <v>54</v>
      </c>
      <c r="K858">
        <v>2</v>
      </c>
      <c r="L858" t="s">
        <v>55</v>
      </c>
      <c r="M858">
        <v>1</v>
      </c>
      <c r="N858" t="s">
        <v>40</v>
      </c>
      <c r="O858" t="s">
        <v>62</v>
      </c>
      <c r="P858">
        <v>3</v>
      </c>
      <c r="Q858" t="s">
        <v>42</v>
      </c>
      <c r="R858" t="s">
        <v>43</v>
      </c>
      <c r="S858">
        <v>1</v>
      </c>
      <c r="T858" t="s">
        <v>44</v>
      </c>
      <c r="U858" t="s">
        <v>59</v>
      </c>
      <c r="V858">
        <v>12</v>
      </c>
      <c r="W858" t="s">
        <v>45</v>
      </c>
      <c r="X858">
        <v>2</v>
      </c>
      <c r="Y858">
        <v>2</v>
      </c>
      <c r="Z858" t="s">
        <v>46</v>
      </c>
      <c r="AA858">
        <v>2</v>
      </c>
      <c r="AB858" t="s">
        <v>48</v>
      </c>
      <c r="AC858">
        <v>2</v>
      </c>
      <c r="AD858" t="s">
        <v>48</v>
      </c>
      <c r="AE858">
        <v>1</v>
      </c>
      <c r="AF858" t="s">
        <v>49</v>
      </c>
    </row>
    <row r="859" spans="1:32" x14ac:dyDescent="0.25">
      <c r="A859">
        <v>44</v>
      </c>
      <c r="B859" t="s">
        <v>32</v>
      </c>
      <c r="C859" t="s">
        <v>33</v>
      </c>
      <c r="D859" t="s">
        <v>34</v>
      </c>
      <c r="E859" t="s">
        <v>52</v>
      </c>
      <c r="F859">
        <v>10</v>
      </c>
      <c r="G859" t="s">
        <v>53</v>
      </c>
      <c r="H859">
        <v>3</v>
      </c>
      <c r="I859" t="s">
        <v>42</v>
      </c>
      <c r="J859" t="s">
        <v>54</v>
      </c>
      <c r="K859">
        <v>3</v>
      </c>
      <c r="L859" t="s">
        <v>39</v>
      </c>
      <c r="M859">
        <v>1</v>
      </c>
      <c r="N859" t="s">
        <v>40</v>
      </c>
      <c r="O859" t="s">
        <v>56</v>
      </c>
      <c r="P859">
        <v>3</v>
      </c>
      <c r="Q859" t="s">
        <v>42</v>
      </c>
      <c r="R859" t="s">
        <v>43</v>
      </c>
      <c r="S859">
        <v>1</v>
      </c>
      <c r="T859" t="s">
        <v>44</v>
      </c>
      <c r="U859" t="s">
        <v>44</v>
      </c>
      <c r="V859">
        <v>11</v>
      </c>
      <c r="W859" t="s">
        <v>45</v>
      </c>
      <c r="X859">
        <v>6</v>
      </c>
      <c r="Y859">
        <v>3</v>
      </c>
      <c r="Z859" t="s">
        <v>61</v>
      </c>
      <c r="AA859">
        <v>6</v>
      </c>
      <c r="AB859" t="s">
        <v>47</v>
      </c>
      <c r="AC859">
        <v>4</v>
      </c>
      <c r="AD859" t="s">
        <v>48</v>
      </c>
      <c r="AE859">
        <v>0</v>
      </c>
      <c r="AF859" t="s">
        <v>49</v>
      </c>
    </row>
    <row r="860" spans="1:32" x14ac:dyDescent="0.25">
      <c r="A860">
        <v>53</v>
      </c>
      <c r="B860" t="s">
        <v>64</v>
      </c>
      <c r="C860" t="s">
        <v>50</v>
      </c>
      <c r="D860" t="s">
        <v>34</v>
      </c>
      <c r="E860" t="s">
        <v>52</v>
      </c>
      <c r="F860">
        <v>7</v>
      </c>
      <c r="G860" t="s">
        <v>53</v>
      </c>
      <c r="H860">
        <v>4</v>
      </c>
      <c r="I860" t="s">
        <v>42</v>
      </c>
      <c r="J860" t="s">
        <v>38</v>
      </c>
      <c r="K860">
        <v>3</v>
      </c>
      <c r="L860" t="s">
        <v>39</v>
      </c>
      <c r="M860">
        <v>5</v>
      </c>
      <c r="N860" t="s">
        <v>72</v>
      </c>
      <c r="O860" t="s">
        <v>73</v>
      </c>
      <c r="P860">
        <v>3</v>
      </c>
      <c r="Q860" t="s">
        <v>42</v>
      </c>
      <c r="R860" t="s">
        <v>67</v>
      </c>
      <c r="S860">
        <v>3</v>
      </c>
      <c r="T860" t="s">
        <v>44</v>
      </c>
      <c r="U860" t="s">
        <v>59</v>
      </c>
      <c r="V860">
        <v>18</v>
      </c>
      <c r="W860" t="s">
        <v>45</v>
      </c>
      <c r="X860">
        <v>26</v>
      </c>
      <c r="Y860">
        <v>3</v>
      </c>
      <c r="Z860" t="s">
        <v>61</v>
      </c>
      <c r="AA860">
        <v>7</v>
      </c>
      <c r="AB860" t="s">
        <v>47</v>
      </c>
      <c r="AC860">
        <v>7</v>
      </c>
      <c r="AD860" t="s">
        <v>47</v>
      </c>
      <c r="AE860">
        <v>4</v>
      </c>
      <c r="AF860" t="s">
        <v>71</v>
      </c>
    </row>
    <row r="861" spans="1:32" x14ac:dyDescent="0.25">
      <c r="A861">
        <v>29</v>
      </c>
      <c r="B861" t="s">
        <v>63</v>
      </c>
      <c r="C861" t="s">
        <v>50</v>
      </c>
      <c r="D861" t="s">
        <v>34</v>
      </c>
      <c r="E861" t="s">
        <v>52</v>
      </c>
      <c r="F861">
        <v>15</v>
      </c>
      <c r="G861" t="s">
        <v>66</v>
      </c>
      <c r="H861">
        <v>2</v>
      </c>
      <c r="I861" t="s">
        <v>37</v>
      </c>
      <c r="J861" t="s">
        <v>38</v>
      </c>
      <c r="K861">
        <v>1</v>
      </c>
      <c r="L861" t="s">
        <v>55</v>
      </c>
      <c r="M861">
        <v>1</v>
      </c>
      <c r="N861" t="s">
        <v>40</v>
      </c>
      <c r="O861" t="s">
        <v>56</v>
      </c>
      <c r="P861">
        <v>4</v>
      </c>
      <c r="Q861" t="s">
        <v>42</v>
      </c>
      <c r="R861" t="s">
        <v>58</v>
      </c>
      <c r="S861">
        <v>0</v>
      </c>
      <c r="T861" t="s">
        <v>44</v>
      </c>
      <c r="U861" t="s">
        <v>44</v>
      </c>
      <c r="V861">
        <v>18</v>
      </c>
      <c r="W861" t="s">
        <v>45</v>
      </c>
      <c r="X861">
        <v>6</v>
      </c>
      <c r="Y861">
        <v>2</v>
      </c>
      <c r="Z861" t="s">
        <v>46</v>
      </c>
      <c r="AA861">
        <v>5</v>
      </c>
      <c r="AB861" t="s">
        <v>47</v>
      </c>
      <c r="AC861">
        <v>4</v>
      </c>
      <c r="AD861" t="s">
        <v>48</v>
      </c>
      <c r="AE861">
        <v>1</v>
      </c>
      <c r="AF861" t="s">
        <v>49</v>
      </c>
    </row>
    <row r="862" spans="1:32" x14ac:dyDescent="0.25">
      <c r="A862">
        <v>22</v>
      </c>
      <c r="B862" t="s">
        <v>63</v>
      </c>
      <c r="C862" t="s">
        <v>33</v>
      </c>
      <c r="D862" t="s">
        <v>51</v>
      </c>
      <c r="E862" t="s">
        <v>52</v>
      </c>
      <c r="F862">
        <v>3</v>
      </c>
      <c r="G862" t="s">
        <v>36</v>
      </c>
      <c r="H862">
        <v>3</v>
      </c>
      <c r="I862" t="s">
        <v>42</v>
      </c>
      <c r="J862" t="s">
        <v>54</v>
      </c>
      <c r="K862">
        <v>2</v>
      </c>
      <c r="L862" t="s">
        <v>55</v>
      </c>
      <c r="M862">
        <v>1</v>
      </c>
      <c r="N862" t="s">
        <v>40</v>
      </c>
      <c r="O862" t="s">
        <v>56</v>
      </c>
      <c r="P862">
        <v>4</v>
      </c>
      <c r="Q862" t="s">
        <v>42</v>
      </c>
      <c r="R862" t="s">
        <v>58</v>
      </c>
      <c r="S862">
        <v>0</v>
      </c>
      <c r="T862" t="s">
        <v>44</v>
      </c>
      <c r="U862" t="s">
        <v>44</v>
      </c>
      <c r="V862">
        <v>11</v>
      </c>
      <c r="W862" t="s">
        <v>45</v>
      </c>
      <c r="X862">
        <v>1</v>
      </c>
      <c r="Y862">
        <v>3</v>
      </c>
      <c r="Z862" t="s">
        <v>61</v>
      </c>
      <c r="AA862">
        <v>0</v>
      </c>
      <c r="AB862" t="s">
        <v>48</v>
      </c>
      <c r="AC862">
        <v>0</v>
      </c>
      <c r="AD862" t="s">
        <v>48</v>
      </c>
      <c r="AE862">
        <v>0</v>
      </c>
      <c r="AF862" t="s">
        <v>49</v>
      </c>
    </row>
    <row r="863" spans="1:32" x14ac:dyDescent="0.25">
      <c r="A863">
        <v>46</v>
      </c>
      <c r="B863" t="s">
        <v>32</v>
      </c>
      <c r="C863" t="s">
        <v>50</v>
      </c>
      <c r="D863" t="s">
        <v>34</v>
      </c>
      <c r="E863" t="s">
        <v>35</v>
      </c>
      <c r="F863">
        <v>2</v>
      </c>
      <c r="G863" t="s">
        <v>36</v>
      </c>
      <c r="H863">
        <v>3</v>
      </c>
      <c r="I863" t="s">
        <v>42</v>
      </c>
      <c r="J863" t="s">
        <v>38</v>
      </c>
      <c r="K863">
        <v>3</v>
      </c>
      <c r="L863" t="s">
        <v>39</v>
      </c>
      <c r="M863">
        <v>4</v>
      </c>
      <c r="N863" t="s">
        <v>72</v>
      </c>
      <c r="O863" t="s">
        <v>73</v>
      </c>
      <c r="P863">
        <v>1</v>
      </c>
      <c r="Q863" t="s">
        <v>57</v>
      </c>
      <c r="R863" t="s">
        <v>58</v>
      </c>
      <c r="S863">
        <v>8</v>
      </c>
      <c r="T863" t="s">
        <v>44</v>
      </c>
      <c r="U863" t="s">
        <v>59</v>
      </c>
      <c r="V863">
        <v>23</v>
      </c>
      <c r="W863" t="s">
        <v>60</v>
      </c>
      <c r="X863">
        <v>28</v>
      </c>
      <c r="Y863">
        <v>3</v>
      </c>
      <c r="Z863" t="s">
        <v>61</v>
      </c>
      <c r="AA863">
        <v>26</v>
      </c>
      <c r="AB863" t="s">
        <v>74</v>
      </c>
      <c r="AC863">
        <v>15</v>
      </c>
      <c r="AD863" t="s">
        <v>74</v>
      </c>
      <c r="AE863">
        <v>15</v>
      </c>
      <c r="AF863" t="s">
        <v>71</v>
      </c>
    </row>
    <row r="864" spans="1:32" x14ac:dyDescent="0.25">
      <c r="A864">
        <v>44</v>
      </c>
      <c r="B864" t="s">
        <v>32</v>
      </c>
      <c r="C864" t="s">
        <v>50</v>
      </c>
      <c r="D864" t="s">
        <v>34</v>
      </c>
      <c r="E864" t="s">
        <v>52</v>
      </c>
      <c r="F864">
        <v>17</v>
      </c>
      <c r="G864" t="s">
        <v>66</v>
      </c>
      <c r="H864">
        <v>4</v>
      </c>
      <c r="I864" t="s">
        <v>42</v>
      </c>
      <c r="J864" t="s">
        <v>54</v>
      </c>
      <c r="K864">
        <v>1</v>
      </c>
      <c r="L864" t="s">
        <v>55</v>
      </c>
      <c r="M864">
        <v>1</v>
      </c>
      <c r="N864" t="s">
        <v>40</v>
      </c>
      <c r="O864" t="s">
        <v>56</v>
      </c>
      <c r="P864">
        <v>3</v>
      </c>
      <c r="Q864" t="s">
        <v>42</v>
      </c>
      <c r="R864" t="s">
        <v>43</v>
      </c>
      <c r="S864">
        <v>2</v>
      </c>
      <c r="T864" t="s">
        <v>44</v>
      </c>
      <c r="U864" t="s">
        <v>59</v>
      </c>
      <c r="V864">
        <v>13</v>
      </c>
      <c r="W864" t="s">
        <v>45</v>
      </c>
      <c r="X864">
        <v>6</v>
      </c>
      <c r="Y864">
        <v>3</v>
      </c>
      <c r="Z864" t="s">
        <v>61</v>
      </c>
      <c r="AA864">
        <v>0</v>
      </c>
      <c r="AB864" t="s">
        <v>48</v>
      </c>
      <c r="AC864">
        <v>0</v>
      </c>
      <c r="AD864" t="s">
        <v>48</v>
      </c>
      <c r="AE864">
        <v>0</v>
      </c>
      <c r="AF864" t="s">
        <v>49</v>
      </c>
    </row>
    <row r="865" spans="1:32" x14ac:dyDescent="0.25">
      <c r="A865">
        <v>33</v>
      </c>
      <c r="B865" t="s">
        <v>32</v>
      </c>
      <c r="C865" t="s">
        <v>50</v>
      </c>
      <c r="D865" t="s">
        <v>34</v>
      </c>
      <c r="E865" t="s">
        <v>77</v>
      </c>
      <c r="F865">
        <v>2</v>
      </c>
      <c r="G865" t="s">
        <v>36</v>
      </c>
      <c r="H865">
        <v>2</v>
      </c>
      <c r="I865" t="s">
        <v>37</v>
      </c>
      <c r="J865" t="s">
        <v>54</v>
      </c>
      <c r="K865">
        <v>3</v>
      </c>
      <c r="L865" t="s">
        <v>39</v>
      </c>
      <c r="M865">
        <v>1</v>
      </c>
      <c r="N865" t="s">
        <v>40</v>
      </c>
      <c r="O865" t="s">
        <v>77</v>
      </c>
      <c r="P865">
        <v>3</v>
      </c>
      <c r="Q865" t="s">
        <v>42</v>
      </c>
      <c r="R865" t="s">
        <v>58</v>
      </c>
      <c r="S865">
        <v>1</v>
      </c>
      <c r="T865" t="s">
        <v>44</v>
      </c>
      <c r="U865" t="s">
        <v>59</v>
      </c>
      <c r="V865">
        <v>13</v>
      </c>
      <c r="W865" t="s">
        <v>45</v>
      </c>
      <c r="X865">
        <v>5</v>
      </c>
      <c r="Y865">
        <v>3</v>
      </c>
      <c r="Z865" t="s">
        <v>61</v>
      </c>
      <c r="AA865">
        <v>5</v>
      </c>
      <c r="AB865" t="s">
        <v>47</v>
      </c>
      <c r="AC865">
        <v>4</v>
      </c>
      <c r="AD865" t="s">
        <v>48</v>
      </c>
      <c r="AE865">
        <v>1</v>
      </c>
      <c r="AF865" t="s">
        <v>49</v>
      </c>
    </row>
    <row r="866" spans="1:32" x14ac:dyDescent="0.25">
      <c r="A866">
        <v>41</v>
      </c>
      <c r="B866" t="s">
        <v>32</v>
      </c>
      <c r="C866" t="s">
        <v>33</v>
      </c>
      <c r="D866" t="s">
        <v>34</v>
      </c>
      <c r="E866" t="s">
        <v>52</v>
      </c>
      <c r="F866">
        <v>5</v>
      </c>
      <c r="G866" t="s">
        <v>36</v>
      </c>
      <c r="H866">
        <v>1</v>
      </c>
      <c r="I866" t="s">
        <v>37</v>
      </c>
      <c r="J866" t="s">
        <v>54</v>
      </c>
      <c r="K866">
        <v>2</v>
      </c>
      <c r="L866" t="s">
        <v>55</v>
      </c>
      <c r="M866">
        <v>1</v>
      </c>
      <c r="N866" t="s">
        <v>40</v>
      </c>
      <c r="O866" t="s">
        <v>56</v>
      </c>
      <c r="P866">
        <v>1</v>
      </c>
      <c r="Q866" t="s">
        <v>57</v>
      </c>
      <c r="R866" t="s">
        <v>67</v>
      </c>
      <c r="S866">
        <v>6</v>
      </c>
      <c r="T866" t="s">
        <v>44</v>
      </c>
      <c r="U866" t="s">
        <v>59</v>
      </c>
      <c r="V866">
        <v>17</v>
      </c>
      <c r="W866" t="s">
        <v>45</v>
      </c>
      <c r="X866">
        <v>5</v>
      </c>
      <c r="Y866">
        <v>1</v>
      </c>
      <c r="Z866" t="s">
        <v>46</v>
      </c>
      <c r="AA866">
        <v>1</v>
      </c>
      <c r="AB866" t="s">
        <v>48</v>
      </c>
      <c r="AC866">
        <v>0</v>
      </c>
      <c r="AD866" t="s">
        <v>48</v>
      </c>
      <c r="AE866">
        <v>0</v>
      </c>
      <c r="AF866" t="s">
        <v>49</v>
      </c>
    </row>
    <row r="867" spans="1:32" x14ac:dyDescent="0.25">
      <c r="A867">
        <v>30</v>
      </c>
      <c r="B867" t="s">
        <v>32</v>
      </c>
      <c r="C867" t="s">
        <v>50</v>
      </c>
      <c r="D867" t="s">
        <v>34</v>
      </c>
      <c r="E867" t="s">
        <v>35</v>
      </c>
      <c r="F867">
        <v>29</v>
      </c>
      <c r="G867" t="s">
        <v>66</v>
      </c>
      <c r="H867">
        <v>3</v>
      </c>
      <c r="I867" t="s">
        <v>42</v>
      </c>
      <c r="J867" t="s">
        <v>54</v>
      </c>
      <c r="K867">
        <v>3</v>
      </c>
      <c r="L867" t="s">
        <v>39</v>
      </c>
      <c r="M867">
        <v>2</v>
      </c>
      <c r="N867" t="s">
        <v>40</v>
      </c>
      <c r="O867" t="s">
        <v>41</v>
      </c>
      <c r="P867">
        <v>1</v>
      </c>
      <c r="Q867" t="s">
        <v>57</v>
      </c>
      <c r="R867" t="s">
        <v>67</v>
      </c>
      <c r="S867">
        <v>8</v>
      </c>
      <c r="T867" t="s">
        <v>44</v>
      </c>
      <c r="U867" t="s">
        <v>59</v>
      </c>
      <c r="V867">
        <v>19</v>
      </c>
      <c r="W867" t="s">
        <v>45</v>
      </c>
      <c r="X867">
        <v>8</v>
      </c>
      <c r="Y867">
        <v>3</v>
      </c>
      <c r="Z867" t="s">
        <v>61</v>
      </c>
      <c r="AA867">
        <v>4</v>
      </c>
      <c r="AB867" t="s">
        <v>48</v>
      </c>
      <c r="AC867">
        <v>3</v>
      </c>
      <c r="AD867" t="s">
        <v>48</v>
      </c>
      <c r="AE867">
        <v>0</v>
      </c>
      <c r="AF867" t="s">
        <v>49</v>
      </c>
    </row>
    <row r="868" spans="1:32" x14ac:dyDescent="0.25">
      <c r="A868">
        <v>40</v>
      </c>
      <c r="B868" t="s">
        <v>32</v>
      </c>
      <c r="C868" t="s">
        <v>50</v>
      </c>
      <c r="D868" t="s">
        <v>51</v>
      </c>
      <c r="E868" t="s">
        <v>35</v>
      </c>
      <c r="F868">
        <v>2</v>
      </c>
      <c r="G868" t="s">
        <v>36</v>
      </c>
      <c r="H868">
        <v>2</v>
      </c>
      <c r="I868" t="s">
        <v>37</v>
      </c>
      <c r="J868" t="s">
        <v>54</v>
      </c>
      <c r="K868">
        <v>3</v>
      </c>
      <c r="L868" t="s">
        <v>39</v>
      </c>
      <c r="M868">
        <v>2</v>
      </c>
      <c r="N868" t="s">
        <v>40</v>
      </c>
      <c r="O868" t="s">
        <v>41</v>
      </c>
      <c r="P868">
        <v>2</v>
      </c>
      <c r="Q868" t="s">
        <v>57</v>
      </c>
      <c r="R868" t="s">
        <v>58</v>
      </c>
      <c r="S868">
        <v>5</v>
      </c>
      <c r="T868" t="s">
        <v>44</v>
      </c>
      <c r="U868" t="s">
        <v>59</v>
      </c>
      <c r="V868">
        <v>12</v>
      </c>
      <c r="W868" t="s">
        <v>45</v>
      </c>
      <c r="X868">
        <v>5</v>
      </c>
      <c r="Y868">
        <v>3</v>
      </c>
      <c r="Z868" t="s">
        <v>61</v>
      </c>
      <c r="AA868">
        <v>0</v>
      </c>
      <c r="AB868" t="s">
        <v>48</v>
      </c>
      <c r="AC868">
        <v>0</v>
      </c>
      <c r="AD868" t="s">
        <v>48</v>
      </c>
      <c r="AE868">
        <v>0</v>
      </c>
      <c r="AF868" t="s">
        <v>49</v>
      </c>
    </row>
    <row r="869" spans="1:32" x14ac:dyDescent="0.25">
      <c r="A869">
        <v>50</v>
      </c>
      <c r="B869" t="s">
        <v>32</v>
      </c>
      <c r="C869" t="s">
        <v>50</v>
      </c>
      <c r="D869" t="s">
        <v>51</v>
      </c>
      <c r="E869" t="s">
        <v>52</v>
      </c>
      <c r="F869">
        <v>2</v>
      </c>
      <c r="G869" t="s">
        <v>36</v>
      </c>
      <c r="H869">
        <v>4</v>
      </c>
      <c r="I869" t="s">
        <v>42</v>
      </c>
      <c r="J869" t="s">
        <v>38</v>
      </c>
      <c r="K869">
        <v>3</v>
      </c>
      <c r="L869" t="s">
        <v>39</v>
      </c>
      <c r="M869">
        <v>4</v>
      </c>
      <c r="N869" t="s">
        <v>72</v>
      </c>
      <c r="O869" t="s">
        <v>73</v>
      </c>
      <c r="P869">
        <v>1</v>
      </c>
      <c r="Q869" t="s">
        <v>57</v>
      </c>
      <c r="R869" t="s">
        <v>58</v>
      </c>
      <c r="S869">
        <v>2</v>
      </c>
      <c r="T869" t="s">
        <v>44</v>
      </c>
      <c r="U869" t="s">
        <v>59</v>
      </c>
      <c r="V869">
        <v>22</v>
      </c>
      <c r="W869" t="s">
        <v>60</v>
      </c>
      <c r="X869">
        <v>32</v>
      </c>
      <c r="Y869">
        <v>3</v>
      </c>
      <c r="Z869" t="s">
        <v>61</v>
      </c>
      <c r="AA869">
        <v>2</v>
      </c>
      <c r="AB869" t="s">
        <v>48</v>
      </c>
      <c r="AC869">
        <v>2</v>
      </c>
      <c r="AD869" t="s">
        <v>48</v>
      </c>
      <c r="AE869">
        <v>2</v>
      </c>
      <c r="AF869" t="s">
        <v>49</v>
      </c>
    </row>
    <row r="870" spans="1:32" x14ac:dyDescent="0.25">
      <c r="A870">
        <v>28</v>
      </c>
      <c r="B870" t="s">
        <v>63</v>
      </c>
      <c r="C870" t="s">
        <v>50</v>
      </c>
      <c r="D870" t="s">
        <v>34</v>
      </c>
      <c r="E870" t="s">
        <v>52</v>
      </c>
      <c r="F870">
        <v>19</v>
      </c>
      <c r="G870" t="s">
        <v>66</v>
      </c>
      <c r="H870">
        <v>4</v>
      </c>
      <c r="I870" t="s">
        <v>42</v>
      </c>
      <c r="J870" t="s">
        <v>54</v>
      </c>
      <c r="K870">
        <v>2</v>
      </c>
      <c r="L870" t="s">
        <v>55</v>
      </c>
      <c r="M870">
        <v>1</v>
      </c>
      <c r="N870" t="s">
        <v>40</v>
      </c>
      <c r="O870" t="s">
        <v>62</v>
      </c>
      <c r="P870">
        <v>1</v>
      </c>
      <c r="Q870" t="s">
        <v>57</v>
      </c>
      <c r="R870" t="s">
        <v>58</v>
      </c>
      <c r="S870">
        <v>1</v>
      </c>
      <c r="T870" t="s">
        <v>44</v>
      </c>
      <c r="U870" t="s">
        <v>59</v>
      </c>
      <c r="V870">
        <v>12</v>
      </c>
      <c r="W870" t="s">
        <v>45</v>
      </c>
      <c r="X870">
        <v>6</v>
      </c>
      <c r="Y870">
        <v>3</v>
      </c>
      <c r="Z870" t="s">
        <v>61</v>
      </c>
      <c r="AA870">
        <v>6</v>
      </c>
      <c r="AB870" t="s">
        <v>47</v>
      </c>
      <c r="AC870">
        <v>5</v>
      </c>
      <c r="AD870" t="s">
        <v>47</v>
      </c>
      <c r="AE870">
        <v>3</v>
      </c>
      <c r="AF870" t="s">
        <v>49</v>
      </c>
    </row>
    <row r="871" spans="1:32" x14ac:dyDescent="0.25">
      <c r="A871">
        <v>46</v>
      </c>
      <c r="B871" t="s">
        <v>32</v>
      </c>
      <c r="C871" t="s">
        <v>50</v>
      </c>
      <c r="D871" t="s">
        <v>34</v>
      </c>
      <c r="E871" t="s">
        <v>52</v>
      </c>
      <c r="F871">
        <v>15</v>
      </c>
      <c r="G871" t="s">
        <v>66</v>
      </c>
      <c r="H871">
        <v>4</v>
      </c>
      <c r="I871" t="s">
        <v>42</v>
      </c>
      <c r="J871" t="s">
        <v>54</v>
      </c>
      <c r="K871">
        <v>3</v>
      </c>
      <c r="L871" t="s">
        <v>39</v>
      </c>
      <c r="M871">
        <v>5</v>
      </c>
      <c r="N871" t="s">
        <v>72</v>
      </c>
      <c r="O871" t="s">
        <v>76</v>
      </c>
      <c r="P871">
        <v>2</v>
      </c>
      <c r="Q871" t="s">
        <v>57</v>
      </c>
      <c r="R871" t="s">
        <v>58</v>
      </c>
      <c r="S871">
        <v>5</v>
      </c>
      <c r="T871" t="s">
        <v>44</v>
      </c>
      <c r="U871" t="s">
        <v>59</v>
      </c>
      <c r="V871">
        <v>11</v>
      </c>
      <c r="W871" t="s">
        <v>45</v>
      </c>
      <c r="X871">
        <v>25</v>
      </c>
      <c r="Y871">
        <v>3</v>
      </c>
      <c r="Z871" t="s">
        <v>61</v>
      </c>
      <c r="AA871">
        <v>4</v>
      </c>
      <c r="AB871" t="s">
        <v>48</v>
      </c>
      <c r="AC871">
        <v>2</v>
      </c>
      <c r="AD871" t="s">
        <v>48</v>
      </c>
      <c r="AE871">
        <v>0</v>
      </c>
      <c r="AF871" t="s">
        <v>49</v>
      </c>
    </row>
    <row r="872" spans="1:32" x14ac:dyDescent="0.25">
      <c r="A872">
        <v>35</v>
      </c>
      <c r="B872" t="s">
        <v>32</v>
      </c>
      <c r="C872" t="s">
        <v>50</v>
      </c>
      <c r="D872" t="s">
        <v>34</v>
      </c>
      <c r="E872" t="s">
        <v>35</v>
      </c>
      <c r="F872">
        <v>17</v>
      </c>
      <c r="G872" t="s">
        <v>66</v>
      </c>
      <c r="H872">
        <v>3</v>
      </c>
      <c r="I872" t="s">
        <v>42</v>
      </c>
      <c r="J872" t="s">
        <v>54</v>
      </c>
      <c r="K872">
        <v>3</v>
      </c>
      <c r="L872" t="s">
        <v>39</v>
      </c>
      <c r="M872">
        <v>2</v>
      </c>
      <c r="N872" t="s">
        <v>40</v>
      </c>
      <c r="O872" t="s">
        <v>41</v>
      </c>
      <c r="P872">
        <v>1</v>
      </c>
      <c r="Q872" t="s">
        <v>57</v>
      </c>
      <c r="R872" t="s">
        <v>58</v>
      </c>
      <c r="S872">
        <v>3</v>
      </c>
      <c r="T872" t="s">
        <v>44</v>
      </c>
      <c r="U872" t="s">
        <v>44</v>
      </c>
      <c r="V872">
        <v>15</v>
      </c>
      <c r="W872" t="s">
        <v>45</v>
      </c>
      <c r="X872">
        <v>15</v>
      </c>
      <c r="Y872">
        <v>3</v>
      </c>
      <c r="Z872" t="s">
        <v>61</v>
      </c>
      <c r="AA872">
        <v>7</v>
      </c>
      <c r="AB872" t="s">
        <v>47</v>
      </c>
      <c r="AC872">
        <v>7</v>
      </c>
      <c r="AD872" t="s">
        <v>47</v>
      </c>
      <c r="AE872">
        <v>1</v>
      </c>
      <c r="AF872" t="s">
        <v>49</v>
      </c>
    </row>
    <row r="873" spans="1:32" x14ac:dyDescent="0.25">
      <c r="A873">
        <v>24</v>
      </c>
      <c r="B873" t="s">
        <v>63</v>
      </c>
      <c r="C873" t="s">
        <v>33</v>
      </c>
      <c r="D873" t="s">
        <v>34</v>
      </c>
      <c r="E873" t="s">
        <v>52</v>
      </c>
      <c r="F873">
        <v>17</v>
      </c>
      <c r="G873" t="s">
        <v>66</v>
      </c>
      <c r="H873">
        <v>4</v>
      </c>
      <c r="I873" t="s">
        <v>42</v>
      </c>
      <c r="J873" t="s">
        <v>38</v>
      </c>
      <c r="K873">
        <v>3</v>
      </c>
      <c r="L873" t="s">
        <v>39</v>
      </c>
      <c r="M873">
        <v>1</v>
      </c>
      <c r="N873" t="s">
        <v>40</v>
      </c>
      <c r="O873" t="s">
        <v>62</v>
      </c>
      <c r="P873">
        <v>2</v>
      </c>
      <c r="Q873" t="s">
        <v>57</v>
      </c>
      <c r="R873" t="s">
        <v>58</v>
      </c>
      <c r="S873">
        <v>1</v>
      </c>
      <c r="T873" t="s">
        <v>44</v>
      </c>
      <c r="U873" t="s">
        <v>59</v>
      </c>
      <c r="V873">
        <v>13</v>
      </c>
      <c r="W873" t="s">
        <v>45</v>
      </c>
      <c r="X873">
        <v>1</v>
      </c>
      <c r="Y873">
        <v>1</v>
      </c>
      <c r="Z873" t="s">
        <v>46</v>
      </c>
      <c r="AA873">
        <v>1</v>
      </c>
      <c r="AB873" t="s">
        <v>48</v>
      </c>
      <c r="AC873">
        <v>0</v>
      </c>
      <c r="AD873" t="s">
        <v>48</v>
      </c>
      <c r="AE873">
        <v>0</v>
      </c>
      <c r="AF873" t="s">
        <v>49</v>
      </c>
    </row>
    <row r="874" spans="1:32" x14ac:dyDescent="0.25">
      <c r="A874">
        <v>33</v>
      </c>
      <c r="B874" t="s">
        <v>32</v>
      </c>
      <c r="C874" t="s">
        <v>50</v>
      </c>
      <c r="D874" t="s">
        <v>51</v>
      </c>
      <c r="E874" t="s">
        <v>35</v>
      </c>
      <c r="F874">
        <v>25</v>
      </c>
      <c r="G874" t="s">
        <v>66</v>
      </c>
      <c r="H874">
        <v>2</v>
      </c>
      <c r="I874" t="s">
        <v>37</v>
      </c>
      <c r="J874" t="s">
        <v>38</v>
      </c>
      <c r="K874">
        <v>3</v>
      </c>
      <c r="L874" t="s">
        <v>39</v>
      </c>
      <c r="M874">
        <v>2</v>
      </c>
      <c r="N874" t="s">
        <v>40</v>
      </c>
      <c r="O874" t="s">
        <v>41</v>
      </c>
      <c r="P874">
        <v>3</v>
      </c>
      <c r="Q874" t="s">
        <v>42</v>
      </c>
      <c r="R874" t="s">
        <v>58</v>
      </c>
      <c r="S874">
        <v>1</v>
      </c>
      <c r="T874" t="s">
        <v>44</v>
      </c>
      <c r="U874" t="s">
        <v>59</v>
      </c>
      <c r="V874">
        <v>12</v>
      </c>
      <c r="W874" t="s">
        <v>45</v>
      </c>
      <c r="X874">
        <v>10</v>
      </c>
      <c r="Y874">
        <v>2</v>
      </c>
      <c r="Z874" t="s">
        <v>46</v>
      </c>
      <c r="AA874">
        <v>10</v>
      </c>
      <c r="AB874" t="s">
        <v>47</v>
      </c>
      <c r="AC874">
        <v>7</v>
      </c>
      <c r="AD874" t="s">
        <v>47</v>
      </c>
      <c r="AE874">
        <v>0</v>
      </c>
      <c r="AF874" t="s">
        <v>49</v>
      </c>
    </row>
    <row r="875" spans="1:32" x14ac:dyDescent="0.25">
      <c r="A875">
        <v>36</v>
      </c>
      <c r="B875" t="s">
        <v>32</v>
      </c>
      <c r="C875" t="s">
        <v>50</v>
      </c>
      <c r="D875" t="s">
        <v>34</v>
      </c>
      <c r="E875" t="s">
        <v>52</v>
      </c>
      <c r="F875">
        <v>6</v>
      </c>
      <c r="G875" t="s">
        <v>53</v>
      </c>
      <c r="H875">
        <v>3</v>
      </c>
      <c r="I875" t="s">
        <v>42</v>
      </c>
      <c r="J875" t="s">
        <v>54</v>
      </c>
      <c r="K875">
        <v>1</v>
      </c>
      <c r="L875" t="s">
        <v>55</v>
      </c>
      <c r="M875">
        <v>1</v>
      </c>
      <c r="N875" t="s">
        <v>40</v>
      </c>
      <c r="O875" t="s">
        <v>62</v>
      </c>
      <c r="P875">
        <v>3</v>
      </c>
      <c r="Q875" t="s">
        <v>42</v>
      </c>
      <c r="R875" t="s">
        <v>67</v>
      </c>
      <c r="S875">
        <v>1</v>
      </c>
      <c r="T875" t="s">
        <v>44</v>
      </c>
      <c r="U875" t="s">
        <v>59</v>
      </c>
      <c r="V875">
        <v>14</v>
      </c>
      <c r="W875" t="s">
        <v>45</v>
      </c>
      <c r="X875">
        <v>7</v>
      </c>
      <c r="Y875">
        <v>3</v>
      </c>
      <c r="Z875" t="s">
        <v>61</v>
      </c>
      <c r="AA875">
        <v>7</v>
      </c>
      <c r="AB875" t="s">
        <v>47</v>
      </c>
      <c r="AC875">
        <v>7</v>
      </c>
      <c r="AD875" t="s">
        <v>47</v>
      </c>
      <c r="AE875">
        <v>1</v>
      </c>
      <c r="AF875" t="s">
        <v>49</v>
      </c>
    </row>
    <row r="876" spans="1:32" x14ac:dyDescent="0.25">
      <c r="A876">
        <v>30</v>
      </c>
      <c r="B876" t="s">
        <v>32</v>
      </c>
      <c r="C876" t="s">
        <v>50</v>
      </c>
      <c r="D876" t="s">
        <v>34</v>
      </c>
      <c r="E876" t="s">
        <v>52</v>
      </c>
      <c r="F876">
        <v>7</v>
      </c>
      <c r="G876" t="s">
        <v>53</v>
      </c>
      <c r="H876">
        <v>3</v>
      </c>
      <c r="I876" t="s">
        <v>42</v>
      </c>
      <c r="J876" t="s">
        <v>54</v>
      </c>
      <c r="K876">
        <v>3</v>
      </c>
      <c r="L876" t="s">
        <v>39</v>
      </c>
      <c r="M876">
        <v>2</v>
      </c>
      <c r="N876" t="s">
        <v>40</v>
      </c>
      <c r="O876" t="s">
        <v>62</v>
      </c>
      <c r="P876">
        <v>3</v>
      </c>
      <c r="Q876" t="s">
        <v>42</v>
      </c>
      <c r="R876" t="s">
        <v>67</v>
      </c>
      <c r="S876">
        <v>1</v>
      </c>
      <c r="T876" t="s">
        <v>44</v>
      </c>
      <c r="U876" t="s">
        <v>59</v>
      </c>
      <c r="V876">
        <v>13</v>
      </c>
      <c r="W876" t="s">
        <v>45</v>
      </c>
      <c r="X876">
        <v>10</v>
      </c>
      <c r="Y876">
        <v>2</v>
      </c>
      <c r="Z876" t="s">
        <v>46</v>
      </c>
      <c r="AA876">
        <v>10</v>
      </c>
      <c r="AB876" t="s">
        <v>47</v>
      </c>
      <c r="AC876">
        <v>7</v>
      </c>
      <c r="AD876" t="s">
        <v>47</v>
      </c>
      <c r="AE876">
        <v>8</v>
      </c>
      <c r="AF876" t="s">
        <v>71</v>
      </c>
    </row>
    <row r="877" spans="1:32" x14ac:dyDescent="0.25">
      <c r="A877">
        <v>44</v>
      </c>
      <c r="B877" t="s">
        <v>32</v>
      </c>
      <c r="C877" t="s">
        <v>50</v>
      </c>
      <c r="D877" t="s">
        <v>34</v>
      </c>
      <c r="E877" t="s">
        <v>52</v>
      </c>
      <c r="F877">
        <v>29</v>
      </c>
      <c r="G877" t="s">
        <v>66</v>
      </c>
      <c r="H877">
        <v>4</v>
      </c>
      <c r="I877" t="s">
        <v>42</v>
      </c>
      <c r="J877" t="s">
        <v>54</v>
      </c>
      <c r="K877">
        <v>3</v>
      </c>
      <c r="L877" t="s">
        <v>39</v>
      </c>
      <c r="M877">
        <v>2</v>
      </c>
      <c r="N877" t="s">
        <v>40</v>
      </c>
      <c r="O877" t="s">
        <v>56</v>
      </c>
      <c r="P877">
        <v>4</v>
      </c>
      <c r="Q877" t="s">
        <v>42</v>
      </c>
      <c r="R877" t="s">
        <v>43</v>
      </c>
      <c r="S877">
        <v>1</v>
      </c>
      <c r="T877" t="s">
        <v>44</v>
      </c>
      <c r="U877" t="s">
        <v>59</v>
      </c>
      <c r="V877">
        <v>25</v>
      </c>
      <c r="W877" t="s">
        <v>60</v>
      </c>
      <c r="X877">
        <v>20</v>
      </c>
      <c r="Y877">
        <v>3</v>
      </c>
      <c r="Z877" t="s">
        <v>61</v>
      </c>
      <c r="AA877">
        <v>20</v>
      </c>
      <c r="AB877" t="s">
        <v>74</v>
      </c>
      <c r="AC877">
        <v>11</v>
      </c>
      <c r="AD877" t="s">
        <v>74</v>
      </c>
      <c r="AE877">
        <v>13</v>
      </c>
      <c r="AF877" t="s">
        <v>71</v>
      </c>
    </row>
    <row r="878" spans="1:32" x14ac:dyDescent="0.25">
      <c r="A878">
        <v>20</v>
      </c>
      <c r="B878" t="s">
        <v>63</v>
      </c>
      <c r="C878" t="s">
        <v>50</v>
      </c>
      <c r="D878" t="s">
        <v>34</v>
      </c>
      <c r="E878" t="s">
        <v>35</v>
      </c>
      <c r="F878">
        <v>21</v>
      </c>
      <c r="G878" t="s">
        <v>66</v>
      </c>
      <c r="H878">
        <v>3</v>
      </c>
      <c r="I878" t="s">
        <v>42</v>
      </c>
      <c r="J878" t="s">
        <v>54</v>
      </c>
      <c r="K878">
        <v>4</v>
      </c>
      <c r="L878" t="s">
        <v>65</v>
      </c>
      <c r="M878">
        <v>1</v>
      </c>
      <c r="N878" t="s">
        <v>40</v>
      </c>
      <c r="O878" t="s">
        <v>75</v>
      </c>
      <c r="P878">
        <v>4</v>
      </c>
      <c r="Q878" t="s">
        <v>42</v>
      </c>
      <c r="R878" t="s">
        <v>43</v>
      </c>
      <c r="S878">
        <v>1</v>
      </c>
      <c r="T878" t="s">
        <v>44</v>
      </c>
      <c r="U878" t="s">
        <v>59</v>
      </c>
      <c r="V878">
        <v>17</v>
      </c>
      <c r="W878" t="s">
        <v>45</v>
      </c>
      <c r="X878">
        <v>2</v>
      </c>
      <c r="Y878">
        <v>3</v>
      </c>
      <c r="Z878" t="s">
        <v>61</v>
      </c>
      <c r="AA878">
        <v>2</v>
      </c>
      <c r="AB878" t="s">
        <v>48</v>
      </c>
      <c r="AC878">
        <v>1</v>
      </c>
      <c r="AD878" t="s">
        <v>48</v>
      </c>
      <c r="AE878">
        <v>2</v>
      </c>
      <c r="AF878" t="s">
        <v>49</v>
      </c>
    </row>
    <row r="879" spans="1:32" x14ac:dyDescent="0.25">
      <c r="A879">
        <v>46</v>
      </c>
      <c r="B879" t="s">
        <v>32</v>
      </c>
      <c r="C879" t="s">
        <v>50</v>
      </c>
      <c r="D879" t="s">
        <v>34</v>
      </c>
      <c r="E879" t="s">
        <v>52</v>
      </c>
      <c r="F879">
        <v>2</v>
      </c>
      <c r="G879" t="s">
        <v>36</v>
      </c>
      <c r="H879">
        <v>4</v>
      </c>
      <c r="I879" t="s">
        <v>42</v>
      </c>
      <c r="J879" t="s">
        <v>54</v>
      </c>
      <c r="K879">
        <v>3</v>
      </c>
      <c r="L879" t="s">
        <v>39</v>
      </c>
      <c r="M879">
        <v>2</v>
      </c>
      <c r="N879" t="s">
        <v>40</v>
      </c>
      <c r="O879" t="s">
        <v>69</v>
      </c>
      <c r="P879">
        <v>4</v>
      </c>
      <c r="Q879" t="s">
        <v>42</v>
      </c>
      <c r="R879" t="s">
        <v>67</v>
      </c>
      <c r="S879">
        <v>2</v>
      </c>
      <c r="T879" t="s">
        <v>44</v>
      </c>
      <c r="U879" t="s">
        <v>59</v>
      </c>
      <c r="V879">
        <v>11</v>
      </c>
      <c r="W879" t="s">
        <v>45</v>
      </c>
      <c r="X879">
        <v>12</v>
      </c>
      <c r="Y879">
        <v>2</v>
      </c>
      <c r="Z879" t="s">
        <v>46</v>
      </c>
      <c r="AA879">
        <v>6</v>
      </c>
      <c r="AB879" t="s">
        <v>47</v>
      </c>
      <c r="AC879">
        <v>3</v>
      </c>
      <c r="AD879" t="s">
        <v>48</v>
      </c>
      <c r="AE879">
        <v>1</v>
      </c>
      <c r="AF879" t="s">
        <v>49</v>
      </c>
    </row>
    <row r="880" spans="1:32" x14ac:dyDescent="0.25">
      <c r="A880">
        <v>42</v>
      </c>
      <c r="B880" t="s">
        <v>32</v>
      </c>
      <c r="C880" t="s">
        <v>50</v>
      </c>
      <c r="D880" t="s">
        <v>34</v>
      </c>
      <c r="E880" t="s">
        <v>77</v>
      </c>
      <c r="F880">
        <v>2</v>
      </c>
      <c r="G880" t="s">
        <v>36</v>
      </c>
      <c r="H880">
        <v>4</v>
      </c>
      <c r="I880" t="s">
        <v>42</v>
      </c>
      <c r="J880" t="s">
        <v>54</v>
      </c>
      <c r="K880">
        <v>4</v>
      </c>
      <c r="L880" t="s">
        <v>65</v>
      </c>
      <c r="M880">
        <v>2</v>
      </c>
      <c r="N880" t="s">
        <v>40</v>
      </c>
      <c r="O880" t="s">
        <v>77</v>
      </c>
      <c r="P880">
        <v>1</v>
      </c>
      <c r="Q880" t="s">
        <v>57</v>
      </c>
      <c r="R880" t="s">
        <v>58</v>
      </c>
      <c r="S880">
        <v>7</v>
      </c>
      <c r="T880" t="s">
        <v>44</v>
      </c>
      <c r="U880" t="s">
        <v>59</v>
      </c>
      <c r="V880">
        <v>16</v>
      </c>
      <c r="W880" t="s">
        <v>45</v>
      </c>
      <c r="X880">
        <v>10</v>
      </c>
      <c r="Y880">
        <v>4</v>
      </c>
      <c r="Z880" t="s">
        <v>61</v>
      </c>
      <c r="AA880">
        <v>4</v>
      </c>
      <c r="AB880" t="s">
        <v>48</v>
      </c>
      <c r="AC880">
        <v>3</v>
      </c>
      <c r="AD880" t="s">
        <v>48</v>
      </c>
      <c r="AE880">
        <v>0</v>
      </c>
      <c r="AF880" t="s">
        <v>49</v>
      </c>
    </row>
    <row r="881" spans="1:32" x14ac:dyDescent="0.25">
      <c r="A881">
        <v>60</v>
      </c>
      <c r="B881" t="s">
        <v>64</v>
      </c>
      <c r="C881" t="s">
        <v>50</v>
      </c>
      <c r="D881" t="s">
        <v>34</v>
      </c>
      <c r="E881" t="s">
        <v>35</v>
      </c>
      <c r="F881">
        <v>7</v>
      </c>
      <c r="G881" t="s">
        <v>53</v>
      </c>
      <c r="H881">
        <v>2</v>
      </c>
      <c r="I881" t="s">
        <v>37</v>
      </c>
      <c r="J881" t="s">
        <v>54</v>
      </c>
      <c r="K881">
        <v>4</v>
      </c>
      <c r="L881" t="s">
        <v>65</v>
      </c>
      <c r="M881">
        <v>2</v>
      </c>
      <c r="N881" t="s">
        <v>40</v>
      </c>
      <c r="O881" t="s">
        <v>41</v>
      </c>
      <c r="P881">
        <v>4</v>
      </c>
      <c r="Q881" t="s">
        <v>42</v>
      </c>
      <c r="R881" t="s">
        <v>67</v>
      </c>
      <c r="S881">
        <v>0</v>
      </c>
      <c r="T881" t="s">
        <v>44</v>
      </c>
      <c r="U881" t="s">
        <v>44</v>
      </c>
      <c r="V881">
        <v>18</v>
      </c>
      <c r="W881" t="s">
        <v>45</v>
      </c>
      <c r="X881">
        <v>12</v>
      </c>
      <c r="Y881">
        <v>3</v>
      </c>
      <c r="Z881" t="s">
        <v>61</v>
      </c>
      <c r="AA881">
        <v>11</v>
      </c>
      <c r="AB881" t="s">
        <v>74</v>
      </c>
      <c r="AC881">
        <v>7</v>
      </c>
      <c r="AD881" t="s">
        <v>47</v>
      </c>
      <c r="AE881">
        <v>1</v>
      </c>
      <c r="AF881" t="s">
        <v>49</v>
      </c>
    </row>
    <row r="882" spans="1:32" x14ac:dyDescent="0.25">
      <c r="A882">
        <v>32</v>
      </c>
      <c r="B882" t="s">
        <v>32</v>
      </c>
      <c r="C882" t="s">
        <v>50</v>
      </c>
      <c r="D882" t="s">
        <v>51</v>
      </c>
      <c r="E882" t="s">
        <v>52</v>
      </c>
      <c r="F882">
        <v>13</v>
      </c>
      <c r="G882" t="s">
        <v>53</v>
      </c>
      <c r="H882">
        <v>3</v>
      </c>
      <c r="I882" t="s">
        <v>42</v>
      </c>
      <c r="J882" t="s">
        <v>38</v>
      </c>
      <c r="K882">
        <v>2</v>
      </c>
      <c r="L882" t="s">
        <v>55</v>
      </c>
      <c r="M882">
        <v>1</v>
      </c>
      <c r="N882" t="s">
        <v>40</v>
      </c>
      <c r="O882" t="s">
        <v>62</v>
      </c>
      <c r="P882">
        <v>2</v>
      </c>
      <c r="Q882" t="s">
        <v>57</v>
      </c>
      <c r="R882" t="s">
        <v>58</v>
      </c>
      <c r="S882">
        <v>1</v>
      </c>
      <c r="T882" t="s">
        <v>44</v>
      </c>
      <c r="U882" t="s">
        <v>59</v>
      </c>
      <c r="V882">
        <v>20</v>
      </c>
      <c r="W882" t="s">
        <v>60</v>
      </c>
      <c r="X882">
        <v>2</v>
      </c>
      <c r="Y882">
        <v>3</v>
      </c>
      <c r="Z882" t="s">
        <v>61</v>
      </c>
      <c r="AA882">
        <v>2</v>
      </c>
      <c r="AB882" t="s">
        <v>48</v>
      </c>
      <c r="AC882">
        <v>2</v>
      </c>
      <c r="AD882" t="s">
        <v>48</v>
      </c>
      <c r="AE882">
        <v>2</v>
      </c>
      <c r="AF882" t="s">
        <v>49</v>
      </c>
    </row>
    <row r="883" spans="1:32" x14ac:dyDescent="0.25">
      <c r="A883">
        <v>32</v>
      </c>
      <c r="B883" t="s">
        <v>32</v>
      </c>
      <c r="C883" t="s">
        <v>50</v>
      </c>
      <c r="D883" t="s">
        <v>51</v>
      </c>
      <c r="E883" t="s">
        <v>52</v>
      </c>
      <c r="F883">
        <v>2</v>
      </c>
      <c r="G883" t="s">
        <v>36</v>
      </c>
      <c r="H883">
        <v>4</v>
      </c>
      <c r="I883" t="s">
        <v>42</v>
      </c>
      <c r="J883" t="s">
        <v>38</v>
      </c>
      <c r="K883">
        <v>3</v>
      </c>
      <c r="L883" t="s">
        <v>39</v>
      </c>
      <c r="M883">
        <v>2</v>
      </c>
      <c r="N883" t="s">
        <v>40</v>
      </c>
      <c r="O883" t="s">
        <v>56</v>
      </c>
      <c r="P883">
        <v>3</v>
      </c>
      <c r="Q883" t="s">
        <v>42</v>
      </c>
      <c r="R883" t="s">
        <v>43</v>
      </c>
      <c r="S883">
        <v>4</v>
      </c>
      <c r="T883" t="s">
        <v>44</v>
      </c>
      <c r="U883" t="s">
        <v>44</v>
      </c>
      <c r="V883">
        <v>14</v>
      </c>
      <c r="W883" t="s">
        <v>45</v>
      </c>
      <c r="X883">
        <v>10</v>
      </c>
      <c r="Y883">
        <v>3</v>
      </c>
      <c r="Z883" t="s">
        <v>61</v>
      </c>
      <c r="AA883">
        <v>8</v>
      </c>
      <c r="AB883" t="s">
        <v>47</v>
      </c>
      <c r="AC883">
        <v>7</v>
      </c>
      <c r="AD883" t="s">
        <v>47</v>
      </c>
      <c r="AE883">
        <v>0</v>
      </c>
      <c r="AF883" t="s">
        <v>49</v>
      </c>
    </row>
    <row r="884" spans="1:32" x14ac:dyDescent="0.25">
      <c r="A884">
        <v>36</v>
      </c>
      <c r="B884" t="s">
        <v>32</v>
      </c>
      <c r="C884" t="s">
        <v>50</v>
      </c>
      <c r="D884" t="s">
        <v>34</v>
      </c>
      <c r="E884" t="s">
        <v>52</v>
      </c>
      <c r="F884">
        <v>1</v>
      </c>
      <c r="G884" t="s">
        <v>36</v>
      </c>
      <c r="H884">
        <v>3</v>
      </c>
      <c r="I884" t="s">
        <v>42</v>
      </c>
      <c r="J884" t="s">
        <v>38</v>
      </c>
      <c r="K884">
        <v>1</v>
      </c>
      <c r="L884" t="s">
        <v>55</v>
      </c>
      <c r="M884">
        <v>3</v>
      </c>
      <c r="N884" t="s">
        <v>68</v>
      </c>
      <c r="O884" t="s">
        <v>69</v>
      </c>
      <c r="P884">
        <v>1</v>
      </c>
      <c r="Q884" t="s">
        <v>57</v>
      </c>
      <c r="R884" t="s">
        <v>67</v>
      </c>
      <c r="S884">
        <v>2</v>
      </c>
      <c r="T884" t="s">
        <v>44</v>
      </c>
      <c r="U884" t="s">
        <v>44</v>
      </c>
      <c r="V884">
        <v>21</v>
      </c>
      <c r="W884" t="s">
        <v>60</v>
      </c>
      <c r="X884">
        <v>17</v>
      </c>
      <c r="Y884">
        <v>3</v>
      </c>
      <c r="Z884" t="s">
        <v>61</v>
      </c>
      <c r="AA884">
        <v>7</v>
      </c>
      <c r="AB884" t="s">
        <v>47</v>
      </c>
      <c r="AC884">
        <v>7</v>
      </c>
      <c r="AD884" t="s">
        <v>47</v>
      </c>
      <c r="AE884">
        <v>7</v>
      </c>
      <c r="AF884" t="s">
        <v>71</v>
      </c>
    </row>
    <row r="885" spans="1:32" x14ac:dyDescent="0.25">
      <c r="A885">
        <v>33</v>
      </c>
      <c r="B885" t="s">
        <v>32</v>
      </c>
      <c r="C885" t="s">
        <v>50</v>
      </c>
      <c r="D885" t="s">
        <v>34</v>
      </c>
      <c r="E885" t="s">
        <v>52</v>
      </c>
      <c r="F885">
        <v>9</v>
      </c>
      <c r="G885" t="s">
        <v>53</v>
      </c>
      <c r="H885">
        <v>1</v>
      </c>
      <c r="I885" t="s">
        <v>37</v>
      </c>
      <c r="J885" t="s">
        <v>54</v>
      </c>
      <c r="K885">
        <v>3</v>
      </c>
      <c r="L885" t="s">
        <v>39</v>
      </c>
      <c r="M885">
        <v>1</v>
      </c>
      <c r="N885" t="s">
        <v>40</v>
      </c>
      <c r="O885" t="s">
        <v>56</v>
      </c>
      <c r="P885">
        <v>4</v>
      </c>
      <c r="Q885" t="s">
        <v>42</v>
      </c>
      <c r="R885" t="s">
        <v>58</v>
      </c>
      <c r="S885">
        <v>0</v>
      </c>
      <c r="T885" t="s">
        <v>44</v>
      </c>
      <c r="U885" t="s">
        <v>59</v>
      </c>
      <c r="V885">
        <v>13</v>
      </c>
      <c r="W885" t="s">
        <v>45</v>
      </c>
      <c r="X885">
        <v>15</v>
      </c>
      <c r="Y885">
        <v>3</v>
      </c>
      <c r="Z885" t="s">
        <v>61</v>
      </c>
      <c r="AA885">
        <v>14</v>
      </c>
      <c r="AB885" t="s">
        <v>74</v>
      </c>
      <c r="AC885">
        <v>10</v>
      </c>
      <c r="AD885" t="s">
        <v>47</v>
      </c>
      <c r="AE885">
        <v>4</v>
      </c>
      <c r="AF885" t="s">
        <v>71</v>
      </c>
    </row>
    <row r="886" spans="1:32" x14ac:dyDescent="0.25">
      <c r="A886">
        <v>40</v>
      </c>
      <c r="B886" t="s">
        <v>32</v>
      </c>
      <c r="C886" t="s">
        <v>50</v>
      </c>
      <c r="D886" t="s">
        <v>34</v>
      </c>
      <c r="E886" t="s">
        <v>35</v>
      </c>
      <c r="F886">
        <v>10</v>
      </c>
      <c r="G886" t="s">
        <v>53</v>
      </c>
      <c r="H886">
        <v>2</v>
      </c>
      <c r="I886" t="s">
        <v>37</v>
      </c>
      <c r="J886" t="s">
        <v>38</v>
      </c>
      <c r="K886">
        <v>2</v>
      </c>
      <c r="L886" t="s">
        <v>55</v>
      </c>
      <c r="M886">
        <v>2</v>
      </c>
      <c r="N886" t="s">
        <v>40</v>
      </c>
      <c r="O886" t="s">
        <v>41</v>
      </c>
      <c r="P886">
        <v>2</v>
      </c>
      <c r="Q886" t="s">
        <v>57</v>
      </c>
      <c r="R886" t="s">
        <v>67</v>
      </c>
      <c r="S886">
        <v>7</v>
      </c>
      <c r="T886" t="s">
        <v>44</v>
      </c>
      <c r="U886" t="s">
        <v>59</v>
      </c>
      <c r="V886">
        <v>12</v>
      </c>
      <c r="W886" t="s">
        <v>45</v>
      </c>
      <c r="X886">
        <v>7</v>
      </c>
      <c r="Y886">
        <v>4</v>
      </c>
      <c r="Z886" t="s">
        <v>61</v>
      </c>
      <c r="AA886">
        <v>5</v>
      </c>
      <c r="AB886" t="s">
        <v>47</v>
      </c>
      <c r="AC886">
        <v>1</v>
      </c>
      <c r="AD886" t="s">
        <v>48</v>
      </c>
      <c r="AE886">
        <v>1</v>
      </c>
      <c r="AF886" t="s">
        <v>49</v>
      </c>
    </row>
    <row r="887" spans="1:32" x14ac:dyDescent="0.25">
      <c r="A887">
        <v>25</v>
      </c>
      <c r="B887" t="s">
        <v>63</v>
      </c>
      <c r="C887" t="s">
        <v>50</v>
      </c>
      <c r="D887" t="s">
        <v>34</v>
      </c>
      <c r="E887" t="s">
        <v>35</v>
      </c>
      <c r="F887">
        <v>10</v>
      </c>
      <c r="G887" t="s">
        <v>53</v>
      </c>
      <c r="H887">
        <v>3</v>
      </c>
      <c r="I887" t="s">
        <v>42</v>
      </c>
      <c r="J887" t="s">
        <v>54</v>
      </c>
      <c r="K887">
        <v>3</v>
      </c>
      <c r="L887" t="s">
        <v>39</v>
      </c>
      <c r="M887">
        <v>2</v>
      </c>
      <c r="N887" t="s">
        <v>40</v>
      </c>
      <c r="O887" t="s">
        <v>41</v>
      </c>
      <c r="P887">
        <v>4</v>
      </c>
      <c r="Q887" t="s">
        <v>42</v>
      </c>
      <c r="R887" t="s">
        <v>43</v>
      </c>
      <c r="S887">
        <v>0</v>
      </c>
      <c r="T887" t="s">
        <v>44</v>
      </c>
      <c r="U887" t="s">
        <v>59</v>
      </c>
      <c r="V887">
        <v>14</v>
      </c>
      <c r="W887" t="s">
        <v>45</v>
      </c>
      <c r="X887">
        <v>5</v>
      </c>
      <c r="Y887">
        <v>3</v>
      </c>
      <c r="Z887" t="s">
        <v>61</v>
      </c>
      <c r="AA887">
        <v>4</v>
      </c>
      <c r="AB887" t="s">
        <v>48</v>
      </c>
      <c r="AC887">
        <v>3</v>
      </c>
      <c r="AD887" t="s">
        <v>48</v>
      </c>
      <c r="AE887">
        <v>1</v>
      </c>
      <c r="AF887" t="s">
        <v>49</v>
      </c>
    </row>
    <row r="888" spans="1:32" x14ac:dyDescent="0.25">
      <c r="A888">
        <v>30</v>
      </c>
      <c r="B888" t="s">
        <v>32</v>
      </c>
      <c r="C888" t="s">
        <v>50</v>
      </c>
      <c r="D888" t="s">
        <v>34</v>
      </c>
      <c r="E888" t="s">
        <v>52</v>
      </c>
      <c r="F888">
        <v>1</v>
      </c>
      <c r="G888" t="s">
        <v>36</v>
      </c>
      <c r="H888">
        <v>4</v>
      </c>
      <c r="I888" t="s">
        <v>42</v>
      </c>
      <c r="J888" t="s">
        <v>54</v>
      </c>
      <c r="K888">
        <v>3</v>
      </c>
      <c r="L888" t="s">
        <v>39</v>
      </c>
      <c r="M888">
        <v>1</v>
      </c>
      <c r="N888" t="s">
        <v>40</v>
      </c>
      <c r="O888" t="s">
        <v>56</v>
      </c>
      <c r="P888">
        <v>2</v>
      </c>
      <c r="Q888" t="s">
        <v>57</v>
      </c>
      <c r="R888" t="s">
        <v>58</v>
      </c>
      <c r="S888">
        <v>0</v>
      </c>
      <c r="T888" t="s">
        <v>44</v>
      </c>
      <c r="U888" t="s">
        <v>44</v>
      </c>
      <c r="V888">
        <v>21</v>
      </c>
      <c r="W888" t="s">
        <v>60</v>
      </c>
      <c r="X888">
        <v>12</v>
      </c>
      <c r="Y888">
        <v>3</v>
      </c>
      <c r="Z888" t="s">
        <v>61</v>
      </c>
      <c r="AA888">
        <v>11</v>
      </c>
      <c r="AB888" t="s">
        <v>74</v>
      </c>
      <c r="AC888">
        <v>9</v>
      </c>
      <c r="AD888" t="s">
        <v>47</v>
      </c>
      <c r="AE888">
        <v>5</v>
      </c>
      <c r="AF888" t="s">
        <v>71</v>
      </c>
    </row>
    <row r="889" spans="1:32" x14ac:dyDescent="0.25">
      <c r="A889">
        <v>42</v>
      </c>
      <c r="B889" t="s">
        <v>32</v>
      </c>
      <c r="C889" t="s">
        <v>50</v>
      </c>
      <c r="D889" t="s">
        <v>51</v>
      </c>
      <c r="E889" t="s">
        <v>52</v>
      </c>
      <c r="F889">
        <v>26</v>
      </c>
      <c r="G889" t="s">
        <v>66</v>
      </c>
      <c r="H889">
        <v>1</v>
      </c>
      <c r="I889" t="s">
        <v>37</v>
      </c>
      <c r="J889" t="s">
        <v>38</v>
      </c>
      <c r="K889">
        <v>3</v>
      </c>
      <c r="L889" t="s">
        <v>39</v>
      </c>
      <c r="M889">
        <v>3</v>
      </c>
      <c r="N889" t="s">
        <v>68</v>
      </c>
      <c r="O889" t="s">
        <v>76</v>
      </c>
      <c r="P889">
        <v>1</v>
      </c>
      <c r="Q889" t="s">
        <v>57</v>
      </c>
      <c r="R889" t="s">
        <v>58</v>
      </c>
      <c r="S889">
        <v>3</v>
      </c>
      <c r="T889" t="s">
        <v>44</v>
      </c>
      <c r="U889" t="s">
        <v>44</v>
      </c>
      <c r="V889">
        <v>17</v>
      </c>
      <c r="W889" t="s">
        <v>45</v>
      </c>
      <c r="X889">
        <v>20</v>
      </c>
      <c r="Y889">
        <v>3</v>
      </c>
      <c r="Z889" t="s">
        <v>61</v>
      </c>
      <c r="AA889">
        <v>1</v>
      </c>
      <c r="AB889" t="s">
        <v>48</v>
      </c>
      <c r="AC889">
        <v>0</v>
      </c>
      <c r="AD889" t="s">
        <v>48</v>
      </c>
      <c r="AE889">
        <v>0</v>
      </c>
      <c r="AF889" t="s">
        <v>49</v>
      </c>
    </row>
    <row r="890" spans="1:32" x14ac:dyDescent="0.25">
      <c r="A890">
        <v>35</v>
      </c>
      <c r="B890" t="s">
        <v>32</v>
      </c>
      <c r="C890" t="s">
        <v>50</v>
      </c>
      <c r="D890" t="s">
        <v>34</v>
      </c>
      <c r="E890" t="s">
        <v>35</v>
      </c>
      <c r="F890">
        <v>8</v>
      </c>
      <c r="G890" t="s">
        <v>53</v>
      </c>
      <c r="H890">
        <v>3</v>
      </c>
      <c r="I890" t="s">
        <v>42</v>
      </c>
      <c r="J890" t="s">
        <v>38</v>
      </c>
      <c r="K890">
        <v>2</v>
      </c>
      <c r="L890" t="s">
        <v>55</v>
      </c>
      <c r="M890">
        <v>3</v>
      </c>
      <c r="N890" t="s">
        <v>68</v>
      </c>
      <c r="O890" t="s">
        <v>41</v>
      </c>
      <c r="P890">
        <v>4</v>
      </c>
      <c r="Q890" t="s">
        <v>42</v>
      </c>
      <c r="R890" t="s">
        <v>58</v>
      </c>
      <c r="S890">
        <v>4</v>
      </c>
      <c r="T890" t="s">
        <v>44</v>
      </c>
      <c r="U890" t="s">
        <v>44</v>
      </c>
      <c r="V890">
        <v>11</v>
      </c>
      <c r="W890" t="s">
        <v>45</v>
      </c>
      <c r="X890">
        <v>16</v>
      </c>
      <c r="Y890">
        <v>2</v>
      </c>
      <c r="Z890" t="s">
        <v>46</v>
      </c>
      <c r="AA890">
        <v>13</v>
      </c>
      <c r="AB890" t="s">
        <v>74</v>
      </c>
      <c r="AC890">
        <v>2</v>
      </c>
      <c r="AD890" t="s">
        <v>48</v>
      </c>
      <c r="AE890">
        <v>4</v>
      </c>
      <c r="AF890" t="s">
        <v>71</v>
      </c>
    </row>
    <row r="891" spans="1:32" x14ac:dyDescent="0.25">
      <c r="A891">
        <v>27</v>
      </c>
      <c r="B891" t="s">
        <v>63</v>
      </c>
      <c r="C891" t="s">
        <v>50</v>
      </c>
      <c r="D891" t="s">
        <v>34</v>
      </c>
      <c r="E891" t="s">
        <v>52</v>
      </c>
      <c r="F891">
        <v>14</v>
      </c>
      <c r="G891" t="s">
        <v>53</v>
      </c>
      <c r="H891">
        <v>1</v>
      </c>
      <c r="I891" t="s">
        <v>37</v>
      </c>
      <c r="J891" t="s">
        <v>54</v>
      </c>
      <c r="K891">
        <v>3</v>
      </c>
      <c r="L891" t="s">
        <v>39</v>
      </c>
      <c r="M891">
        <v>1</v>
      </c>
      <c r="N891" t="s">
        <v>40</v>
      </c>
      <c r="O891" t="s">
        <v>56</v>
      </c>
      <c r="P891">
        <v>1</v>
      </c>
      <c r="Q891" t="s">
        <v>57</v>
      </c>
      <c r="R891" t="s">
        <v>58</v>
      </c>
      <c r="S891">
        <v>1</v>
      </c>
      <c r="T891" t="s">
        <v>44</v>
      </c>
      <c r="U891" t="s">
        <v>44</v>
      </c>
      <c r="V891">
        <v>14</v>
      </c>
      <c r="W891" t="s">
        <v>45</v>
      </c>
      <c r="X891">
        <v>9</v>
      </c>
      <c r="Y891">
        <v>2</v>
      </c>
      <c r="Z891" t="s">
        <v>46</v>
      </c>
      <c r="AA891">
        <v>9</v>
      </c>
      <c r="AB891" t="s">
        <v>47</v>
      </c>
      <c r="AC891">
        <v>7</v>
      </c>
      <c r="AD891" t="s">
        <v>47</v>
      </c>
      <c r="AE891">
        <v>6</v>
      </c>
      <c r="AF891" t="s">
        <v>71</v>
      </c>
    </row>
    <row r="892" spans="1:32" x14ac:dyDescent="0.25">
      <c r="A892">
        <v>54</v>
      </c>
      <c r="B892" t="s">
        <v>64</v>
      </c>
      <c r="C892" t="s">
        <v>50</v>
      </c>
      <c r="D892" t="s">
        <v>51</v>
      </c>
      <c r="E892" t="s">
        <v>52</v>
      </c>
      <c r="F892">
        <v>1</v>
      </c>
      <c r="G892" t="s">
        <v>36</v>
      </c>
      <c r="H892">
        <v>4</v>
      </c>
      <c r="I892" t="s">
        <v>42</v>
      </c>
      <c r="J892" t="s">
        <v>38</v>
      </c>
      <c r="K892">
        <v>3</v>
      </c>
      <c r="L892" t="s">
        <v>39</v>
      </c>
      <c r="M892">
        <v>3</v>
      </c>
      <c r="N892" t="s">
        <v>68</v>
      </c>
      <c r="O892" t="s">
        <v>69</v>
      </c>
      <c r="P892">
        <v>3</v>
      </c>
      <c r="Q892" t="s">
        <v>42</v>
      </c>
      <c r="R892" t="s">
        <v>67</v>
      </c>
      <c r="S892">
        <v>7</v>
      </c>
      <c r="T892" t="s">
        <v>44</v>
      </c>
      <c r="U892" t="s">
        <v>59</v>
      </c>
      <c r="V892">
        <v>17</v>
      </c>
      <c r="W892" t="s">
        <v>45</v>
      </c>
      <c r="X892">
        <v>33</v>
      </c>
      <c r="Y892">
        <v>1</v>
      </c>
      <c r="Z892" t="s">
        <v>46</v>
      </c>
      <c r="AA892">
        <v>5</v>
      </c>
      <c r="AB892" t="s">
        <v>47</v>
      </c>
      <c r="AC892">
        <v>4</v>
      </c>
      <c r="AD892" t="s">
        <v>48</v>
      </c>
      <c r="AE892">
        <v>1</v>
      </c>
      <c r="AF892" t="s">
        <v>49</v>
      </c>
    </row>
    <row r="893" spans="1:32" x14ac:dyDescent="0.25">
      <c r="A893">
        <v>44</v>
      </c>
      <c r="B893" t="s">
        <v>32</v>
      </c>
      <c r="C893" t="s">
        <v>50</v>
      </c>
      <c r="D893" t="s">
        <v>34</v>
      </c>
      <c r="E893" t="s">
        <v>52</v>
      </c>
      <c r="F893">
        <v>2</v>
      </c>
      <c r="G893" t="s">
        <v>36</v>
      </c>
      <c r="H893">
        <v>1</v>
      </c>
      <c r="I893" t="s">
        <v>37</v>
      </c>
      <c r="J893" t="s">
        <v>38</v>
      </c>
      <c r="K893">
        <v>4</v>
      </c>
      <c r="L893" t="s">
        <v>65</v>
      </c>
      <c r="M893">
        <v>1</v>
      </c>
      <c r="N893" t="s">
        <v>40</v>
      </c>
      <c r="O893" t="s">
        <v>56</v>
      </c>
      <c r="P893">
        <v>4</v>
      </c>
      <c r="Q893" t="s">
        <v>42</v>
      </c>
      <c r="R893" t="s">
        <v>58</v>
      </c>
      <c r="S893">
        <v>1</v>
      </c>
      <c r="T893" t="s">
        <v>44</v>
      </c>
      <c r="U893" t="s">
        <v>59</v>
      </c>
      <c r="V893">
        <v>13</v>
      </c>
      <c r="W893" t="s">
        <v>45</v>
      </c>
      <c r="X893">
        <v>10</v>
      </c>
      <c r="Y893">
        <v>3</v>
      </c>
      <c r="Z893" t="s">
        <v>61</v>
      </c>
      <c r="AA893">
        <v>10</v>
      </c>
      <c r="AB893" t="s">
        <v>47</v>
      </c>
      <c r="AC893">
        <v>5</v>
      </c>
      <c r="AD893" t="s">
        <v>47</v>
      </c>
      <c r="AE893">
        <v>7</v>
      </c>
      <c r="AF893" t="s">
        <v>71</v>
      </c>
    </row>
    <row r="894" spans="1:32" x14ac:dyDescent="0.25">
      <c r="A894">
        <v>19</v>
      </c>
      <c r="B894" t="s">
        <v>63</v>
      </c>
      <c r="C894" t="s">
        <v>33</v>
      </c>
      <c r="D894" t="s">
        <v>34</v>
      </c>
      <c r="E894" t="s">
        <v>52</v>
      </c>
      <c r="F894">
        <v>10</v>
      </c>
      <c r="G894" t="s">
        <v>53</v>
      </c>
      <c r="H894">
        <v>1</v>
      </c>
      <c r="I894" t="s">
        <v>37</v>
      </c>
      <c r="J894" t="s">
        <v>38</v>
      </c>
      <c r="K894">
        <v>2</v>
      </c>
      <c r="L894" t="s">
        <v>55</v>
      </c>
      <c r="M894">
        <v>1</v>
      </c>
      <c r="N894" t="s">
        <v>40</v>
      </c>
      <c r="O894" t="s">
        <v>56</v>
      </c>
      <c r="P894">
        <v>2</v>
      </c>
      <c r="Q894" t="s">
        <v>57</v>
      </c>
      <c r="R894" t="s">
        <v>43</v>
      </c>
      <c r="S894">
        <v>1</v>
      </c>
      <c r="T894" t="s">
        <v>44</v>
      </c>
      <c r="U894" t="s">
        <v>44</v>
      </c>
      <c r="V894">
        <v>25</v>
      </c>
      <c r="W894" t="s">
        <v>60</v>
      </c>
      <c r="X894">
        <v>1</v>
      </c>
      <c r="Y894">
        <v>4</v>
      </c>
      <c r="Z894" t="s">
        <v>61</v>
      </c>
      <c r="AA894">
        <v>1</v>
      </c>
      <c r="AB894" t="s">
        <v>48</v>
      </c>
      <c r="AC894">
        <v>1</v>
      </c>
      <c r="AD894" t="s">
        <v>48</v>
      </c>
      <c r="AE894">
        <v>0</v>
      </c>
      <c r="AF894" t="s">
        <v>49</v>
      </c>
    </row>
    <row r="895" spans="1:32" x14ac:dyDescent="0.25">
      <c r="A895">
        <v>29</v>
      </c>
      <c r="B895" t="s">
        <v>63</v>
      </c>
      <c r="C895" t="s">
        <v>50</v>
      </c>
      <c r="D895" t="s">
        <v>34</v>
      </c>
      <c r="E895" t="s">
        <v>52</v>
      </c>
      <c r="F895">
        <v>1</v>
      </c>
      <c r="G895" t="s">
        <v>36</v>
      </c>
      <c r="H895">
        <v>1</v>
      </c>
      <c r="I895" t="s">
        <v>37</v>
      </c>
      <c r="J895" t="s">
        <v>38</v>
      </c>
      <c r="K895">
        <v>3</v>
      </c>
      <c r="L895" t="s">
        <v>39</v>
      </c>
      <c r="M895">
        <v>1</v>
      </c>
      <c r="N895" t="s">
        <v>40</v>
      </c>
      <c r="O895" t="s">
        <v>56</v>
      </c>
      <c r="P895">
        <v>4</v>
      </c>
      <c r="Q895" t="s">
        <v>42</v>
      </c>
      <c r="R895" t="s">
        <v>67</v>
      </c>
      <c r="S895">
        <v>1</v>
      </c>
      <c r="T895" t="s">
        <v>44</v>
      </c>
      <c r="U895" t="s">
        <v>59</v>
      </c>
      <c r="V895">
        <v>15</v>
      </c>
      <c r="W895" t="s">
        <v>45</v>
      </c>
      <c r="X895">
        <v>3</v>
      </c>
      <c r="Y895">
        <v>3</v>
      </c>
      <c r="Z895" t="s">
        <v>61</v>
      </c>
      <c r="AA895">
        <v>3</v>
      </c>
      <c r="AB895" t="s">
        <v>48</v>
      </c>
      <c r="AC895">
        <v>2</v>
      </c>
      <c r="AD895" t="s">
        <v>48</v>
      </c>
      <c r="AE895">
        <v>1</v>
      </c>
      <c r="AF895" t="s">
        <v>49</v>
      </c>
    </row>
    <row r="896" spans="1:32" x14ac:dyDescent="0.25">
      <c r="A896">
        <v>54</v>
      </c>
      <c r="B896" t="s">
        <v>64</v>
      </c>
      <c r="C896" t="s">
        <v>50</v>
      </c>
      <c r="D896" t="s">
        <v>34</v>
      </c>
      <c r="E896" t="s">
        <v>52</v>
      </c>
      <c r="F896">
        <v>3</v>
      </c>
      <c r="G896" t="s">
        <v>36</v>
      </c>
      <c r="H896">
        <v>4</v>
      </c>
      <c r="I896" t="s">
        <v>42</v>
      </c>
      <c r="J896" t="s">
        <v>54</v>
      </c>
      <c r="K896">
        <v>3</v>
      </c>
      <c r="L896" t="s">
        <v>39</v>
      </c>
      <c r="M896">
        <v>4</v>
      </c>
      <c r="N896" t="s">
        <v>72</v>
      </c>
      <c r="O896" t="s">
        <v>76</v>
      </c>
      <c r="P896">
        <v>4</v>
      </c>
      <c r="Q896" t="s">
        <v>42</v>
      </c>
      <c r="R896" t="s">
        <v>58</v>
      </c>
      <c r="S896">
        <v>3</v>
      </c>
      <c r="T896" t="s">
        <v>44</v>
      </c>
      <c r="U896" t="s">
        <v>59</v>
      </c>
      <c r="V896">
        <v>14</v>
      </c>
      <c r="W896" t="s">
        <v>45</v>
      </c>
      <c r="X896">
        <v>36</v>
      </c>
      <c r="Y896">
        <v>3</v>
      </c>
      <c r="Z896" t="s">
        <v>61</v>
      </c>
      <c r="AA896">
        <v>10</v>
      </c>
      <c r="AB896" t="s">
        <v>47</v>
      </c>
      <c r="AC896">
        <v>9</v>
      </c>
      <c r="AD896" t="s">
        <v>47</v>
      </c>
      <c r="AE896">
        <v>0</v>
      </c>
      <c r="AF896" t="s">
        <v>49</v>
      </c>
    </row>
    <row r="897" spans="1:32" x14ac:dyDescent="0.25">
      <c r="A897">
        <v>31</v>
      </c>
      <c r="B897" t="s">
        <v>32</v>
      </c>
      <c r="C897" t="s">
        <v>50</v>
      </c>
      <c r="D897" t="s">
        <v>34</v>
      </c>
      <c r="E897" t="s">
        <v>52</v>
      </c>
      <c r="F897">
        <v>11</v>
      </c>
      <c r="G897" t="s">
        <v>53</v>
      </c>
      <c r="H897">
        <v>3</v>
      </c>
      <c r="I897" t="s">
        <v>42</v>
      </c>
      <c r="J897" t="s">
        <v>54</v>
      </c>
      <c r="K897">
        <v>3</v>
      </c>
      <c r="L897" t="s">
        <v>39</v>
      </c>
      <c r="M897">
        <v>2</v>
      </c>
      <c r="N897" t="s">
        <v>40</v>
      </c>
      <c r="O897" t="s">
        <v>70</v>
      </c>
      <c r="P897">
        <v>1</v>
      </c>
      <c r="Q897" t="s">
        <v>57</v>
      </c>
      <c r="R897" t="s">
        <v>58</v>
      </c>
      <c r="S897">
        <v>1</v>
      </c>
      <c r="T897" t="s">
        <v>44</v>
      </c>
      <c r="U897" t="s">
        <v>44</v>
      </c>
      <c r="V897">
        <v>12</v>
      </c>
      <c r="W897" t="s">
        <v>45</v>
      </c>
      <c r="X897">
        <v>6</v>
      </c>
      <c r="Y897">
        <v>2</v>
      </c>
      <c r="Z897" t="s">
        <v>46</v>
      </c>
      <c r="AA897">
        <v>6</v>
      </c>
      <c r="AB897" t="s">
        <v>47</v>
      </c>
      <c r="AC897">
        <v>5</v>
      </c>
      <c r="AD897" t="s">
        <v>47</v>
      </c>
      <c r="AE897">
        <v>0</v>
      </c>
      <c r="AF897" t="s">
        <v>49</v>
      </c>
    </row>
    <row r="898" spans="1:32" x14ac:dyDescent="0.25">
      <c r="A898">
        <v>31</v>
      </c>
      <c r="B898" t="s">
        <v>32</v>
      </c>
      <c r="C898" t="s">
        <v>50</v>
      </c>
      <c r="D898" t="s">
        <v>34</v>
      </c>
      <c r="E898" t="s">
        <v>52</v>
      </c>
      <c r="F898">
        <v>24</v>
      </c>
      <c r="G898" t="s">
        <v>66</v>
      </c>
      <c r="H898">
        <v>3</v>
      </c>
      <c r="I898" t="s">
        <v>42</v>
      </c>
      <c r="J898" t="s">
        <v>38</v>
      </c>
      <c r="K898">
        <v>2</v>
      </c>
      <c r="L898" t="s">
        <v>55</v>
      </c>
      <c r="M898">
        <v>2</v>
      </c>
      <c r="N898" t="s">
        <v>40</v>
      </c>
      <c r="O898" t="s">
        <v>70</v>
      </c>
      <c r="P898">
        <v>1</v>
      </c>
      <c r="Q898" t="s">
        <v>57</v>
      </c>
      <c r="R898" t="s">
        <v>43</v>
      </c>
      <c r="S898">
        <v>1</v>
      </c>
      <c r="T898" t="s">
        <v>44</v>
      </c>
      <c r="U898" t="s">
        <v>59</v>
      </c>
      <c r="V898">
        <v>19</v>
      </c>
      <c r="W898" t="s">
        <v>45</v>
      </c>
      <c r="X898">
        <v>10</v>
      </c>
      <c r="Y898">
        <v>3</v>
      </c>
      <c r="Z898" t="s">
        <v>61</v>
      </c>
      <c r="AA898">
        <v>10</v>
      </c>
      <c r="AB898" t="s">
        <v>47</v>
      </c>
      <c r="AC898">
        <v>9</v>
      </c>
      <c r="AD898" t="s">
        <v>47</v>
      </c>
      <c r="AE898">
        <v>1</v>
      </c>
      <c r="AF898" t="s">
        <v>49</v>
      </c>
    </row>
    <row r="899" spans="1:32" x14ac:dyDescent="0.25">
      <c r="A899">
        <v>59</v>
      </c>
      <c r="B899" t="s">
        <v>64</v>
      </c>
      <c r="C899" t="s">
        <v>50</v>
      </c>
      <c r="D899" t="s">
        <v>34</v>
      </c>
      <c r="E899" t="s">
        <v>35</v>
      </c>
      <c r="F899">
        <v>3</v>
      </c>
      <c r="G899" t="s">
        <v>36</v>
      </c>
      <c r="H899">
        <v>3</v>
      </c>
      <c r="I899" t="s">
        <v>42</v>
      </c>
      <c r="J899" t="s">
        <v>38</v>
      </c>
      <c r="K899">
        <v>2</v>
      </c>
      <c r="L899" t="s">
        <v>55</v>
      </c>
      <c r="M899">
        <v>2</v>
      </c>
      <c r="N899" t="s">
        <v>40</v>
      </c>
      <c r="O899" t="s">
        <v>41</v>
      </c>
      <c r="P899">
        <v>4</v>
      </c>
      <c r="Q899" t="s">
        <v>42</v>
      </c>
      <c r="R899" t="s">
        <v>43</v>
      </c>
      <c r="S899">
        <v>5</v>
      </c>
      <c r="T899" t="s">
        <v>44</v>
      </c>
      <c r="U899" t="s">
        <v>59</v>
      </c>
      <c r="V899">
        <v>17</v>
      </c>
      <c r="W899" t="s">
        <v>45</v>
      </c>
      <c r="X899">
        <v>13</v>
      </c>
      <c r="Y899">
        <v>3</v>
      </c>
      <c r="Z899" t="s">
        <v>61</v>
      </c>
      <c r="AA899">
        <v>6</v>
      </c>
      <c r="AB899" t="s">
        <v>47</v>
      </c>
      <c r="AC899">
        <v>1</v>
      </c>
      <c r="AD899" t="s">
        <v>48</v>
      </c>
      <c r="AE899">
        <v>0</v>
      </c>
      <c r="AF899" t="s">
        <v>49</v>
      </c>
    </row>
    <row r="900" spans="1:32" x14ac:dyDescent="0.25">
      <c r="A900">
        <v>43</v>
      </c>
      <c r="B900" t="s">
        <v>32</v>
      </c>
      <c r="C900" t="s">
        <v>50</v>
      </c>
      <c r="D900" t="s">
        <v>34</v>
      </c>
      <c r="E900" t="s">
        <v>52</v>
      </c>
      <c r="F900">
        <v>3</v>
      </c>
      <c r="G900" t="s">
        <v>36</v>
      </c>
      <c r="H900">
        <v>3</v>
      </c>
      <c r="I900" t="s">
        <v>42</v>
      </c>
      <c r="J900" t="s">
        <v>54</v>
      </c>
      <c r="K900">
        <v>1</v>
      </c>
      <c r="L900" t="s">
        <v>55</v>
      </c>
      <c r="M900">
        <v>5</v>
      </c>
      <c r="N900" t="s">
        <v>72</v>
      </c>
      <c r="O900" t="s">
        <v>76</v>
      </c>
      <c r="P900">
        <v>4</v>
      </c>
      <c r="Q900" t="s">
        <v>42</v>
      </c>
      <c r="R900" t="s">
        <v>58</v>
      </c>
      <c r="S900">
        <v>3</v>
      </c>
      <c r="T900" t="s">
        <v>44</v>
      </c>
      <c r="U900" t="s">
        <v>59</v>
      </c>
      <c r="V900">
        <v>14</v>
      </c>
      <c r="W900" t="s">
        <v>45</v>
      </c>
      <c r="X900">
        <v>25</v>
      </c>
      <c r="Y900">
        <v>3</v>
      </c>
      <c r="Z900" t="s">
        <v>61</v>
      </c>
      <c r="AA900">
        <v>8</v>
      </c>
      <c r="AB900" t="s">
        <v>47</v>
      </c>
      <c r="AC900">
        <v>7</v>
      </c>
      <c r="AD900" t="s">
        <v>47</v>
      </c>
      <c r="AE900">
        <v>0</v>
      </c>
      <c r="AF900" t="s">
        <v>49</v>
      </c>
    </row>
    <row r="901" spans="1:32" x14ac:dyDescent="0.25">
      <c r="A901">
        <v>49</v>
      </c>
      <c r="B901" t="s">
        <v>32</v>
      </c>
      <c r="C901" t="s">
        <v>50</v>
      </c>
      <c r="D901" t="s">
        <v>34</v>
      </c>
      <c r="E901" t="s">
        <v>52</v>
      </c>
      <c r="F901">
        <v>4</v>
      </c>
      <c r="G901" t="s">
        <v>36</v>
      </c>
      <c r="H901">
        <v>1</v>
      </c>
      <c r="I901" t="s">
        <v>37</v>
      </c>
      <c r="J901" t="s">
        <v>54</v>
      </c>
      <c r="K901">
        <v>2</v>
      </c>
      <c r="L901" t="s">
        <v>55</v>
      </c>
      <c r="M901">
        <v>5</v>
      </c>
      <c r="N901" t="s">
        <v>72</v>
      </c>
      <c r="O901" t="s">
        <v>73</v>
      </c>
      <c r="P901">
        <v>3</v>
      </c>
      <c r="Q901" t="s">
        <v>42</v>
      </c>
      <c r="R901" t="s">
        <v>58</v>
      </c>
      <c r="S901">
        <v>2</v>
      </c>
      <c r="T901" t="s">
        <v>44</v>
      </c>
      <c r="U901" t="s">
        <v>59</v>
      </c>
      <c r="V901">
        <v>13</v>
      </c>
      <c r="W901" t="s">
        <v>45</v>
      </c>
      <c r="X901">
        <v>23</v>
      </c>
      <c r="Y901">
        <v>4</v>
      </c>
      <c r="Z901" t="s">
        <v>61</v>
      </c>
      <c r="AA901">
        <v>1</v>
      </c>
      <c r="AB901" t="s">
        <v>48</v>
      </c>
      <c r="AC901">
        <v>0</v>
      </c>
      <c r="AD901" t="s">
        <v>48</v>
      </c>
      <c r="AE901">
        <v>0</v>
      </c>
      <c r="AF901" t="s">
        <v>49</v>
      </c>
    </row>
    <row r="902" spans="1:32" x14ac:dyDescent="0.25">
      <c r="A902">
        <v>36</v>
      </c>
      <c r="B902" t="s">
        <v>32</v>
      </c>
      <c r="C902" t="s">
        <v>50</v>
      </c>
      <c r="D902" t="s">
        <v>51</v>
      </c>
      <c r="E902" t="s">
        <v>52</v>
      </c>
      <c r="F902">
        <v>3</v>
      </c>
      <c r="G902" t="s">
        <v>36</v>
      </c>
      <c r="H902">
        <v>3</v>
      </c>
      <c r="I902" t="s">
        <v>42</v>
      </c>
      <c r="J902" t="s">
        <v>54</v>
      </c>
      <c r="K902">
        <v>3</v>
      </c>
      <c r="L902" t="s">
        <v>39</v>
      </c>
      <c r="M902">
        <v>1</v>
      </c>
      <c r="N902" t="s">
        <v>40</v>
      </c>
      <c r="O902" t="s">
        <v>56</v>
      </c>
      <c r="P902">
        <v>2</v>
      </c>
      <c r="Q902" t="s">
        <v>57</v>
      </c>
      <c r="R902" t="s">
        <v>58</v>
      </c>
      <c r="S902">
        <v>1</v>
      </c>
      <c r="T902" t="s">
        <v>44</v>
      </c>
      <c r="U902" t="s">
        <v>59</v>
      </c>
      <c r="V902">
        <v>12</v>
      </c>
      <c r="W902" t="s">
        <v>45</v>
      </c>
      <c r="X902">
        <v>12</v>
      </c>
      <c r="Y902">
        <v>2</v>
      </c>
      <c r="Z902" t="s">
        <v>46</v>
      </c>
      <c r="AA902">
        <v>11</v>
      </c>
      <c r="AB902" t="s">
        <v>74</v>
      </c>
      <c r="AC902">
        <v>10</v>
      </c>
      <c r="AD902" t="s">
        <v>47</v>
      </c>
      <c r="AE902">
        <v>0</v>
      </c>
      <c r="AF902" t="s">
        <v>49</v>
      </c>
    </row>
    <row r="903" spans="1:32" x14ac:dyDescent="0.25">
      <c r="A903">
        <v>48</v>
      </c>
      <c r="B903" t="s">
        <v>32</v>
      </c>
      <c r="C903" t="s">
        <v>50</v>
      </c>
      <c r="D903" t="s">
        <v>34</v>
      </c>
      <c r="E903" t="s">
        <v>52</v>
      </c>
      <c r="F903">
        <v>2</v>
      </c>
      <c r="G903" t="s">
        <v>36</v>
      </c>
      <c r="H903">
        <v>4</v>
      </c>
      <c r="I903" t="s">
        <v>42</v>
      </c>
      <c r="J903" t="s">
        <v>54</v>
      </c>
      <c r="K903">
        <v>4</v>
      </c>
      <c r="L903" t="s">
        <v>65</v>
      </c>
      <c r="M903">
        <v>1</v>
      </c>
      <c r="N903" t="s">
        <v>40</v>
      </c>
      <c r="O903" t="s">
        <v>62</v>
      </c>
      <c r="P903">
        <v>2</v>
      </c>
      <c r="Q903" t="s">
        <v>57</v>
      </c>
      <c r="R903" t="s">
        <v>43</v>
      </c>
      <c r="S903">
        <v>5</v>
      </c>
      <c r="T903" t="s">
        <v>44</v>
      </c>
      <c r="U903" t="s">
        <v>59</v>
      </c>
      <c r="V903">
        <v>11</v>
      </c>
      <c r="W903" t="s">
        <v>45</v>
      </c>
      <c r="X903">
        <v>7</v>
      </c>
      <c r="Y903">
        <v>2</v>
      </c>
      <c r="Z903" t="s">
        <v>46</v>
      </c>
      <c r="AA903">
        <v>1</v>
      </c>
      <c r="AB903" t="s">
        <v>48</v>
      </c>
      <c r="AC903">
        <v>0</v>
      </c>
      <c r="AD903" t="s">
        <v>48</v>
      </c>
      <c r="AE903">
        <v>0</v>
      </c>
      <c r="AF903" t="s">
        <v>49</v>
      </c>
    </row>
    <row r="904" spans="1:32" x14ac:dyDescent="0.25">
      <c r="A904">
        <v>27</v>
      </c>
      <c r="B904" t="s">
        <v>63</v>
      </c>
      <c r="C904" t="s">
        <v>50</v>
      </c>
      <c r="D904" t="s">
        <v>34</v>
      </c>
      <c r="E904" t="s">
        <v>52</v>
      </c>
      <c r="F904">
        <v>4</v>
      </c>
      <c r="G904" t="s">
        <v>36</v>
      </c>
      <c r="H904">
        <v>1</v>
      </c>
      <c r="I904" t="s">
        <v>37</v>
      </c>
      <c r="J904" t="s">
        <v>54</v>
      </c>
      <c r="K904">
        <v>3</v>
      </c>
      <c r="L904" t="s">
        <v>39</v>
      </c>
      <c r="M904">
        <v>1</v>
      </c>
      <c r="N904" t="s">
        <v>40</v>
      </c>
      <c r="O904" t="s">
        <v>56</v>
      </c>
      <c r="P904">
        <v>3</v>
      </c>
      <c r="Q904" t="s">
        <v>42</v>
      </c>
      <c r="R904" t="s">
        <v>67</v>
      </c>
      <c r="S904">
        <v>1</v>
      </c>
      <c r="T904" t="s">
        <v>44</v>
      </c>
      <c r="U904" t="s">
        <v>59</v>
      </c>
      <c r="V904">
        <v>11</v>
      </c>
      <c r="W904" t="s">
        <v>45</v>
      </c>
      <c r="X904">
        <v>5</v>
      </c>
      <c r="Y904">
        <v>3</v>
      </c>
      <c r="Z904" t="s">
        <v>61</v>
      </c>
      <c r="AA904">
        <v>5</v>
      </c>
      <c r="AB904" t="s">
        <v>47</v>
      </c>
      <c r="AC904">
        <v>3</v>
      </c>
      <c r="AD904" t="s">
        <v>48</v>
      </c>
      <c r="AE904">
        <v>0</v>
      </c>
      <c r="AF904" t="s">
        <v>49</v>
      </c>
    </row>
    <row r="905" spans="1:32" x14ac:dyDescent="0.25">
      <c r="A905">
        <v>29</v>
      </c>
      <c r="B905" t="s">
        <v>63</v>
      </c>
      <c r="C905" t="s">
        <v>50</v>
      </c>
      <c r="D905" t="s">
        <v>34</v>
      </c>
      <c r="E905" t="s">
        <v>52</v>
      </c>
      <c r="F905">
        <v>7</v>
      </c>
      <c r="G905" t="s">
        <v>53</v>
      </c>
      <c r="H905">
        <v>3</v>
      </c>
      <c r="I905" t="s">
        <v>42</v>
      </c>
      <c r="J905" t="s">
        <v>54</v>
      </c>
      <c r="K905">
        <v>3</v>
      </c>
      <c r="L905" t="s">
        <v>39</v>
      </c>
      <c r="M905">
        <v>2</v>
      </c>
      <c r="N905" t="s">
        <v>40</v>
      </c>
      <c r="O905" t="s">
        <v>70</v>
      </c>
      <c r="P905">
        <v>4</v>
      </c>
      <c r="Q905" t="s">
        <v>42</v>
      </c>
      <c r="R905" t="s">
        <v>67</v>
      </c>
      <c r="S905">
        <v>1</v>
      </c>
      <c r="T905" t="s">
        <v>44</v>
      </c>
      <c r="U905" t="s">
        <v>44</v>
      </c>
      <c r="V905">
        <v>11</v>
      </c>
      <c r="W905" t="s">
        <v>45</v>
      </c>
      <c r="X905">
        <v>6</v>
      </c>
      <c r="Y905">
        <v>3</v>
      </c>
      <c r="Z905" t="s">
        <v>61</v>
      </c>
      <c r="AA905">
        <v>6</v>
      </c>
      <c r="AB905" t="s">
        <v>47</v>
      </c>
      <c r="AC905">
        <v>0</v>
      </c>
      <c r="AD905" t="s">
        <v>48</v>
      </c>
      <c r="AE905">
        <v>1</v>
      </c>
      <c r="AF905" t="s">
        <v>49</v>
      </c>
    </row>
    <row r="906" spans="1:32" x14ac:dyDescent="0.25">
      <c r="A906">
        <v>48</v>
      </c>
      <c r="B906" t="s">
        <v>32</v>
      </c>
      <c r="C906" t="s">
        <v>50</v>
      </c>
      <c r="D906" t="s">
        <v>34</v>
      </c>
      <c r="E906" t="s">
        <v>52</v>
      </c>
      <c r="F906">
        <v>1</v>
      </c>
      <c r="G906" t="s">
        <v>36</v>
      </c>
      <c r="H906">
        <v>4</v>
      </c>
      <c r="I906" t="s">
        <v>42</v>
      </c>
      <c r="J906" t="s">
        <v>54</v>
      </c>
      <c r="K906">
        <v>2</v>
      </c>
      <c r="L906" t="s">
        <v>55</v>
      </c>
      <c r="M906">
        <v>5</v>
      </c>
      <c r="N906" t="s">
        <v>72</v>
      </c>
      <c r="O906" t="s">
        <v>76</v>
      </c>
      <c r="P906">
        <v>4</v>
      </c>
      <c r="Q906" t="s">
        <v>42</v>
      </c>
      <c r="R906" t="s">
        <v>43</v>
      </c>
      <c r="S906">
        <v>6</v>
      </c>
      <c r="T906" t="s">
        <v>44</v>
      </c>
      <c r="U906" t="s">
        <v>59</v>
      </c>
      <c r="V906">
        <v>12</v>
      </c>
      <c r="W906" t="s">
        <v>45</v>
      </c>
      <c r="X906">
        <v>25</v>
      </c>
      <c r="Y906">
        <v>4</v>
      </c>
      <c r="Z906" t="s">
        <v>61</v>
      </c>
      <c r="AA906">
        <v>1</v>
      </c>
      <c r="AB906" t="s">
        <v>48</v>
      </c>
      <c r="AC906">
        <v>0</v>
      </c>
      <c r="AD906" t="s">
        <v>48</v>
      </c>
      <c r="AE906">
        <v>0</v>
      </c>
      <c r="AF906" t="s">
        <v>49</v>
      </c>
    </row>
    <row r="907" spans="1:32" x14ac:dyDescent="0.25">
      <c r="A907">
        <v>29</v>
      </c>
      <c r="B907" t="s">
        <v>63</v>
      </c>
      <c r="C907" t="s">
        <v>50</v>
      </c>
      <c r="D907" t="s">
        <v>34</v>
      </c>
      <c r="E907" t="s">
        <v>52</v>
      </c>
      <c r="F907">
        <v>1</v>
      </c>
      <c r="G907" t="s">
        <v>36</v>
      </c>
      <c r="H907">
        <v>4</v>
      </c>
      <c r="I907" t="s">
        <v>42</v>
      </c>
      <c r="J907" t="s">
        <v>38</v>
      </c>
      <c r="K907">
        <v>2</v>
      </c>
      <c r="L907" t="s">
        <v>55</v>
      </c>
      <c r="M907">
        <v>4</v>
      </c>
      <c r="N907" t="s">
        <v>72</v>
      </c>
      <c r="O907" t="s">
        <v>76</v>
      </c>
      <c r="P907">
        <v>4</v>
      </c>
      <c r="Q907" t="s">
        <v>42</v>
      </c>
      <c r="R907" t="s">
        <v>67</v>
      </c>
      <c r="S907">
        <v>3</v>
      </c>
      <c r="T907" t="s">
        <v>44</v>
      </c>
      <c r="U907" t="s">
        <v>59</v>
      </c>
      <c r="V907">
        <v>14</v>
      </c>
      <c r="W907" t="s">
        <v>45</v>
      </c>
      <c r="X907">
        <v>9</v>
      </c>
      <c r="Y907">
        <v>2</v>
      </c>
      <c r="Z907" t="s">
        <v>46</v>
      </c>
      <c r="AA907">
        <v>7</v>
      </c>
      <c r="AB907" t="s">
        <v>47</v>
      </c>
      <c r="AC907">
        <v>7</v>
      </c>
      <c r="AD907" t="s">
        <v>47</v>
      </c>
      <c r="AE907">
        <v>1</v>
      </c>
      <c r="AF907" t="s">
        <v>49</v>
      </c>
    </row>
    <row r="908" spans="1:32" x14ac:dyDescent="0.25">
      <c r="A908">
        <v>34</v>
      </c>
      <c r="B908" t="s">
        <v>32</v>
      </c>
      <c r="C908" t="s">
        <v>50</v>
      </c>
      <c r="D908" t="s">
        <v>34</v>
      </c>
      <c r="E908" t="s">
        <v>52</v>
      </c>
      <c r="F908">
        <v>20</v>
      </c>
      <c r="G908" t="s">
        <v>66</v>
      </c>
      <c r="H908">
        <v>3</v>
      </c>
      <c r="I908" t="s">
        <v>42</v>
      </c>
      <c r="J908" t="s">
        <v>38</v>
      </c>
      <c r="K908">
        <v>4</v>
      </c>
      <c r="L908" t="s">
        <v>65</v>
      </c>
      <c r="M908">
        <v>1</v>
      </c>
      <c r="N908" t="s">
        <v>40</v>
      </c>
      <c r="O908" t="s">
        <v>56</v>
      </c>
      <c r="P908">
        <v>3</v>
      </c>
      <c r="Q908" t="s">
        <v>42</v>
      </c>
      <c r="R908" t="s">
        <v>58</v>
      </c>
      <c r="S908">
        <v>0</v>
      </c>
      <c r="T908" t="s">
        <v>44</v>
      </c>
      <c r="U908" t="s">
        <v>59</v>
      </c>
      <c r="V908">
        <v>17</v>
      </c>
      <c r="W908" t="s">
        <v>45</v>
      </c>
      <c r="X908">
        <v>2</v>
      </c>
      <c r="Y908">
        <v>2</v>
      </c>
      <c r="Z908" t="s">
        <v>46</v>
      </c>
      <c r="AA908">
        <v>1</v>
      </c>
      <c r="AB908" t="s">
        <v>48</v>
      </c>
      <c r="AC908">
        <v>0</v>
      </c>
      <c r="AD908" t="s">
        <v>48</v>
      </c>
      <c r="AE908">
        <v>0</v>
      </c>
      <c r="AF908" t="s">
        <v>49</v>
      </c>
    </row>
    <row r="909" spans="1:32" x14ac:dyDescent="0.25">
      <c r="A909">
        <v>44</v>
      </c>
      <c r="B909" t="s">
        <v>32</v>
      </c>
      <c r="C909" t="s">
        <v>50</v>
      </c>
      <c r="D909" t="s">
        <v>34</v>
      </c>
      <c r="E909" t="s">
        <v>35</v>
      </c>
      <c r="F909">
        <v>5</v>
      </c>
      <c r="G909" t="s">
        <v>36</v>
      </c>
      <c r="H909">
        <v>2</v>
      </c>
      <c r="I909" t="s">
        <v>37</v>
      </c>
      <c r="J909" t="s">
        <v>54</v>
      </c>
      <c r="K909">
        <v>3</v>
      </c>
      <c r="L909" t="s">
        <v>39</v>
      </c>
      <c r="M909">
        <v>5</v>
      </c>
      <c r="N909" t="s">
        <v>72</v>
      </c>
      <c r="O909" t="s">
        <v>73</v>
      </c>
      <c r="P909">
        <v>2</v>
      </c>
      <c r="Q909" t="s">
        <v>57</v>
      </c>
      <c r="R909" t="s">
        <v>58</v>
      </c>
      <c r="S909">
        <v>7</v>
      </c>
      <c r="T909" t="s">
        <v>44</v>
      </c>
      <c r="U909" t="s">
        <v>59</v>
      </c>
      <c r="V909">
        <v>11</v>
      </c>
      <c r="W909" t="s">
        <v>45</v>
      </c>
      <c r="X909">
        <v>26</v>
      </c>
      <c r="Y909">
        <v>3</v>
      </c>
      <c r="Z909" t="s">
        <v>61</v>
      </c>
      <c r="AA909">
        <v>22</v>
      </c>
      <c r="AB909" t="s">
        <v>74</v>
      </c>
      <c r="AC909">
        <v>9</v>
      </c>
      <c r="AD909" t="s">
        <v>47</v>
      </c>
      <c r="AE909">
        <v>3</v>
      </c>
      <c r="AF909" t="s">
        <v>49</v>
      </c>
    </row>
    <row r="910" spans="1:32" x14ac:dyDescent="0.25">
      <c r="A910">
        <v>33</v>
      </c>
      <c r="B910" t="s">
        <v>32</v>
      </c>
      <c r="C910" t="s">
        <v>50</v>
      </c>
      <c r="D910" t="s">
        <v>34</v>
      </c>
      <c r="E910" t="s">
        <v>35</v>
      </c>
      <c r="F910">
        <v>10</v>
      </c>
      <c r="G910" t="s">
        <v>53</v>
      </c>
      <c r="H910">
        <v>4</v>
      </c>
      <c r="I910" t="s">
        <v>42</v>
      </c>
      <c r="J910" t="s">
        <v>54</v>
      </c>
      <c r="K910">
        <v>4</v>
      </c>
      <c r="L910" t="s">
        <v>65</v>
      </c>
      <c r="M910">
        <v>3</v>
      </c>
      <c r="N910" t="s">
        <v>68</v>
      </c>
      <c r="O910" t="s">
        <v>41</v>
      </c>
      <c r="P910">
        <v>3</v>
      </c>
      <c r="Q910" t="s">
        <v>42</v>
      </c>
      <c r="R910" t="s">
        <v>67</v>
      </c>
      <c r="S910">
        <v>0</v>
      </c>
      <c r="T910" t="s">
        <v>44</v>
      </c>
      <c r="U910" t="s">
        <v>44</v>
      </c>
      <c r="V910">
        <v>14</v>
      </c>
      <c r="W910" t="s">
        <v>45</v>
      </c>
      <c r="X910">
        <v>10</v>
      </c>
      <c r="Y910">
        <v>3</v>
      </c>
      <c r="Z910" t="s">
        <v>61</v>
      </c>
      <c r="AA910">
        <v>9</v>
      </c>
      <c r="AB910" t="s">
        <v>47</v>
      </c>
      <c r="AC910">
        <v>8</v>
      </c>
      <c r="AD910" t="s">
        <v>47</v>
      </c>
      <c r="AE910">
        <v>0</v>
      </c>
      <c r="AF910" t="s">
        <v>49</v>
      </c>
    </row>
    <row r="911" spans="1:32" x14ac:dyDescent="0.25">
      <c r="A911">
        <v>19</v>
      </c>
      <c r="B911" t="s">
        <v>63</v>
      </c>
      <c r="C911" t="s">
        <v>50</v>
      </c>
      <c r="D911" t="s">
        <v>34</v>
      </c>
      <c r="E911" t="s">
        <v>52</v>
      </c>
      <c r="F911">
        <v>25</v>
      </c>
      <c r="G911" t="s">
        <v>66</v>
      </c>
      <c r="H911">
        <v>2</v>
      </c>
      <c r="I911" t="s">
        <v>37</v>
      </c>
      <c r="J911" t="s">
        <v>38</v>
      </c>
      <c r="K911">
        <v>4</v>
      </c>
      <c r="L911" t="s">
        <v>65</v>
      </c>
      <c r="M911">
        <v>1</v>
      </c>
      <c r="N911" t="s">
        <v>40</v>
      </c>
      <c r="O911" t="s">
        <v>56</v>
      </c>
      <c r="P911">
        <v>4</v>
      </c>
      <c r="Q911" t="s">
        <v>42</v>
      </c>
      <c r="R911" t="s">
        <v>43</v>
      </c>
      <c r="S911">
        <v>1</v>
      </c>
      <c r="T911" t="s">
        <v>44</v>
      </c>
      <c r="U911" t="s">
        <v>44</v>
      </c>
      <c r="V911">
        <v>12</v>
      </c>
      <c r="W911" t="s">
        <v>45</v>
      </c>
      <c r="X911">
        <v>1</v>
      </c>
      <c r="Y911">
        <v>3</v>
      </c>
      <c r="Z911" t="s">
        <v>61</v>
      </c>
      <c r="AA911">
        <v>1</v>
      </c>
      <c r="AB911" t="s">
        <v>48</v>
      </c>
      <c r="AC911">
        <v>0</v>
      </c>
      <c r="AD911" t="s">
        <v>48</v>
      </c>
      <c r="AE911">
        <v>0</v>
      </c>
      <c r="AF911" t="s">
        <v>49</v>
      </c>
    </row>
    <row r="912" spans="1:32" x14ac:dyDescent="0.25">
      <c r="A912">
        <v>23</v>
      </c>
      <c r="B912" t="s">
        <v>63</v>
      </c>
      <c r="C912" t="s">
        <v>50</v>
      </c>
      <c r="D912" t="s">
        <v>34</v>
      </c>
      <c r="E912" t="s">
        <v>52</v>
      </c>
      <c r="F912">
        <v>1</v>
      </c>
      <c r="G912" t="s">
        <v>36</v>
      </c>
      <c r="H912">
        <v>4</v>
      </c>
      <c r="I912" t="s">
        <v>42</v>
      </c>
      <c r="J912" t="s">
        <v>54</v>
      </c>
      <c r="K912">
        <v>3</v>
      </c>
      <c r="L912" t="s">
        <v>39</v>
      </c>
      <c r="M912">
        <v>1</v>
      </c>
      <c r="N912" t="s">
        <v>40</v>
      </c>
      <c r="O912" t="s">
        <v>56</v>
      </c>
      <c r="P912">
        <v>3</v>
      </c>
      <c r="Q912" t="s">
        <v>42</v>
      </c>
      <c r="R912" t="s">
        <v>58</v>
      </c>
      <c r="S912">
        <v>1</v>
      </c>
      <c r="T912" t="s">
        <v>44</v>
      </c>
      <c r="U912" t="s">
        <v>59</v>
      </c>
      <c r="V912">
        <v>22</v>
      </c>
      <c r="W912" t="s">
        <v>60</v>
      </c>
      <c r="X912">
        <v>1</v>
      </c>
      <c r="Y912">
        <v>3</v>
      </c>
      <c r="Z912" t="s">
        <v>61</v>
      </c>
      <c r="AA912">
        <v>1</v>
      </c>
      <c r="AB912" t="s">
        <v>48</v>
      </c>
      <c r="AC912">
        <v>0</v>
      </c>
      <c r="AD912" t="s">
        <v>48</v>
      </c>
      <c r="AE912">
        <v>0</v>
      </c>
      <c r="AF912" t="s">
        <v>49</v>
      </c>
    </row>
    <row r="913" spans="1:32" x14ac:dyDescent="0.25">
      <c r="A913">
        <v>25</v>
      </c>
      <c r="B913" t="s">
        <v>63</v>
      </c>
      <c r="C913" t="s">
        <v>33</v>
      </c>
      <c r="D913" t="s">
        <v>51</v>
      </c>
      <c r="E913" t="s">
        <v>35</v>
      </c>
      <c r="F913">
        <v>24</v>
      </c>
      <c r="G913" t="s">
        <v>66</v>
      </c>
      <c r="H913">
        <v>3</v>
      </c>
      <c r="I913" t="s">
        <v>42</v>
      </c>
      <c r="J913" t="s">
        <v>54</v>
      </c>
      <c r="K913">
        <v>1</v>
      </c>
      <c r="L913" t="s">
        <v>55</v>
      </c>
      <c r="M913">
        <v>1</v>
      </c>
      <c r="N913" t="s">
        <v>40</v>
      </c>
      <c r="O913" t="s">
        <v>75</v>
      </c>
      <c r="P913">
        <v>4</v>
      </c>
      <c r="Q913" t="s">
        <v>42</v>
      </c>
      <c r="R913" t="s">
        <v>43</v>
      </c>
      <c r="S913">
        <v>1</v>
      </c>
      <c r="T913" t="s">
        <v>44</v>
      </c>
      <c r="U913" t="s">
        <v>44</v>
      </c>
      <c r="V913">
        <v>14</v>
      </c>
      <c r="W913" t="s">
        <v>45</v>
      </c>
      <c r="X913">
        <v>1</v>
      </c>
      <c r="Y913">
        <v>3</v>
      </c>
      <c r="Z913" t="s">
        <v>61</v>
      </c>
      <c r="AA913">
        <v>1</v>
      </c>
      <c r="AB913" t="s">
        <v>48</v>
      </c>
      <c r="AC913">
        <v>0</v>
      </c>
      <c r="AD913" t="s">
        <v>48</v>
      </c>
      <c r="AE913">
        <v>1</v>
      </c>
      <c r="AF913" t="s">
        <v>49</v>
      </c>
    </row>
    <row r="914" spans="1:32" x14ac:dyDescent="0.25">
      <c r="A914">
        <v>26</v>
      </c>
      <c r="B914" t="s">
        <v>63</v>
      </c>
      <c r="C914" t="s">
        <v>50</v>
      </c>
      <c r="D914" t="s">
        <v>34</v>
      </c>
      <c r="E914" t="s">
        <v>52</v>
      </c>
      <c r="F914">
        <v>4</v>
      </c>
      <c r="G914" t="s">
        <v>36</v>
      </c>
      <c r="H914">
        <v>3</v>
      </c>
      <c r="I914" t="s">
        <v>42</v>
      </c>
      <c r="J914" t="s">
        <v>54</v>
      </c>
      <c r="K914">
        <v>3</v>
      </c>
      <c r="L914" t="s">
        <v>39</v>
      </c>
      <c r="M914">
        <v>1</v>
      </c>
      <c r="N914" t="s">
        <v>40</v>
      </c>
      <c r="O914" t="s">
        <v>56</v>
      </c>
      <c r="P914">
        <v>4</v>
      </c>
      <c r="Q914" t="s">
        <v>42</v>
      </c>
      <c r="R914" t="s">
        <v>43</v>
      </c>
      <c r="S914">
        <v>1</v>
      </c>
      <c r="T914" t="s">
        <v>44</v>
      </c>
      <c r="U914" t="s">
        <v>44</v>
      </c>
      <c r="V914">
        <v>20</v>
      </c>
      <c r="W914" t="s">
        <v>60</v>
      </c>
      <c r="X914">
        <v>8</v>
      </c>
      <c r="Y914">
        <v>2</v>
      </c>
      <c r="Z914" t="s">
        <v>46</v>
      </c>
      <c r="AA914">
        <v>8</v>
      </c>
      <c r="AB914" t="s">
        <v>47</v>
      </c>
      <c r="AC914">
        <v>5</v>
      </c>
      <c r="AD914" t="s">
        <v>47</v>
      </c>
      <c r="AE914">
        <v>2</v>
      </c>
      <c r="AF914" t="s">
        <v>49</v>
      </c>
    </row>
    <row r="915" spans="1:32" x14ac:dyDescent="0.25">
      <c r="A915">
        <v>45</v>
      </c>
      <c r="B915" t="s">
        <v>32</v>
      </c>
      <c r="C915" t="s">
        <v>33</v>
      </c>
      <c r="D915" t="s">
        <v>34</v>
      </c>
      <c r="E915" t="s">
        <v>35</v>
      </c>
      <c r="F915">
        <v>2</v>
      </c>
      <c r="G915" t="s">
        <v>36</v>
      </c>
      <c r="H915">
        <v>1</v>
      </c>
      <c r="I915" t="s">
        <v>37</v>
      </c>
      <c r="J915" t="s">
        <v>38</v>
      </c>
      <c r="K915">
        <v>1</v>
      </c>
      <c r="L915" t="s">
        <v>55</v>
      </c>
      <c r="M915">
        <v>5</v>
      </c>
      <c r="N915" t="s">
        <v>72</v>
      </c>
      <c r="O915" t="s">
        <v>73</v>
      </c>
      <c r="P915">
        <v>2</v>
      </c>
      <c r="Q915" t="s">
        <v>57</v>
      </c>
      <c r="R915" t="s">
        <v>43</v>
      </c>
      <c r="S915">
        <v>2</v>
      </c>
      <c r="T915" t="s">
        <v>44</v>
      </c>
      <c r="U915" t="s">
        <v>44</v>
      </c>
      <c r="V915">
        <v>16</v>
      </c>
      <c r="W915" t="s">
        <v>45</v>
      </c>
      <c r="X915">
        <v>26</v>
      </c>
      <c r="Y915">
        <v>3</v>
      </c>
      <c r="Z915" t="s">
        <v>61</v>
      </c>
      <c r="AA915">
        <v>24</v>
      </c>
      <c r="AB915" t="s">
        <v>74</v>
      </c>
      <c r="AC915">
        <v>10</v>
      </c>
      <c r="AD915" t="s">
        <v>47</v>
      </c>
      <c r="AE915">
        <v>1</v>
      </c>
      <c r="AF915" t="s">
        <v>49</v>
      </c>
    </row>
    <row r="916" spans="1:32" x14ac:dyDescent="0.25">
      <c r="A916">
        <v>55</v>
      </c>
      <c r="B916" t="s">
        <v>64</v>
      </c>
      <c r="C916" t="s">
        <v>50</v>
      </c>
      <c r="D916" t="s">
        <v>34</v>
      </c>
      <c r="E916" t="s">
        <v>52</v>
      </c>
      <c r="F916">
        <v>8</v>
      </c>
      <c r="G916" t="s">
        <v>53</v>
      </c>
      <c r="H916">
        <v>4</v>
      </c>
      <c r="I916" t="s">
        <v>42</v>
      </c>
      <c r="J916" t="s">
        <v>54</v>
      </c>
      <c r="K916">
        <v>2</v>
      </c>
      <c r="L916" t="s">
        <v>55</v>
      </c>
      <c r="M916">
        <v>4</v>
      </c>
      <c r="N916" t="s">
        <v>72</v>
      </c>
      <c r="O916" t="s">
        <v>70</v>
      </c>
      <c r="P916">
        <v>2</v>
      </c>
      <c r="Q916" t="s">
        <v>57</v>
      </c>
      <c r="R916" t="s">
        <v>67</v>
      </c>
      <c r="S916">
        <v>1</v>
      </c>
      <c r="T916" t="s">
        <v>44</v>
      </c>
      <c r="U916" t="s">
        <v>44</v>
      </c>
      <c r="V916">
        <v>15</v>
      </c>
      <c r="W916" t="s">
        <v>45</v>
      </c>
      <c r="X916">
        <v>34</v>
      </c>
      <c r="Y916">
        <v>3</v>
      </c>
      <c r="Z916" t="s">
        <v>61</v>
      </c>
      <c r="AA916">
        <v>33</v>
      </c>
      <c r="AB916" t="s">
        <v>74</v>
      </c>
      <c r="AC916">
        <v>9</v>
      </c>
      <c r="AD916" t="s">
        <v>47</v>
      </c>
      <c r="AE916">
        <v>15</v>
      </c>
      <c r="AF916" t="s">
        <v>71</v>
      </c>
    </row>
    <row r="917" spans="1:32" x14ac:dyDescent="0.25">
      <c r="A917">
        <v>21</v>
      </c>
      <c r="B917" t="s">
        <v>63</v>
      </c>
      <c r="C917" t="s">
        <v>33</v>
      </c>
      <c r="D917" t="s">
        <v>51</v>
      </c>
      <c r="E917" t="s">
        <v>52</v>
      </c>
      <c r="F917">
        <v>10</v>
      </c>
      <c r="G917" t="s">
        <v>53</v>
      </c>
      <c r="H917">
        <v>1</v>
      </c>
      <c r="I917" t="s">
        <v>37</v>
      </c>
      <c r="J917" t="s">
        <v>38</v>
      </c>
      <c r="K917">
        <v>2</v>
      </c>
      <c r="L917" t="s">
        <v>55</v>
      </c>
      <c r="M917">
        <v>1</v>
      </c>
      <c r="N917" t="s">
        <v>40</v>
      </c>
      <c r="O917" t="s">
        <v>62</v>
      </c>
      <c r="P917">
        <v>3</v>
      </c>
      <c r="Q917" t="s">
        <v>42</v>
      </c>
      <c r="R917" t="s">
        <v>43</v>
      </c>
      <c r="S917">
        <v>1</v>
      </c>
      <c r="T917" t="s">
        <v>44</v>
      </c>
      <c r="U917" t="s">
        <v>59</v>
      </c>
      <c r="V917">
        <v>20</v>
      </c>
      <c r="W917" t="s">
        <v>60</v>
      </c>
      <c r="X917">
        <v>2</v>
      </c>
      <c r="Y917">
        <v>1</v>
      </c>
      <c r="Z917" t="s">
        <v>46</v>
      </c>
      <c r="AA917">
        <v>2</v>
      </c>
      <c r="AB917" t="s">
        <v>48</v>
      </c>
      <c r="AC917">
        <v>2</v>
      </c>
      <c r="AD917" t="s">
        <v>48</v>
      </c>
      <c r="AE917">
        <v>2</v>
      </c>
      <c r="AF917" t="s">
        <v>49</v>
      </c>
    </row>
    <row r="918" spans="1:32" x14ac:dyDescent="0.25">
      <c r="A918">
        <v>46</v>
      </c>
      <c r="B918" t="s">
        <v>32</v>
      </c>
      <c r="C918" t="s">
        <v>50</v>
      </c>
      <c r="D918" t="s">
        <v>34</v>
      </c>
      <c r="E918" t="s">
        <v>35</v>
      </c>
      <c r="F918">
        <v>4</v>
      </c>
      <c r="G918" t="s">
        <v>36</v>
      </c>
      <c r="H918">
        <v>4</v>
      </c>
      <c r="I918" t="s">
        <v>42</v>
      </c>
      <c r="J918" t="s">
        <v>38</v>
      </c>
      <c r="K918">
        <v>2</v>
      </c>
      <c r="L918" t="s">
        <v>55</v>
      </c>
      <c r="M918">
        <v>5</v>
      </c>
      <c r="N918" t="s">
        <v>72</v>
      </c>
      <c r="O918" t="s">
        <v>73</v>
      </c>
      <c r="P918">
        <v>2</v>
      </c>
      <c r="Q918" t="s">
        <v>57</v>
      </c>
      <c r="R918" t="s">
        <v>58</v>
      </c>
      <c r="S918">
        <v>2</v>
      </c>
      <c r="T918" t="s">
        <v>44</v>
      </c>
      <c r="U918" t="s">
        <v>59</v>
      </c>
      <c r="V918">
        <v>14</v>
      </c>
      <c r="W918" t="s">
        <v>45</v>
      </c>
      <c r="X918">
        <v>26</v>
      </c>
      <c r="Y918">
        <v>3</v>
      </c>
      <c r="Z918" t="s">
        <v>61</v>
      </c>
      <c r="AA918">
        <v>11</v>
      </c>
      <c r="AB918" t="s">
        <v>74</v>
      </c>
      <c r="AC918">
        <v>4</v>
      </c>
      <c r="AD918" t="s">
        <v>48</v>
      </c>
      <c r="AE918">
        <v>0</v>
      </c>
      <c r="AF918" t="s">
        <v>49</v>
      </c>
    </row>
    <row r="919" spans="1:32" x14ac:dyDescent="0.25">
      <c r="A919">
        <v>34</v>
      </c>
      <c r="B919" t="s">
        <v>32</v>
      </c>
      <c r="C919" t="s">
        <v>50</v>
      </c>
      <c r="D919" t="s">
        <v>34</v>
      </c>
      <c r="E919" t="s">
        <v>35</v>
      </c>
      <c r="F919">
        <v>2</v>
      </c>
      <c r="G919" t="s">
        <v>36</v>
      </c>
      <c r="H919">
        <v>3</v>
      </c>
      <c r="I919" t="s">
        <v>42</v>
      </c>
      <c r="J919" t="s">
        <v>38</v>
      </c>
      <c r="K919">
        <v>3</v>
      </c>
      <c r="L919" t="s">
        <v>39</v>
      </c>
      <c r="M919">
        <v>2</v>
      </c>
      <c r="N919" t="s">
        <v>40</v>
      </c>
      <c r="O919" t="s">
        <v>41</v>
      </c>
      <c r="P919">
        <v>1</v>
      </c>
      <c r="Q919" t="s">
        <v>57</v>
      </c>
      <c r="R919" t="s">
        <v>43</v>
      </c>
      <c r="S919">
        <v>0</v>
      </c>
      <c r="T919" t="s">
        <v>44</v>
      </c>
      <c r="U919" t="s">
        <v>44</v>
      </c>
      <c r="V919">
        <v>12</v>
      </c>
      <c r="W919" t="s">
        <v>45</v>
      </c>
      <c r="X919">
        <v>4</v>
      </c>
      <c r="Y919">
        <v>3</v>
      </c>
      <c r="Z919" t="s">
        <v>61</v>
      </c>
      <c r="AA919">
        <v>3</v>
      </c>
      <c r="AB919" t="s">
        <v>48</v>
      </c>
      <c r="AC919">
        <v>2</v>
      </c>
      <c r="AD919" t="s">
        <v>48</v>
      </c>
      <c r="AE919">
        <v>0</v>
      </c>
      <c r="AF919" t="s">
        <v>49</v>
      </c>
    </row>
    <row r="920" spans="1:32" x14ac:dyDescent="0.25">
      <c r="A920">
        <v>51</v>
      </c>
      <c r="B920" t="s">
        <v>64</v>
      </c>
      <c r="C920" t="s">
        <v>50</v>
      </c>
      <c r="D920" t="s">
        <v>51</v>
      </c>
      <c r="E920" t="s">
        <v>35</v>
      </c>
      <c r="F920">
        <v>9</v>
      </c>
      <c r="G920" t="s">
        <v>53</v>
      </c>
      <c r="H920">
        <v>4</v>
      </c>
      <c r="I920" t="s">
        <v>42</v>
      </c>
      <c r="J920" t="s">
        <v>54</v>
      </c>
      <c r="K920">
        <v>3</v>
      </c>
      <c r="L920" t="s">
        <v>39</v>
      </c>
      <c r="M920">
        <v>5</v>
      </c>
      <c r="N920" t="s">
        <v>72</v>
      </c>
      <c r="O920" t="s">
        <v>73</v>
      </c>
      <c r="P920">
        <v>2</v>
      </c>
      <c r="Q920" t="s">
        <v>57</v>
      </c>
      <c r="R920" t="s">
        <v>67</v>
      </c>
      <c r="S920">
        <v>4</v>
      </c>
      <c r="T920" t="s">
        <v>44</v>
      </c>
      <c r="U920" t="s">
        <v>44</v>
      </c>
      <c r="V920">
        <v>24</v>
      </c>
      <c r="W920" t="s">
        <v>60</v>
      </c>
      <c r="X920">
        <v>31</v>
      </c>
      <c r="Y920">
        <v>2</v>
      </c>
      <c r="Z920" t="s">
        <v>46</v>
      </c>
      <c r="AA920">
        <v>29</v>
      </c>
      <c r="AB920" t="s">
        <v>74</v>
      </c>
      <c r="AC920">
        <v>10</v>
      </c>
      <c r="AD920" t="s">
        <v>47</v>
      </c>
      <c r="AE920">
        <v>11</v>
      </c>
      <c r="AF920" t="s">
        <v>71</v>
      </c>
    </row>
    <row r="921" spans="1:32" x14ac:dyDescent="0.25">
      <c r="A921">
        <v>59</v>
      </c>
      <c r="B921" t="s">
        <v>64</v>
      </c>
      <c r="C921" t="s">
        <v>50</v>
      </c>
      <c r="D921" t="s">
        <v>34</v>
      </c>
      <c r="E921" t="s">
        <v>52</v>
      </c>
      <c r="F921">
        <v>18</v>
      </c>
      <c r="G921" t="s">
        <v>66</v>
      </c>
      <c r="H921">
        <v>4</v>
      </c>
      <c r="I921" t="s">
        <v>42</v>
      </c>
      <c r="J921" t="s">
        <v>54</v>
      </c>
      <c r="K921">
        <v>3</v>
      </c>
      <c r="L921" t="s">
        <v>39</v>
      </c>
      <c r="M921">
        <v>3</v>
      </c>
      <c r="N921" t="s">
        <v>68</v>
      </c>
      <c r="O921" t="s">
        <v>69</v>
      </c>
      <c r="P921">
        <v>4</v>
      </c>
      <c r="Q921" t="s">
        <v>42</v>
      </c>
      <c r="R921" t="s">
        <v>43</v>
      </c>
      <c r="S921">
        <v>6</v>
      </c>
      <c r="T921" t="s">
        <v>44</v>
      </c>
      <c r="U921" t="s">
        <v>59</v>
      </c>
      <c r="V921">
        <v>12</v>
      </c>
      <c r="W921" t="s">
        <v>45</v>
      </c>
      <c r="X921">
        <v>25</v>
      </c>
      <c r="Y921">
        <v>2</v>
      </c>
      <c r="Z921" t="s">
        <v>46</v>
      </c>
      <c r="AA921">
        <v>9</v>
      </c>
      <c r="AB921" t="s">
        <v>47</v>
      </c>
      <c r="AC921">
        <v>7</v>
      </c>
      <c r="AD921" t="s">
        <v>47</v>
      </c>
      <c r="AE921">
        <v>5</v>
      </c>
      <c r="AF921" t="s">
        <v>71</v>
      </c>
    </row>
    <row r="922" spans="1:32" x14ac:dyDescent="0.25">
      <c r="A922">
        <v>34</v>
      </c>
      <c r="B922" t="s">
        <v>32</v>
      </c>
      <c r="C922" t="s">
        <v>50</v>
      </c>
      <c r="D922" t="s">
        <v>51</v>
      </c>
      <c r="E922" t="s">
        <v>52</v>
      </c>
      <c r="F922">
        <v>19</v>
      </c>
      <c r="G922" t="s">
        <v>66</v>
      </c>
      <c r="H922">
        <v>3</v>
      </c>
      <c r="I922" t="s">
        <v>42</v>
      </c>
      <c r="J922" t="s">
        <v>38</v>
      </c>
      <c r="K922">
        <v>3</v>
      </c>
      <c r="L922" t="s">
        <v>39</v>
      </c>
      <c r="M922">
        <v>2</v>
      </c>
      <c r="N922" t="s">
        <v>40</v>
      </c>
      <c r="O922" t="s">
        <v>62</v>
      </c>
      <c r="P922">
        <v>2</v>
      </c>
      <c r="Q922" t="s">
        <v>57</v>
      </c>
      <c r="R922" t="s">
        <v>67</v>
      </c>
      <c r="S922">
        <v>4</v>
      </c>
      <c r="T922" t="s">
        <v>44</v>
      </c>
      <c r="U922" t="s">
        <v>59</v>
      </c>
      <c r="V922">
        <v>13</v>
      </c>
      <c r="W922" t="s">
        <v>45</v>
      </c>
      <c r="X922">
        <v>15</v>
      </c>
      <c r="Y922">
        <v>4</v>
      </c>
      <c r="Z922" t="s">
        <v>61</v>
      </c>
      <c r="AA922">
        <v>11</v>
      </c>
      <c r="AB922" t="s">
        <v>74</v>
      </c>
      <c r="AC922">
        <v>8</v>
      </c>
      <c r="AD922" t="s">
        <v>47</v>
      </c>
      <c r="AE922">
        <v>5</v>
      </c>
      <c r="AF922" t="s">
        <v>71</v>
      </c>
    </row>
    <row r="923" spans="1:32" x14ac:dyDescent="0.25">
      <c r="A923">
        <v>28</v>
      </c>
      <c r="B923" t="s">
        <v>63</v>
      </c>
      <c r="C923" t="s">
        <v>50</v>
      </c>
      <c r="D923" t="s">
        <v>51</v>
      </c>
      <c r="E923" t="s">
        <v>52</v>
      </c>
      <c r="F923">
        <v>1</v>
      </c>
      <c r="G923" t="s">
        <v>36</v>
      </c>
      <c r="H923">
        <v>4</v>
      </c>
      <c r="I923" t="s">
        <v>42</v>
      </c>
      <c r="J923" t="s">
        <v>54</v>
      </c>
      <c r="K923">
        <v>3</v>
      </c>
      <c r="L923" t="s">
        <v>39</v>
      </c>
      <c r="M923">
        <v>1</v>
      </c>
      <c r="N923" t="s">
        <v>40</v>
      </c>
      <c r="O923" t="s">
        <v>62</v>
      </c>
      <c r="P923">
        <v>3</v>
      </c>
      <c r="Q923" t="s">
        <v>42</v>
      </c>
      <c r="R923" t="s">
        <v>43</v>
      </c>
      <c r="S923">
        <v>0</v>
      </c>
      <c r="T923" t="s">
        <v>44</v>
      </c>
      <c r="U923" t="s">
        <v>44</v>
      </c>
      <c r="V923">
        <v>11</v>
      </c>
      <c r="W923" t="s">
        <v>45</v>
      </c>
      <c r="X923">
        <v>5</v>
      </c>
      <c r="Y923">
        <v>2</v>
      </c>
      <c r="Z923" t="s">
        <v>46</v>
      </c>
      <c r="AA923">
        <v>4</v>
      </c>
      <c r="AB923" t="s">
        <v>48</v>
      </c>
      <c r="AC923">
        <v>2</v>
      </c>
      <c r="AD923" t="s">
        <v>48</v>
      </c>
      <c r="AE923">
        <v>0</v>
      </c>
      <c r="AF923" t="s">
        <v>49</v>
      </c>
    </row>
    <row r="924" spans="1:32" x14ac:dyDescent="0.25">
      <c r="A924">
        <v>44</v>
      </c>
      <c r="B924" t="s">
        <v>32</v>
      </c>
      <c r="C924" t="s">
        <v>50</v>
      </c>
      <c r="D924" t="s">
        <v>34</v>
      </c>
      <c r="E924" t="s">
        <v>52</v>
      </c>
      <c r="F924">
        <v>4</v>
      </c>
      <c r="G924" t="s">
        <v>36</v>
      </c>
      <c r="H924">
        <v>3</v>
      </c>
      <c r="I924" t="s">
        <v>42</v>
      </c>
      <c r="J924" t="s">
        <v>54</v>
      </c>
      <c r="K924">
        <v>4</v>
      </c>
      <c r="L924" t="s">
        <v>65</v>
      </c>
      <c r="M924">
        <v>5</v>
      </c>
      <c r="N924" t="s">
        <v>72</v>
      </c>
      <c r="O924" t="s">
        <v>73</v>
      </c>
      <c r="P924">
        <v>1</v>
      </c>
      <c r="Q924" t="s">
        <v>57</v>
      </c>
      <c r="R924" t="s">
        <v>67</v>
      </c>
      <c r="S924">
        <v>1</v>
      </c>
      <c r="T924" t="s">
        <v>44</v>
      </c>
      <c r="U924" t="s">
        <v>59</v>
      </c>
      <c r="V924">
        <v>14</v>
      </c>
      <c r="W924" t="s">
        <v>45</v>
      </c>
      <c r="X924">
        <v>26</v>
      </c>
      <c r="Y924">
        <v>2</v>
      </c>
      <c r="Z924" t="s">
        <v>46</v>
      </c>
      <c r="AA924">
        <v>25</v>
      </c>
      <c r="AB924" t="s">
        <v>74</v>
      </c>
      <c r="AC924">
        <v>9</v>
      </c>
      <c r="AD924" t="s">
        <v>47</v>
      </c>
      <c r="AE924">
        <v>14</v>
      </c>
      <c r="AF924" t="s">
        <v>71</v>
      </c>
    </row>
    <row r="925" spans="1:32" x14ac:dyDescent="0.25">
      <c r="A925">
        <v>34</v>
      </c>
      <c r="B925" t="s">
        <v>32</v>
      </c>
      <c r="C925" t="s">
        <v>50</v>
      </c>
      <c r="D925" t="s">
        <v>51</v>
      </c>
      <c r="E925" t="s">
        <v>77</v>
      </c>
      <c r="F925">
        <v>11</v>
      </c>
      <c r="G925" t="s">
        <v>53</v>
      </c>
      <c r="H925">
        <v>3</v>
      </c>
      <c r="I925" t="s">
        <v>42</v>
      </c>
      <c r="J925" t="s">
        <v>54</v>
      </c>
      <c r="K925">
        <v>2</v>
      </c>
      <c r="L925" t="s">
        <v>55</v>
      </c>
      <c r="M925">
        <v>2</v>
      </c>
      <c r="N925" t="s">
        <v>40</v>
      </c>
      <c r="O925" t="s">
        <v>77</v>
      </c>
      <c r="P925">
        <v>2</v>
      </c>
      <c r="Q925" t="s">
        <v>57</v>
      </c>
      <c r="R925" t="s">
        <v>58</v>
      </c>
      <c r="S925">
        <v>4</v>
      </c>
      <c r="T925" t="s">
        <v>44</v>
      </c>
      <c r="U925" t="s">
        <v>59</v>
      </c>
      <c r="V925">
        <v>11</v>
      </c>
      <c r="W925" t="s">
        <v>45</v>
      </c>
      <c r="X925">
        <v>14</v>
      </c>
      <c r="Y925">
        <v>4</v>
      </c>
      <c r="Z925" t="s">
        <v>61</v>
      </c>
      <c r="AA925">
        <v>10</v>
      </c>
      <c r="AB925" t="s">
        <v>47</v>
      </c>
      <c r="AC925">
        <v>9</v>
      </c>
      <c r="AD925" t="s">
        <v>47</v>
      </c>
      <c r="AE925">
        <v>1</v>
      </c>
      <c r="AF925" t="s">
        <v>49</v>
      </c>
    </row>
    <row r="926" spans="1:32" x14ac:dyDescent="0.25">
      <c r="A926">
        <v>35</v>
      </c>
      <c r="B926" t="s">
        <v>32</v>
      </c>
      <c r="C926" t="s">
        <v>50</v>
      </c>
      <c r="D926" t="s">
        <v>34</v>
      </c>
      <c r="E926" t="s">
        <v>52</v>
      </c>
      <c r="F926">
        <v>6</v>
      </c>
      <c r="G926" t="s">
        <v>53</v>
      </c>
      <c r="H926">
        <v>3</v>
      </c>
      <c r="I926" t="s">
        <v>42</v>
      </c>
      <c r="J926" t="s">
        <v>54</v>
      </c>
      <c r="K926">
        <v>3</v>
      </c>
      <c r="L926" t="s">
        <v>39</v>
      </c>
      <c r="M926">
        <v>1</v>
      </c>
      <c r="N926" t="s">
        <v>40</v>
      </c>
      <c r="O926" t="s">
        <v>56</v>
      </c>
      <c r="P926">
        <v>3</v>
      </c>
      <c r="Q926" t="s">
        <v>42</v>
      </c>
      <c r="R926" t="s">
        <v>58</v>
      </c>
      <c r="S926">
        <v>0</v>
      </c>
      <c r="T926" t="s">
        <v>44</v>
      </c>
      <c r="U926" t="s">
        <v>44</v>
      </c>
      <c r="V926">
        <v>14</v>
      </c>
      <c r="W926" t="s">
        <v>45</v>
      </c>
      <c r="X926">
        <v>4</v>
      </c>
      <c r="Y926">
        <v>3</v>
      </c>
      <c r="Z926" t="s">
        <v>61</v>
      </c>
      <c r="AA926">
        <v>3</v>
      </c>
      <c r="AB926" t="s">
        <v>48</v>
      </c>
      <c r="AC926">
        <v>2</v>
      </c>
      <c r="AD926" t="s">
        <v>48</v>
      </c>
      <c r="AE926">
        <v>2</v>
      </c>
      <c r="AF926" t="s">
        <v>49</v>
      </c>
    </row>
    <row r="927" spans="1:32" x14ac:dyDescent="0.25">
      <c r="A927">
        <v>42</v>
      </c>
      <c r="B927" t="s">
        <v>32</v>
      </c>
      <c r="C927" t="s">
        <v>50</v>
      </c>
      <c r="D927" t="s">
        <v>34</v>
      </c>
      <c r="E927" t="s">
        <v>52</v>
      </c>
      <c r="F927">
        <v>7</v>
      </c>
      <c r="G927" t="s">
        <v>53</v>
      </c>
      <c r="H927">
        <v>2</v>
      </c>
      <c r="I927" t="s">
        <v>37</v>
      </c>
      <c r="J927" t="s">
        <v>38</v>
      </c>
      <c r="K927">
        <v>4</v>
      </c>
      <c r="L927" t="s">
        <v>65</v>
      </c>
      <c r="M927">
        <v>2</v>
      </c>
      <c r="N927" t="s">
        <v>40</v>
      </c>
      <c r="O927" t="s">
        <v>56</v>
      </c>
      <c r="P927">
        <v>2</v>
      </c>
      <c r="Q927" t="s">
        <v>57</v>
      </c>
      <c r="R927" t="s">
        <v>58</v>
      </c>
      <c r="S927">
        <v>6</v>
      </c>
      <c r="T927" t="s">
        <v>44</v>
      </c>
      <c r="U927" t="s">
        <v>44</v>
      </c>
      <c r="V927">
        <v>16</v>
      </c>
      <c r="W927" t="s">
        <v>45</v>
      </c>
      <c r="X927">
        <v>18</v>
      </c>
      <c r="Y927">
        <v>3</v>
      </c>
      <c r="Z927" t="s">
        <v>61</v>
      </c>
      <c r="AA927">
        <v>1</v>
      </c>
      <c r="AB927" t="s">
        <v>48</v>
      </c>
      <c r="AC927">
        <v>0</v>
      </c>
      <c r="AD927" t="s">
        <v>48</v>
      </c>
      <c r="AE927">
        <v>0</v>
      </c>
      <c r="AF927" t="s">
        <v>49</v>
      </c>
    </row>
    <row r="928" spans="1:32" x14ac:dyDescent="0.25">
      <c r="A928">
        <v>43</v>
      </c>
      <c r="B928" t="s">
        <v>32</v>
      </c>
      <c r="C928" t="s">
        <v>50</v>
      </c>
      <c r="D928" t="s">
        <v>34</v>
      </c>
      <c r="E928" t="s">
        <v>35</v>
      </c>
      <c r="F928">
        <v>4</v>
      </c>
      <c r="G928" t="s">
        <v>36</v>
      </c>
      <c r="H928">
        <v>4</v>
      </c>
      <c r="I928" t="s">
        <v>42</v>
      </c>
      <c r="J928" t="s">
        <v>38</v>
      </c>
      <c r="K928">
        <v>2</v>
      </c>
      <c r="L928" t="s">
        <v>55</v>
      </c>
      <c r="M928">
        <v>3</v>
      </c>
      <c r="N928" t="s">
        <v>68</v>
      </c>
      <c r="O928" t="s">
        <v>41</v>
      </c>
      <c r="P928">
        <v>4</v>
      </c>
      <c r="Q928" t="s">
        <v>42</v>
      </c>
      <c r="R928" t="s">
        <v>43</v>
      </c>
      <c r="S928">
        <v>3</v>
      </c>
      <c r="T928" t="s">
        <v>44</v>
      </c>
      <c r="U928" t="s">
        <v>59</v>
      </c>
      <c r="V928">
        <v>14</v>
      </c>
      <c r="W928" t="s">
        <v>45</v>
      </c>
      <c r="X928">
        <v>23</v>
      </c>
      <c r="Y928">
        <v>4</v>
      </c>
      <c r="Z928" t="s">
        <v>61</v>
      </c>
      <c r="AA928">
        <v>21</v>
      </c>
      <c r="AB928" t="s">
        <v>74</v>
      </c>
      <c r="AC928">
        <v>7</v>
      </c>
      <c r="AD928" t="s">
        <v>47</v>
      </c>
      <c r="AE928">
        <v>15</v>
      </c>
      <c r="AF928" t="s">
        <v>71</v>
      </c>
    </row>
    <row r="929" spans="1:32" x14ac:dyDescent="0.25">
      <c r="A929">
        <v>36</v>
      </c>
      <c r="B929" t="s">
        <v>32</v>
      </c>
      <c r="C929" t="s">
        <v>50</v>
      </c>
      <c r="D929" t="s">
        <v>34</v>
      </c>
      <c r="E929" t="s">
        <v>52</v>
      </c>
      <c r="F929">
        <v>2</v>
      </c>
      <c r="G929" t="s">
        <v>36</v>
      </c>
      <c r="H929">
        <v>3</v>
      </c>
      <c r="I929" t="s">
        <v>42</v>
      </c>
      <c r="J929" t="s">
        <v>38</v>
      </c>
      <c r="K929">
        <v>3</v>
      </c>
      <c r="L929" t="s">
        <v>39</v>
      </c>
      <c r="M929">
        <v>2</v>
      </c>
      <c r="N929" t="s">
        <v>40</v>
      </c>
      <c r="O929" t="s">
        <v>69</v>
      </c>
      <c r="P929">
        <v>2</v>
      </c>
      <c r="Q929" t="s">
        <v>57</v>
      </c>
      <c r="R929" t="s">
        <v>43</v>
      </c>
      <c r="S929">
        <v>9</v>
      </c>
      <c r="T929" t="s">
        <v>44</v>
      </c>
      <c r="U929" t="s">
        <v>44</v>
      </c>
      <c r="V929">
        <v>11</v>
      </c>
      <c r="W929" t="s">
        <v>45</v>
      </c>
      <c r="X929">
        <v>18</v>
      </c>
      <c r="Y929">
        <v>3</v>
      </c>
      <c r="Z929" t="s">
        <v>61</v>
      </c>
      <c r="AA929">
        <v>16</v>
      </c>
      <c r="AB929" t="s">
        <v>74</v>
      </c>
      <c r="AC929">
        <v>14</v>
      </c>
      <c r="AD929" t="s">
        <v>74</v>
      </c>
      <c r="AE929">
        <v>5</v>
      </c>
      <c r="AF929" t="s">
        <v>71</v>
      </c>
    </row>
    <row r="930" spans="1:32" x14ac:dyDescent="0.25">
      <c r="A930">
        <v>44</v>
      </c>
      <c r="B930" t="s">
        <v>32</v>
      </c>
      <c r="C930" t="s">
        <v>33</v>
      </c>
      <c r="D930" t="s">
        <v>34</v>
      </c>
      <c r="E930" t="s">
        <v>52</v>
      </c>
      <c r="F930">
        <v>15</v>
      </c>
      <c r="G930" t="s">
        <v>66</v>
      </c>
      <c r="H930">
        <v>1</v>
      </c>
      <c r="I930" t="s">
        <v>37</v>
      </c>
      <c r="J930" t="s">
        <v>38</v>
      </c>
      <c r="K930">
        <v>3</v>
      </c>
      <c r="L930" t="s">
        <v>39</v>
      </c>
      <c r="M930">
        <v>3</v>
      </c>
      <c r="N930" t="s">
        <v>68</v>
      </c>
      <c r="O930" t="s">
        <v>70</v>
      </c>
      <c r="P930">
        <v>4</v>
      </c>
      <c r="Q930" t="s">
        <v>42</v>
      </c>
      <c r="R930" t="s">
        <v>58</v>
      </c>
      <c r="S930">
        <v>1</v>
      </c>
      <c r="T930" t="s">
        <v>44</v>
      </c>
      <c r="U930" t="s">
        <v>59</v>
      </c>
      <c r="V930">
        <v>11</v>
      </c>
      <c r="W930" t="s">
        <v>45</v>
      </c>
      <c r="X930">
        <v>10</v>
      </c>
      <c r="Y930">
        <v>3</v>
      </c>
      <c r="Z930" t="s">
        <v>61</v>
      </c>
      <c r="AA930">
        <v>10</v>
      </c>
      <c r="AB930" t="s">
        <v>47</v>
      </c>
      <c r="AC930">
        <v>7</v>
      </c>
      <c r="AD930" t="s">
        <v>47</v>
      </c>
      <c r="AE930">
        <v>0</v>
      </c>
      <c r="AF930" t="s">
        <v>49</v>
      </c>
    </row>
    <row r="931" spans="1:32" x14ac:dyDescent="0.25">
      <c r="A931">
        <v>28</v>
      </c>
      <c r="B931" t="s">
        <v>63</v>
      </c>
      <c r="C931" t="s">
        <v>50</v>
      </c>
      <c r="D931" t="s">
        <v>51</v>
      </c>
      <c r="E931" t="s">
        <v>52</v>
      </c>
      <c r="F931">
        <v>2</v>
      </c>
      <c r="G931" t="s">
        <v>36</v>
      </c>
      <c r="H931">
        <v>4</v>
      </c>
      <c r="I931" t="s">
        <v>42</v>
      </c>
      <c r="J931" t="s">
        <v>54</v>
      </c>
      <c r="K931">
        <v>2</v>
      </c>
      <c r="L931" t="s">
        <v>55</v>
      </c>
      <c r="M931">
        <v>1</v>
      </c>
      <c r="N931" t="s">
        <v>40</v>
      </c>
      <c r="O931" t="s">
        <v>62</v>
      </c>
      <c r="P931">
        <v>4</v>
      </c>
      <c r="Q931" t="s">
        <v>42</v>
      </c>
      <c r="R931" t="s">
        <v>58</v>
      </c>
      <c r="S931">
        <v>1</v>
      </c>
      <c r="T931" t="s">
        <v>44</v>
      </c>
      <c r="U931" t="s">
        <v>44</v>
      </c>
      <c r="V931">
        <v>12</v>
      </c>
      <c r="W931" t="s">
        <v>45</v>
      </c>
      <c r="X931">
        <v>2</v>
      </c>
      <c r="Y931">
        <v>3</v>
      </c>
      <c r="Z931" t="s">
        <v>61</v>
      </c>
      <c r="AA931">
        <v>2</v>
      </c>
      <c r="AB931" t="s">
        <v>48</v>
      </c>
      <c r="AC931">
        <v>2</v>
      </c>
      <c r="AD931" t="s">
        <v>48</v>
      </c>
      <c r="AE931">
        <v>2</v>
      </c>
      <c r="AF931" t="s">
        <v>49</v>
      </c>
    </row>
    <row r="932" spans="1:32" x14ac:dyDescent="0.25">
      <c r="A932">
        <v>51</v>
      </c>
      <c r="B932" t="s">
        <v>64</v>
      </c>
      <c r="C932" t="s">
        <v>50</v>
      </c>
      <c r="D932" t="s">
        <v>51</v>
      </c>
      <c r="E932" t="s">
        <v>52</v>
      </c>
      <c r="F932">
        <v>6</v>
      </c>
      <c r="G932" t="s">
        <v>53</v>
      </c>
      <c r="H932">
        <v>2</v>
      </c>
      <c r="I932" t="s">
        <v>37</v>
      </c>
      <c r="J932" t="s">
        <v>38</v>
      </c>
      <c r="K932">
        <v>2</v>
      </c>
      <c r="L932" t="s">
        <v>55</v>
      </c>
      <c r="M932">
        <v>1</v>
      </c>
      <c r="N932" t="s">
        <v>40</v>
      </c>
      <c r="O932" t="s">
        <v>62</v>
      </c>
      <c r="P932">
        <v>3</v>
      </c>
      <c r="Q932" t="s">
        <v>42</v>
      </c>
      <c r="R932" t="s">
        <v>43</v>
      </c>
      <c r="S932">
        <v>0</v>
      </c>
      <c r="T932" t="s">
        <v>44</v>
      </c>
      <c r="U932" t="s">
        <v>59</v>
      </c>
      <c r="V932">
        <v>14</v>
      </c>
      <c r="W932" t="s">
        <v>45</v>
      </c>
      <c r="X932">
        <v>8</v>
      </c>
      <c r="Y932">
        <v>2</v>
      </c>
      <c r="Z932" t="s">
        <v>46</v>
      </c>
      <c r="AA932">
        <v>7</v>
      </c>
      <c r="AB932" t="s">
        <v>47</v>
      </c>
      <c r="AC932">
        <v>0</v>
      </c>
      <c r="AD932" t="s">
        <v>48</v>
      </c>
      <c r="AE932">
        <v>7</v>
      </c>
      <c r="AF932" t="s">
        <v>71</v>
      </c>
    </row>
    <row r="933" spans="1:32" x14ac:dyDescent="0.25">
      <c r="A933">
        <v>30</v>
      </c>
      <c r="B933" t="s">
        <v>32</v>
      </c>
      <c r="C933" t="s">
        <v>50</v>
      </c>
      <c r="D933" t="s">
        <v>34</v>
      </c>
      <c r="E933" t="s">
        <v>52</v>
      </c>
      <c r="F933">
        <v>9</v>
      </c>
      <c r="G933" t="s">
        <v>53</v>
      </c>
      <c r="H933">
        <v>3</v>
      </c>
      <c r="I933" t="s">
        <v>42</v>
      </c>
      <c r="J933" t="s">
        <v>38</v>
      </c>
      <c r="K933">
        <v>3</v>
      </c>
      <c r="L933" t="s">
        <v>39</v>
      </c>
      <c r="M933">
        <v>2</v>
      </c>
      <c r="N933" t="s">
        <v>40</v>
      </c>
      <c r="O933" t="s">
        <v>69</v>
      </c>
      <c r="P933">
        <v>3</v>
      </c>
      <c r="Q933" t="s">
        <v>42</v>
      </c>
      <c r="R933" t="s">
        <v>43</v>
      </c>
      <c r="S933">
        <v>7</v>
      </c>
      <c r="T933" t="s">
        <v>44</v>
      </c>
      <c r="U933" t="s">
        <v>44</v>
      </c>
      <c r="V933">
        <v>18</v>
      </c>
      <c r="W933" t="s">
        <v>45</v>
      </c>
      <c r="X933">
        <v>10</v>
      </c>
      <c r="Y933">
        <v>3</v>
      </c>
      <c r="Z933" t="s">
        <v>61</v>
      </c>
      <c r="AA933">
        <v>8</v>
      </c>
      <c r="AB933" t="s">
        <v>47</v>
      </c>
      <c r="AC933">
        <v>4</v>
      </c>
      <c r="AD933" t="s">
        <v>48</v>
      </c>
      <c r="AE933">
        <v>1</v>
      </c>
      <c r="AF933" t="s">
        <v>49</v>
      </c>
    </row>
    <row r="934" spans="1:32" x14ac:dyDescent="0.25">
      <c r="A934">
        <v>29</v>
      </c>
      <c r="B934" t="s">
        <v>63</v>
      </c>
      <c r="C934" t="s">
        <v>33</v>
      </c>
      <c r="D934" t="s">
        <v>34</v>
      </c>
      <c r="E934" t="s">
        <v>52</v>
      </c>
      <c r="F934">
        <v>7</v>
      </c>
      <c r="G934" t="s">
        <v>53</v>
      </c>
      <c r="H934">
        <v>2</v>
      </c>
      <c r="I934" t="s">
        <v>37</v>
      </c>
      <c r="J934" t="s">
        <v>38</v>
      </c>
      <c r="K934">
        <v>3</v>
      </c>
      <c r="L934" t="s">
        <v>39</v>
      </c>
      <c r="M934">
        <v>1</v>
      </c>
      <c r="N934" t="s">
        <v>40</v>
      </c>
      <c r="O934" t="s">
        <v>62</v>
      </c>
      <c r="P934">
        <v>3</v>
      </c>
      <c r="Q934" t="s">
        <v>42</v>
      </c>
      <c r="R934" t="s">
        <v>67</v>
      </c>
      <c r="S934">
        <v>3</v>
      </c>
      <c r="T934" t="s">
        <v>44</v>
      </c>
      <c r="U934" t="s">
        <v>44</v>
      </c>
      <c r="V934">
        <v>13</v>
      </c>
      <c r="W934" t="s">
        <v>45</v>
      </c>
      <c r="X934">
        <v>10</v>
      </c>
      <c r="Y934">
        <v>3</v>
      </c>
      <c r="Z934" t="s">
        <v>61</v>
      </c>
      <c r="AA934">
        <v>7</v>
      </c>
      <c r="AB934" t="s">
        <v>47</v>
      </c>
      <c r="AC934">
        <v>7</v>
      </c>
      <c r="AD934" t="s">
        <v>47</v>
      </c>
      <c r="AE934">
        <v>7</v>
      </c>
      <c r="AF934" t="s">
        <v>71</v>
      </c>
    </row>
    <row r="935" spans="1:32" x14ac:dyDescent="0.25">
      <c r="A935">
        <v>28</v>
      </c>
      <c r="B935" t="s">
        <v>63</v>
      </c>
      <c r="C935" t="s">
        <v>50</v>
      </c>
      <c r="D935" t="s">
        <v>34</v>
      </c>
      <c r="E935" t="s">
        <v>52</v>
      </c>
      <c r="F935">
        <v>1</v>
      </c>
      <c r="G935" t="s">
        <v>36</v>
      </c>
      <c r="H935">
        <v>4</v>
      </c>
      <c r="I935" t="s">
        <v>42</v>
      </c>
      <c r="J935" t="s">
        <v>54</v>
      </c>
      <c r="K935">
        <v>3</v>
      </c>
      <c r="L935" t="s">
        <v>39</v>
      </c>
      <c r="M935">
        <v>1</v>
      </c>
      <c r="N935" t="s">
        <v>40</v>
      </c>
      <c r="O935" t="s">
        <v>56</v>
      </c>
      <c r="P935">
        <v>1</v>
      </c>
      <c r="Q935" t="s">
        <v>57</v>
      </c>
      <c r="R935" t="s">
        <v>43</v>
      </c>
      <c r="S935">
        <v>2</v>
      </c>
      <c r="T935" t="s">
        <v>44</v>
      </c>
      <c r="U935" t="s">
        <v>59</v>
      </c>
      <c r="V935">
        <v>11</v>
      </c>
      <c r="W935" t="s">
        <v>45</v>
      </c>
      <c r="X935">
        <v>5</v>
      </c>
      <c r="Y935">
        <v>2</v>
      </c>
      <c r="Z935" t="s">
        <v>46</v>
      </c>
      <c r="AA935">
        <v>3</v>
      </c>
      <c r="AB935" t="s">
        <v>48</v>
      </c>
      <c r="AC935">
        <v>2</v>
      </c>
      <c r="AD935" t="s">
        <v>48</v>
      </c>
      <c r="AE935">
        <v>1</v>
      </c>
      <c r="AF935" t="s">
        <v>49</v>
      </c>
    </row>
    <row r="936" spans="1:32" x14ac:dyDescent="0.25">
      <c r="A936">
        <v>25</v>
      </c>
      <c r="B936" t="s">
        <v>63</v>
      </c>
      <c r="C936" t="s">
        <v>50</v>
      </c>
      <c r="D936" t="s">
        <v>34</v>
      </c>
      <c r="E936" t="s">
        <v>52</v>
      </c>
      <c r="F936">
        <v>1</v>
      </c>
      <c r="G936" t="s">
        <v>36</v>
      </c>
      <c r="H936">
        <v>4</v>
      </c>
      <c r="I936" t="s">
        <v>42</v>
      </c>
      <c r="J936" t="s">
        <v>38</v>
      </c>
      <c r="K936">
        <v>3</v>
      </c>
      <c r="L936" t="s">
        <v>39</v>
      </c>
      <c r="M936">
        <v>1</v>
      </c>
      <c r="N936" t="s">
        <v>40</v>
      </c>
      <c r="O936" t="s">
        <v>56</v>
      </c>
      <c r="P936">
        <v>2</v>
      </c>
      <c r="Q936" t="s">
        <v>57</v>
      </c>
      <c r="R936" t="s">
        <v>43</v>
      </c>
      <c r="S936">
        <v>1</v>
      </c>
      <c r="T936" t="s">
        <v>44</v>
      </c>
      <c r="U936" t="s">
        <v>59</v>
      </c>
      <c r="V936">
        <v>18</v>
      </c>
      <c r="W936" t="s">
        <v>45</v>
      </c>
      <c r="X936">
        <v>2</v>
      </c>
      <c r="Y936">
        <v>2</v>
      </c>
      <c r="Z936" t="s">
        <v>46</v>
      </c>
      <c r="AA936">
        <v>2</v>
      </c>
      <c r="AB936" t="s">
        <v>48</v>
      </c>
      <c r="AC936">
        <v>2</v>
      </c>
      <c r="AD936" t="s">
        <v>48</v>
      </c>
      <c r="AE936">
        <v>2</v>
      </c>
      <c r="AF936" t="s">
        <v>49</v>
      </c>
    </row>
    <row r="937" spans="1:32" x14ac:dyDescent="0.25">
      <c r="A937">
        <v>32</v>
      </c>
      <c r="B937" t="s">
        <v>32</v>
      </c>
      <c r="C937" t="s">
        <v>50</v>
      </c>
      <c r="D937" t="s">
        <v>34</v>
      </c>
      <c r="E937" t="s">
        <v>35</v>
      </c>
      <c r="F937">
        <v>8</v>
      </c>
      <c r="G937" t="s">
        <v>53</v>
      </c>
      <c r="H937">
        <v>3</v>
      </c>
      <c r="I937" t="s">
        <v>42</v>
      </c>
      <c r="J937" t="s">
        <v>54</v>
      </c>
      <c r="K937">
        <v>4</v>
      </c>
      <c r="L937" t="s">
        <v>65</v>
      </c>
      <c r="M937">
        <v>2</v>
      </c>
      <c r="N937" t="s">
        <v>40</v>
      </c>
      <c r="O937" t="s">
        <v>41</v>
      </c>
      <c r="P937">
        <v>4</v>
      </c>
      <c r="Q937" t="s">
        <v>42</v>
      </c>
      <c r="R937" t="s">
        <v>58</v>
      </c>
      <c r="S937">
        <v>1</v>
      </c>
      <c r="T937" t="s">
        <v>44</v>
      </c>
      <c r="U937" t="s">
        <v>59</v>
      </c>
      <c r="V937">
        <v>15</v>
      </c>
      <c r="W937" t="s">
        <v>45</v>
      </c>
      <c r="X937">
        <v>10</v>
      </c>
      <c r="Y937">
        <v>4</v>
      </c>
      <c r="Z937" t="s">
        <v>61</v>
      </c>
      <c r="AA937">
        <v>10</v>
      </c>
      <c r="AB937" t="s">
        <v>47</v>
      </c>
      <c r="AC937">
        <v>7</v>
      </c>
      <c r="AD937" t="s">
        <v>47</v>
      </c>
      <c r="AE937">
        <v>0</v>
      </c>
      <c r="AF937" t="s">
        <v>49</v>
      </c>
    </row>
    <row r="938" spans="1:32" x14ac:dyDescent="0.25">
      <c r="A938">
        <v>45</v>
      </c>
      <c r="B938" t="s">
        <v>32</v>
      </c>
      <c r="C938" t="s">
        <v>50</v>
      </c>
      <c r="D938" t="s">
        <v>51</v>
      </c>
      <c r="E938" t="s">
        <v>52</v>
      </c>
      <c r="F938">
        <v>25</v>
      </c>
      <c r="G938" t="s">
        <v>66</v>
      </c>
      <c r="H938">
        <v>2</v>
      </c>
      <c r="I938" t="s">
        <v>37</v>
      </c>
      <c r="J938" t="s">
        <v>38</v>
      </c>
      <c r="K938">
        <v>3</v>
      </c>
      <c r="L938" t="s">
        <v>39</v>
      </c>
      <c r="M938">
        <v>5</v>
      </c>
      <c r="N938" t="s">
        <v>72</v>
      </c>
      <c r="O938" t="s">
        <v>73</v>
      </c>
      <c r="P938">
        <v>2</v>
      </c>
      <c r="Q938" t="s">
        <v>57</v>
      </c>
      <c r="R938" t="s">
        <v>43</v>
      </c>
      <c r="S938">
        <v>3</v>
      </c>
      <c r="T938" t="s">
        <v>44</v>
      </c>
      <c r="U938" t="s">
        <v>59</v>
      </c>
      <c r="V938">
        <v>22</v>
      </c>
      <c r="W938" t="s">
        <v>60</v>
      </c>
      <c r="X938">
        <v>22</v>
      </c>
      <c r="Y938">
        <v>3</v>
      </c>
      <c r="Z938" t="s">
        <v>61</v>
      </c>
      <c r="AA938">
        <v>0</v>
      </c>
      <c r="AB938" t="s">
        <v>48</v>
      </c>
      <c r="AC938">
        <v>0</v>
      </c>
      <c r="AD938" t="s">
        <v>48</v>
      </c>
      <c r="AE938">
        <v>0</v>
      </c>
      <c r="AF938" t="s">
        <v>49</v>
      </c>
    </row>
    <row r="939" spans="1:32" x14ac:dyDescent="0.25">
      <c r="A939">
        <v>39</v>
      </c>
      <c r="B939" t="s">
        <v>32</v>
      </c>
      <c r="C939" t="s">
        <v>50</v>
      </c>
      <c r="D939" t="s">
        <v>34</v>
      </c>
      <c r="E939" t="s">
        <v>52</v>
      </c>
      <c r="F939">
        <v>13</v>
      </c>
      <c r="G939" t="s">
        <v>53</v>
      </c>
      <c r="H939">
        <v>3</v>
      </c>
      <c r="I939" t="s">
        <v>42</v>
      </c>
      <c r="J939" t="s">
        <v>38</v>
      </c>
      <c r="K939">
        <v>2</v>
      </c>
      <c r="L939" t="s">
        <v>55</v>
      </c>
      <c r="M939">
        <v>4</v>
      </c>
      <c r="N939" t="s">
        <v>72</v>
      </c>
      <c r="O939" t="s">
        <v>73</v>
      </c>
      <c r="P939">
        <v>2</v>
      </c>
      <c r="Q939" t="s">
        <v>57</v>
      </c>
      <c r="R939" t="s">
        <v>67</v>
      </c>
      <c r="S939">
        <v>6</v>
      </c>
      <c r="T939" t="s">
        <v>44</v>
      </c>
      <c r="U939" t="s">
        <v>44</v>
      </c>
      <c r="V939">
        <v>13</v>
      </c>
      <c r="W939" t="s">
        <v>45</v>
      </c>
      <c r="X939">
        <v>21</v>
      </c>
      <c r="Y939">
        <v>3</v>
      </c>
      <c r="Z939" t="s">
        <v>61</v>
      </c>
      <c r="AA939">
        <v>19</v>
      </c>
      <c r="AB939" t="s">
        <v>74</v>
      </c>
      <c r="AC939">
        <v>9</v>
      </c>
      <c r="AD939" t="s">
        <v>47</v>
      </c>
      <c r="AE939">
        <v>15</v>
      </c>
      <c r="AF939" t="s">
        <v>71</v>
      </c>
    </row>
    <row r="940" spans="1:32" x14ac:dyDescent="0.25">
      <c r="A940">
        <v>58</v>
      </c>
      <c r="B940" t="s">
        <v>64</v>
      </c>
      <c r="C940" t="s">
        <v>50</v>
      </c>
      <c r="D940" t="s">
        <v>34</v>
      </c>
      <c r="E940" t="s">
        <v>52</v>
      </c>
      <c r="F940">
        <v>23</v>
      </c>
      <c r="G940" t="s">
        <v>66</v>
      </c>
      <c r="H940">
        <v>1</v>
      </c>
      <c r="I940" t="s">
        <v>37</v>
      </c>
      <c r="J940" t="s">
        <v>54</v>
      </c>
      <c r="K940">
        <v>3</v>
      </c>
      <c r="L940" t="s">
        <v>39</v>
      </c>
      <c r="M940">
        <v>1</v>
      </c>
      <c r="N940" t="s">
        <v>40</v>
      </c>
      <c r="O940" t="s">
        <v>56</v>
      </c>
      <c r="P940">
        <v>3</v>
      </c>
      <c r="Q940" t="s">
        <v>42</v>
      </c>
      <c r="R940" t="s">
        <v>67</v>
      </c>
      <c r="S940">
        <v>1</v>
      </c>
      <c r="T940" t="s">
        <v>44</v>
      </c>
      <c r="U940" t="s">
        <v>59</v>
      </c>
      <c r="V940">
        <v>12</v>
      </c>
      <c r="W940" t="s">
        <v>45</v>
      </c>
      <c r="X940">
        <v>2</v>
      </c>
      <c r="Y940">
        <v>3</v>
      </c>
      <c r="Z940" t="s">
        <v>61</v>
      </c>
      <c r="AA940">
        <v>2</v>
      </c>
      <c r="AB940" t="s">
        <v>48</v>
      </c>
      <c r="AC940">
        <v>2</v>
      </c>
      <c r="AD940" t="s">
        <v>48</v>
      </c>
      <c r="AE940">
        <v>2</v>
      </c>
      <c r="AF940" t="s">
        <v>49</v>
      </c>
    </row>
    <row r="941" spans="1:32" x14ac:dyDescent="0.25">
      <c r="A941">
        <v>32</v>
      </c>
      <c r="B941" t="s">
        <v>32</v>
      </c>
      <c r="C941" t="s">
        <v>33</v>
      </c>
      <c r="D941" t="s">
        <v>34</v>
      </c>
      <c r="E941" t="s">
        <v>52</v>
      </c>
      <c r="F941">
        <v>7</v>
      </c>
      <c r="G941" t="s">
        <v>53</v>
      </c>
      <c r="H941">
        <v>4</v>
      </c>
      <c r="I941" t="s">
        <v>42</v>
      </c>
      <c r="J941" t="s">
        <v>54</v>
      </c>
      <c r="K941">
        <v>3</v>
      </c>
      <c r="L941" t="s">
        <v>39</v>
      </c>
      <c r="M941">
        <v>2</v>
      </c>
      <c r="N941" t="s">
        <v>40</v>
      </c>
      <c r="O941" t="s">
        <v>62</v>
      </c>
      <c r="P941">
        <v>3</v>
      </c>
      <c r="Q941" t="s">
        <v>42</v>
      </c>
      <c r="R941" t="s">
        <v>58</v>
      </c>
      <c r="S941">
        <v>1</v>
      </c>
      <c r="T941" t="s">
        <v>44</v>
      </c>
      <c r="U941" t="s">
        <v>59</v>
      </c>
      <c r="V941">
        <v>18</v>
      </c>
      <c r="W941" t="s">
        <v>45</v>
      </c>
      <c r="X941">
        <v>10</v>
      </c>
      <c r="Y941">
        <v>3</v>
      </c>
      <c r="Z941" t="s">
        <v>61</v>
      </c>
      <c r="AA941">
        <v>10</v>
      </c>
      <c r="AB941" t="s">
        <v>47</v>
      </c>
      <c r="AC941">
        <v>4</v>
      </c>
      <c r="AD941" t="s">
        <v>48</v>
      </c>
      <c r="AE941">
        <v>1</v>
      </c>
      <c r="AF941" t="s">
        <v>49</v>
      </c>
    </row>
    <row r="942" spans="1:32" x14ac:dyDescent="0.25">
      <c r="A942">
        <v>39</v>
      </c>
      <c r="B942" t="s">
        <v>32</v>
      </c>
      <c r="C942" t="s">
        <v>33</v>
      </c>
      <c r="D942" t="s">
        <v>34</v>
      </c>
      <c r="E942" t="s">
        <v>52</v>
      </c>
      <c r="F942">
        <v>23</v>
      </c>
      <c r="G942" t="s">
        <v>66</v>
      </c>
      <c r="H942">
        <v>3</v>
      </c>
      <c r="I942" t="s">
        <v>42</v>
      </c>
      <c r="J942" t="s">
        <v>54</v>
      </c>
      <c r="K942">
        <v>3</v>
      </c>
      <c r="L942" t="s">
        <v>39</v>
      </c>
      <c r="M942">
        <v>1</v>
      </c>
      <c r="N942" t="s">
        <v>40</v>
      </c>
      <c r="O942" t="s">
        <v>56</v>
      </c>
      <c r="P942">
        <v>1</v>
      </c>
      <c r="Q942" t="s">
        <v>57</v>
      </c>
      <c r="R942" t="s">
        <v>43</v>
      </c>
      <c r="S942">
        <v>0</v>
      </c>
      <c r="T942" t="s">
        <v>44</v>
      </c>
      <c r="U942" t="s">
        <v>59</v>
      </c>
      <c r="V942">
        <v>13</v>
      </c>
      <c r="W942" t="s">
        <v>45</v>
      </c>
      <c r="X942">
        <v>6</v>
      </c>
      <c r="Y942">
        <v>3</v>
      </c>
      <c r="Z942" t="s">
        <v>61</v>
      </c>
      <c r="AA942">
        <v>5</v>
      </c>
      <c r="AB942" t="s">
        <v>47</v>
      </c>
      <c r="AC942">
        <v>2</v>
      </c>
      <c r="AD942" t="s">
        <v>48</v>
      </c>
      <c r="AE942">
        <v>0</v>
      </c>
      <c r="AF942" t="s">
        <v>49</v>
      </c>
    </row>
    <row r="943" spans="1:32" x14ac:dyDescent="0.25">
      <c r="A943">
        <v>30</v>
      </c>
      <c r="B943" t="s">
        <v>32</v>
      </c>
      <c r="C943" t="s">
        <v>50</v>
      </c>
      <c r="D943" t="s">
        <v>34</v>
      </c>
      <c r="E943" t="s">
        <v>52</v>
      </c>
      <c r="F943">
        <v>6</v>
      </c>
      <c r="G943" t="s">
        <v>53</v>
      </c>
      <c r="H943">
        <v>1</v>
      </c>
      <c r="I943" t="s">
        <v>37</v>
      </c>
      <c r="J943" t="s">
        <v>38</v>
      </c>
      <c r="K943">
        <v>2</v>
      </c>
      <c r="L943" t="s">
        <v>55</v>
      </c>
      <c r="M943">
        <v>2</v>
      </c>
      <c r="N943" t="s">
        <v>40</v>
      </c>
      <c r="O943" t="s">
        <v>62</v>
      </c>
      <c r="P943">
        <v>4</v>
      </c>
      <c r="Q943" t="s">
        <v>42</v>
      </c>
      <c r="R943" t="s">
        <v>58</v>
      </c>
      <c r="S943">
        <v>0</v>
      </c>
      <c r="T943" t="s">
        <v>44</v>
      </c>
      <c r="U943" t="s">
        <v>59</v>
      </c>
      <c r="V943">
        <v>12</v>
      </c>
      <c r="W943" t="s">
        <v>45</v>
      </c>
      <c r="X943">
        <v>10</v>
      </c>
      <c r="Y943">
        <v>3</v>
      </c>
      <c r="Z943" t="s">
        <v>61</v>
      </c>
      <c r="AA943">
        <v>9</v>
      </c>
      <c r="AB943" t="s">
        <v>47</v>
      </c>
      <c r="AC943">
        <v>2</v>
      </c>
      <c r="AD943" t="s">
        <v>48</v>
      </c>
      <c r="AE943">
        <v>6</v>
      </c>
      <c r="AF943" t="s">
        <v>71</v>
      </c>
    </row>
    <row r="944" spans="1:32" x14ac:dyDescent="0.25">
      <c r="A944">
        <v>36</v>
      </c>
      <c r="B944" t="s">
        <v>32</v>
      </c>
      <c r="C944" t="s">
        <v>50</v>
      </c>
      <c r="D944" t="s">
        <v>34</v>
      </c>
      <c r="E944" t="s">
        <v>52</v>
      </c>
      <c r="F944">
        <v>10</v>
      </c>
      <c r="G944" t="s">
        <v>53</v>
      </c>
      <c r="H944">
        <v>4</v>
      </c>
      <c r="I944" t="s">
        <v>42</v>
      </c>
      <c r="J944" t="s">
        <v>38</v>
      </c>
      <c r="K944">
        <v>3</v>
      </c>
      <c r="L944" t="s">
        <v>39</v>
      </c>
      <c r="M944">
        <v>3</v>
      </c>
      <c r="N944" t="s">
        <v>68</v>
      </c>
      <c r="O944" t="s">
        <v>70</v>
      </c>
      <c r="P944">
        <v>3</v>
      </c>
      <c r="Q944" t="s">
        <v>42</v>
      </c>
      <c r="R944" t="s">
        <v>58</v>
      </c>
      <c r="S944">
        <v>3</v>
      </c>
      <c r="T944" t="s">
        <v>44</v>
      </c>
      <c r="U944" t="s">
        <v>59</v>
      </c>
      <c r="V944">
        <v>12</v>
      </c>
      <c r="W944" t="s">
        <v>45</v>
      </c>
      <c r="X944">
        <v>10</v>
      </c>
      <c r="Y944">
        <v>3</v>
      </c>
      <c r="Z944" t="s">
        <v>61</v>
      </c>
      <c r="AA944">
        <v>7</v>
      </c>
      <c r="AB944" t="s">
        <v>47</v>
      </c>
      <c r="AC944">
        <v>7</v>
      </c>
      <c r="AD944" t="s">
        <v>47</v>
      </c>
      <c r="AE944">
        <v>1</v>
      </c>
      <c r="AF944" t="s">
        <v>49</v>
      </c>
    </row>
    <row r="945" spans="1:32" x14ac:dyDescent="0.25">
      <c r="A945">
        <v>46</v>
      </c>
      <c r="B945" t="s">
        <v>32</v>
      </c>
      <c r="C945" t="s">
        <v>50</v>
      </c>
      <c r="D945" t="s">
        <v>34</v>
      </c>
      <c r="E945" t="s">
        <v>77</v>
      </c>
      <c r="F945">
        <v>1</v>
      </c>
      <c r="G945" t="s">
        <v>36</v>
      </c>
      <c r="H945">
        <v>4</v>
      </c>
      <c r="I945" t="s">
        <v>42</v>
      </c>
      <c r="J945" t="s">
        <v>38</v>
      </c>
      <c r="K945">
        <v>3</v>
      </c>
      <c r="L945" t="s">
        <v>39</v>
      </c>
      <c r="M945">
        <v>1</v>
      </c>
      <c r="N945" t="s">
        <v>40</v>
      </c>
      <c r="O945" t="s">
        <v>77</v>
      </c>
      <c r="P945">
        <v>1</v>
      </c>
      <c r="Q945" t="s">
        <v>57</v>
      </c>
      <c r="R945" t="s">
        <v>43</v>
      </c>
      <c r="S945">
        <v>6</v>
      </c>
      <c r="T945" t="s">
        <v>44</v>
      </c>
      <c r="U945" t="s">
        <v>59</v>
      </c>
      <c r="V945">
        <v>12</v>
      </c>
      <c r="W945" t="s">
        <v>45</v>
      </c>
      <c r="X945">
        <v>10</v>
      </c>
      <c r="Y945">
        <v>4</v>
      </c>
      <c r="Z945" t="s">
        <v>61</v>
      </c>
      <c r="AA945">
        <v>7</v>
      </c>
      <c r="AB945" t="s">
        <v>47</v>
      </c>
      <c r="AC945">
        <v>6</v>
      </c>
      <c r="AD945" t="s">
        <v>47</v>
      </c>
      <c r="AE945">
        <v>5</v>
      </c>
      <c r="AF945" t="s">
        <v>71</v>
      </c>
    </row>
    <row r="946" spans="1:32" x14ac:dyDescent="0.25">
      <c r="A946">
        <v>28</v>
      </c>
      <c r="B946" t="s">
        <v>63</v>
      </c>
      <c r="C946" t="s">
        <v>50</v>
      </c>
      <c r="D946" t="s">
        <v>34</v>
      </c>
      <c r="E946" t="s">
        <v>52</v>
      </c>
      <c r="F946">
        <v>1</v>
      </c>
      <c r="G946" t="s">
        <v>36</v>
      </c>
      <c r="H946">
        <v>3</v>
      </c>
      <c r="I946" t="s">
        <v>42</v>
      </c>
      <c r="J946" t="s">
        <v>38</v>
      </c>
      <c r="K946">
        <v>1</v>
      </c>
      <c r="L946" t="s">
        <v>55</v>
      </c>
      <c r="M946">
        <v>2</v>
      </c>
      <c r="N946" t="s">
        <v>40</v>
      </c>
      <c r="O946" t="s">
        <v>62</v>
      </c>
      <c r="P946">
        <v>4</v>
      </c>
      <c r="Q946" t="s">
        <v>42</v>
      </c>
      <c r="R946" t="s">
        <v>58</v>
      </c>
      <c r="S946">
        <v>0</v>
      </c>
      <c r="T946" t="s">
        <v>44</v>
      </c>
      <c r="U946" t="s">
        <v>59</v>
      </c>
      <c r="V946">
        <v>11</v>
      </c>
      <c r="W946" t="s">
        <v>45</v>
      </c>
      <c r="X946">
        <v>10</v>
      </c>
      <c r="Y946">
        <v>3</v>
      </c>
      <c r="Z946" t="s">
        <v>61</v>
      </c>
      <c r="AA946">
        <v>9</v>
      </c>
      <c r="AB946" t="s">
        <v>47</v>
      </c>
      <c r="AC946">
        <v>8</v>
      </c>
      <c r="AD946" t="s">
        <v>47</v>
      </c>
      <c r="AE946">
        <v>7</v>
      </c>
      <c r="AF946" t="s">
        <v>71</v>
      </c>
    </row>
    <row r="947" spans="1:32" x14ac:dyDescent="0.25">
      <c r="A947">
        <v>50</v>
      </c>
      <c r="B947" t="s">
        <v>32</v>
      </c>
      <c r="C947" t="s">
        <v>50</v>
      </c>
      <c r="D947" t="s">
        <v>34</v>
      </c>
      <c r="E947" t="s">
        <v>52</v>
      </c>
      <c r="F947">
        <v>28</v>
      </c>
      <c r="G947" t="s">
        <v>66</v>
      </c>
      <c r="H947">
        <v>4</v>
      </c>
      <c r="I947" t="s">
        <v>42</v>
      </c>
      <c r="J947" t="s">
        <v>38</v>
      </c>
      <c r="K947">
        <v>3</v>
      </c>
      <c r="L947" t="s">
        <v>39</v>
      </c>
      <c r="M947">
        <v>4</v>
      </c>
      <c r="N947" t="s">
        <v>72</v>
      </c>
      <c r="O947" t="s">
        <v>76</v>
      </c>
      <c r="P947">
        <v>1</v>
      </c>
      <c r="Q947" t="s">
        <v>57</v>
      </c>
      <c r="R947" t="s">
        <v>58</v>
      </c>
      <c r="S947">
        <v>4</v>
      </c>
      <c r="T947" t="s">
        <v>44</v>
      </c>
      <c r="U947" t="s">
        <v>44</v>
      </c>
      <c r="V947">
        <v>11</v>
      </c>
      <c r="W947" t="s">
        <v>45</v>
      </c>
      <c r="X947">
        <v>25</v>
      </c>
      <c r="Y947">
        <v>3</v>
      </c>
      <c r="Z947" t="s">
        <v>61</v>
      </c>
      <c r="AA947">
        <v>3</v>
      </c>
      <c r="AB947" t="s">
        <v>48</v>
      </c>
      <c r="AC947">
        <v>2</v>
      </c>
      <c r="AD947" t="s">
        <v>48</v>
      </c>
      <c r="AE947">
        <v>1</v>
      </c>
      <c r="AF947" t="s">
        <v>49</v>
      </c>
    </row>
    <row r="948" spans="1:32" x14ac:dyDescent="0.25">
      <c r="A948">
        <v>40</v>
      </c>
      <c r="B948" t="s">
        <v>32</v>
      </c>
      <c r="C948" t="s">
        <v>33</v>
      </c>
      <c r="D948" t="s">
        <v>34</v>
      </c>
      <c r="E948" t="s">
        <v>35</v>
      </c>
      <c r="F948">
        <v>25</v>
      </c>
      <c r="G948" t="s">
        <v>66</v>
      </c>
      <c r="H948">
        <v>4</v>
      </c>
      <c r="I948" t="s">
        <v>42</v>
      </c>
      <c r="J948" t="s">
        <v>54</v>
      </c>
      <c r="K948">
        <v>2</v>
      </c>
      <c r="L948" t="s">
        <v>55</v>
      </c>
      <c r="M948">
        <v>3</v>
      </c>
      <c r="N948" t="s">
        <v>68</v>
      </c>
      <c r="O948" t="s">
        <v>41</v>
      </c>
      <c r="P948">
        <v>2</v>
      </c>
      <c r="Q948" t="s">
        <v>57</v>
      </c>
      <c r="R948" t="s">
        <v>43</v>
      </c>
      <c r="S948">
        <v>2</v>
      </c>
      <c r="T948" t="s">
        <v>44</v>
      </c>
      <c r="U948" t="s">
        <v>44</v>
      </c>
      <c r="V948">
        <v>12</v>
      </c>
      <c r="W948" t="s">
        <v>45</v>
      </c>
      <c r="X948">
        <v>9</v>
      </c>
      <c r="Y948">
        <v>3</v>
      </c>
      <c r="Z948" t="s">
        <v>61</v>
      </c>
      <c r="AA948">
        <v>5</v>
      </c>
      <c r="AB948" t="s">
        <v>47</v>
      </c>
      <c r="AC948">
        <v>4</v>
      </c>
      <c r="AD948" t="s">
        <v>48</v>
      </c>
      <c r="AE948">
        <v>1</v>
      </c>
      <c r="AF948" t="s">
        <v>49</v>
      </c>
    </row>
    <row r="949" spans="1:32" x14ac:dyDescent="0.25">
      <c r="A949">
        <v>52</v>
      </c>
      <c r="B949" t="s">
        <v>64</v>
      </c>
      <c r="C949" t="s">
        <v>33</v>
      </c>
      <c r="D949" t="s">
        <v>34</v>
      </c>
      <c r="E949" t="s">
        <v>35</v>
      </c>
      <c r="F949">
        <v>5</v>
      </c>
      <c r="G949" t="s">
        <v>36</v>
      </c>
      <c r="H949">
        <v>2</v>
      </c>
      <c r="I949" t="s">
        <v>37</v>
      </c>
      <c r="J949" t="s">
        <v>54</v>
      </c>
      <c r="K949">
        <v>3</v>
      </c>
      <c r="L949" t="s">
        <v>39</v>
      </c>
      <c r="M949">
        <v>3</v>
      </c>
      <c r="N949" t="s">
        <v>68</v>
      </c>
      <c r="O949" t="s">
        <v>41</v>
      </c>
      <c r="P949">
        <v>2</v>
      </c>
      <c r="Q949" t="s">
        <v>57</v>
      </c>
      <c r="R949" t="s">
        <v>43</v>
      </c>
      <c r="S949">
        <v>9</v>
      </c>
      <c r="T949" t="s">
        <v>44</v>
      </c>
      <c r="U949" t="s">
        <v>44</v>
      </c>
      <c r="V949">
        <v>19</v>
      </c>
      <c r="W949" t="s">
        <v>45</v>
      </c>
      <c r="X949">
        <v>10</v>
      </c>
      <c r="Y949">
        <v>2</v>
      </c>
      <c r="Z949" t="s">
        <v>46</v>
      </c>
      <c r="AA949">
        <v>8</v>
      </c>
      <c r="AB949" t="s">
        <v>47</v>
      </c>
      <c r="AC949">
        <v>7</v>
      </c>
      <c r="AD949" t="s">
        <v>47</v>
      </c>
      <c r="AE949">
        <v>7</v>
      </c>
      <c r="AF949" t="s">
        <v>71</v>
      </c>
    </row>
    <row r="950" spans="1:32" x14ac:dyDescent="0.25">
      <c r="A950">
        <v>30</v>
      </c>
      <c r="B950" t="s">
        <v>32</v>
      </c>
      <c r="C950" t="s">
        <v>50</v>
      </c>
      <c r="D950" t="s">
        <v>34</v>
      </c>
      <c r="E950" t="s">
        <v>52</v>
      </c>
      <c r="F950">
        <v>17</v>
      </c>
      <c r="G950" t="s">
        <v>66</v>
      </c>
      <c r="H950">
        <v>2</v>
      </c>
      <c r="I950" t="s">
        <v>37</v>
      </c>
      <c r="J950" t="s">
        <v>38</v>
      </c>
      <c r="K950">
        <v>3</v>
      </c>
      <c r="L950" t="s">
        <v>39</v>
      </c>
      <c r="M950">
        <v>3</v>
      </c>
      <c r="N950" t="s">
        <v>68</v>
      </c>
      <c r="O950" t="s">
        <v>73</v>
      </c>
      <c r="P950">
        <v>1</v>
      </c>
      <c r="Q950" t="s">
        <v>57</v>
      </c>
      <c r="R950" t="s">
        <v>58</v>
      </c>
      <c r="S950">
        <v>1</v>
      </c>
      <c r="T950" t="s">
        <v>44</v>
      </c>
      <c r="U950" t="s">
        <v>44</v>
      </c>
      <c r="V950">
        <v>23</v>
      </c>
      <c r="W950" t="s">
        <v>60</v>
      </c>
      <c r="X950">
        <v>9</v>
      </c>
      <c r="Y950">
        <v>3</v>
      </c>
      <c r="Z950" t="s">
        <v>61</v>
      </c>
      <c r="AA950">
        <v>9</v>
      </c>
      <c r="AB950" t="s">
        <v>47</v>
      </c>
      <c r="AC950">
        <v>1</v>
      </c>
      <c r="AD950" t="s">
        <v>48</v>
      </c>
      <c r="AE950">
        <v>0</v>
      </c>
      <c r="AF950" t="s">
        <v>49</v>
      </c>
    </row>
    <row r="951" spans="1:32" x14ac:dyDescent="0.25">
      <c r="A951">
        <v>39</v>
      </c>
      <c r="B951" t="s">
        <v>32</v>
      </c>
      <c r="C951" t="s">
        <v>50</v>
      </c>
      <c r="D951" t="s">
        <v>34</v>
      </c>
      <c r="E951" t="s">
        <v>52</v>
      </c>
      <c r="F951">
        <v>18</v>
      </c>
      <c r="G951" t="s">
        <v>66</v>
      </c>
      <c r="H951">
        <v>1</v>
      </c>
      <c r="I951" t="s">
        <v>37</v>
      </c>
      <c r="J951" t="s">
        <v>54</v>
      </c>
      <c r="K951">
        <v>3</v>
      </c>
      <c r="L951" t="s">
        <v>39</v>
      </c>
      <c r="M951">
        <v>2</v>
      </c>
      <c r="N951" t="s">
        <v>40</v>
      </c>
      <c r="O951" t="s">
        <v>69</v>
      </c>
      <c r="P951">
        <v>3</v>
      </c>
      <c r="Q951" t="s">
        <v>42</v>
      </c>
      <c r="R951" t="s">
        <v>43</v>
      </c>
      <c r="S951">
        <v>0</v>
      </c>
      <c r="T951" t="s">
        <v>44</v>
      </c>
      <c r="U951" t="s">
        <v>59</v>
      </c>
      <c r="V951">
        <v>11</v>
      </c>
      <c r="W951" t="s">
        <v>45</v>
      </c>
      <c r="X951">
        <v>9</v>
      </c>
      <c r="Y951">
        <v>3</v>
      </c>
      <c r="Z951" t="s">
        <v>61</v>
      </c>
      <c r="AA951">
        <v>8</v>
      </c>
      <c r="AB951" t="s">
        <v>47</v>
      </c>
      <c r="AC951">
        <v>7</v>
      </c>
      <c r="AD951" t="s">
        <v>47</v>
      </c>
      <c r="AE951">
        <v>1</v>
      </c>
      <c r="AF951" t="s">
        <v>49</v>
      </c>
    </row>
    <row r="952" spans="1:32" x14ac:dyDescent="0.25">
      <c r="A952">
        <v>31</v>
      </c>
      <c r="B952" t="s">
        <v>32</v>
      </c>
      <c r="C952" t="s">
        <v>50</v>
      </c>
      <c r="D952" t="s">
        <v>34</v>
      </c>
      <c r="E952" t="s">
        <v>35</v>
      </c>
      <c r="F952">
        <v>2</v>
      </c>
      <c r="G952" t="s">
        <v>36</v>
      </c>
      <c r="H952">
        <v>4</v>
      </c>
      <c r="I952" t="s">
        <v>42</v>
      </c>
      <c r="J952" t="s">
        <v>38</v>
      </c>
      <c r="K952">
        <v>3</v>
      </c>
      <c r="L952" t="s">
        <v>39</v>
      </c>
      <c r="M952">
        <v>3</v>
      </c>
      <c r="N952" t="s">
        <v>68</v>
      </c>
      <c r="O952" t="s">
        <v>41</v>
      </c>
      <c r="P952">
        <v>3</v>
      </c>
      <c r="Q952" t="s">
        <v>42</v>
      </c>
      <c r="R952" t="s">
        <v>67</v>
      </c>
      <c r="S952">
        <v>1</v>
      </c>
      <c r="T952" t="s">
        <v>44</v>
      </c>
      <c r="U952" t="s">
        <v>44</v>
      </c>
      <c r="V952">
        <v>19</v>
      </c>
      <c r="W952" t="s">
        <v>45</v>
      </c>
      <c r="X952">
        <v>10</v>
      </c>
      <c r="Y952">
        <v>2</v>
      </c>
      <c r="Z952" t="s">
        <v>46</v>
      </c>
      <c r="AA952">
        <v>10</v>
      </c>
      <c r="AB952" t="s">
        <v>47</v>
      </c>
      <c r="AC952">
        <v>8</v>
      </c>
      <c r="AD952" t="s">
        <v>47</v>
      </c>
      <c r="AE952">
        <v>9</v>
      </c>
      <c r="AF952" t="s">
        <v>71</v>
      </c>
    </row>
    <row r="953" spans="1:32" x14ac:dyDescent="0.25">
      <c r="A953">
        <v>41</v>
      </c>
      <c r="B953" t="s">
        <v>32</v>
      </c>
      <c r="C953" t="s">
        <v>50</v>
      </c>
      <c r="D953" t="s">
        <v>34</v>
      </c>
      <c r="E953" t="s">
        <v>35</v>
      </c>
      <c r="F953">
        <v>10</v>
      </c>
      <c r="G953" t="s">
        <v>53</v>
      </c>
      <c r="H953">
        <v>3</v>
      </c>
      <c r="I953" t="s">
        <v>42</v>
      </c>
      <c r="J953" t="s">
        <v>54</v>
      </c>
      <c r="K953">
        <v>1</v>
      </c>
      <c r="L953" t="s">
        <v>55</v>
      </c>
      <c r="M953">
        <v>2</v>
      </c>
      <c r="N953" t="s">
        <v>40</v>
      </c>
      <c r="O953" t="s">
        <v>41</v>
      </c>
      <c r="P953">
        <v>2</v>
      </c>
      <c r="Q953" t="s">
        <v>57</v>
      </c>
      <c r="R953" t="s">
        <v>43</v>
      </c>
      <c r="S953">
        <v>1</v>
      </c>
      <c r="T953" t="s">
        <v>44</v>
      </c>
      <c r="U953" t="s">
        <v>59</v>
      </c>
      <c r="V953">
        <v>13</v>
      </c>
      <c r="W953" t="s">
        <v>45</v>
      </c>
      <c r="X953">
        <v>19</v>
      </c>
      <c r="Y953">
        <v>3</v>
      </c>
      <c r="Z953" t="s">
        <v>61</v>
      </c>
      <c r="AA953">
        <v>19</v>
      </c>
      <c r="AB953" t="s">
        <v>74</v>
      </c>
      <c r="AC953">
        <v>2</v>
      </c>
      <c r="AD953" t="s">
        <v>48</v>
      </c>
      <c r="AE953">
        <v>11</v>
      </c>
      <c r="AF953" t="s">
        <v>71</v>
      </c>
    </row>
    <row r="954" spans="1:32" x14ac:dyDescent="0.25">
      <c r="A954">
        <v>31</v>
      </c>
      <c r="B954" t="s">
        <v>32</v>
      </c>
      <c r="C954" t="s">
        <v>33</v>
      </c>
      <c r="D954" t="s">
        <v>51</v>
      </c>
      <c r="E954" t="s">
        <v>35</v>
      </c>
      <c r="F954">
        <v>1</v>
      </c>
      <c r="G954" t="s">
        <v>36</v>
      </c>
      <c r="H954">
        <v>4</v>
      </c>
      <c r="I954" t="s">
        <v>42</v>
      </c>
      <c r="J954" t="s">
        <v>38</v>
      </c>
      <c r="K954">
        <v>3</v>
      </c>
      <c r="L954" t="s">
        <v>39</v>
      </c>
      <c r="M954">
        <v>1</v>
      </c>
      <c r="N954" t="s">
        <v>40</v>
      </c>
      <c r="O954" t="s">
        <v>75</v>
      </c>
      <c r="P954">
        <v>2</v>
      </c>
      <c r="Q954" t="s">
        <v>57</v>
      </c>
      <c r="R954" t="s">
        <v>43</v>
      </c>
      <c r="S954">
        <v>1</v>
      </c>
      <c r="T954" t="s">
        <v>44</v>
      </c>
      <c r="U954" t="s">
        <v>44</v>
      </c>
      <c r="V954">
        <v>11</v>
      </c>
      <c r="W954" t="s">
        <v>45</v>
      </c>
      <c r="X954">
        <v>3</v>
      </c>
      <c r="Y954">
        <v>4</v>
      </c>
      <c r="Z954" t="s">
        <v>61</v>
      </c>
      <c r="AA954">
        <v>3</v>
      </c>
      <c r="AB954" t="s">
        <v>48</v>
      </c>
      <c r="AC954">
        <v>2</v>
      </c>
      <c r="AD954" t="s">
        <v>48</v>
      </c>
      <c r="AE954">
        <v>2</v>
      </c>
      <c r="AF954" t="s">
        <v>49</v>
      </c>
    </row>
    <row r="955" spans="1:32" x14ac:dyDescent="0.25">
      <c r="A955">
        <v>44</v>
      </c>
      <c r="B955" t="s">
        <v>32</v>
      </c>
      <c r="C955" t="s">
        <v>33</v>
      </c>
      <c r="D955" t="s">
        <v>34</v>
      </c>
      <c r="E955" t="s">
        <v>52</v>
      </c>
      <c r="F955">
        <v>3</v>
      </c>
      <c r="G955" t="s">
        <v>36</v>
      </c>
      <c r="H955">
        <v>1</v>
      </c>
      <c r="I955" t="s">
        <v>37</v>
      </c>
      <c r="J955" t="s">
        <v>54</v>
      </c>
      <c r="K955">
        <v>3</v>
      </c>
      <c r="L955" t="s">
        <v>39</v>
      </c>
      <c r="M955">
        <v>1</v>
      </c>
      <c r="N955" t="s">
        <v>40</v>
      </c>
      <c r="O955" t="s">
        <v>62</v>
      </c>
      <c r="P955">
        <v>1</v>
      </c>
      <c r="Q955" t="s">
        <v>57</v>
      </c>
      <c r="R955" t="s">
        <v>58</v>
      </c>
      <c r="S955">
        <v>4</v>
      </c>
      <c r="T955" t="s">
        <v>44</v>
      </c>
      <c r="U955" t="s">
        <v>59</v>
      </c>
      <c r="V955">
        <v>12</v>
      </c>
      <c r="W955" t="s">
        <v>45</v>
      </c>
      <c r="X955">
        <v>10</v>
      </c>
      <c r="Y955">
        <v>4</v>
      </c>
      <c r="Z955" t="s">
        <v>61</v>
      </c>
      <c r="AA955">
        <v>3</v>
      </c>
      <c r="AB955" t="s">
        <v>48</v>
      </c>
      <c r="AC955">
        <v>2</v>
      </c>
      <c r="AD955" t="s">
        <v>48</v>
      </c>
      <c r="AE955">
        <v>1</v>
      </c>
      <c r="AF955" t="s">
        <v>49</v>
      </c>
    </row>
    <row r="956" spans="1:32" x14ac:dyDescent="0.25">
      <c r="A956">
        <v>42</v>
      </c>
      <c r="B956" t="s">
        <v>32</v>
      </c>
      <c r="C956" t="s">
        <v>50</v>
      </c>
      <c r="D956" t="s">
        <v>34</v>
      </c>
      <c r="E956" t="s">
        <v>52</v>
      </c>
      <c r="F956">
        <v>2</v>
      </c>
      <c r="G956" t="s">
        <v>36</v>
      </c>
      <c r="H956">
        <v>3</v>
      </c>
      <c r="I956" t="s">
        <v>42</v>
      </c>
      <c r="J956" t="s">
        <v>54</v>
      </c>
      <c r="K956">
        <v>3</v>
      </c>
      <c r="L956" t="s">
        <v>39</v>
      </c>
      <c r="M956">
        <v>4</v>
      </c>
      <c r="N956" t="s">
        <v>72</v>
      </c>
      <c r="O956" t="s">
        <v>73</v>
      </c>
      <c r="P956">
        <v>3</v>
      </c>
      <c r="Q956" t="s">
        <v>42</v>
      </c>
      <c r="R956" t="s">
        <v>58</v>
      </c>
      <c r="S956">
        <v>0</v>
      </c>
      <c r="T956" t="s">
        <v>44</v>
      </c>
      <c r="U956" t="s">
        <v>44</v>
      </c>
      <c r="V956">
        <v>13</v>
      </c>
      <c r="W956" t="s">
        <v>45</v>
      </c>
      <c r="X956">
        <v>21</v>
      </c>
      <c r="Y956">
        <v>2</v>
      </c>
      <c r="Z956" t="s">
        <v>46</v>
      </c>
      <c r="AA956">
        <v>20</v>
      </c>
      <c r="AB956" t="s">
        <v>74</v>
      </c>
      <c r="AC956">
        <v>8</v>
      </c>
      <c r="AD956" t="s">
        <v>47</v>
      </c>
      <c r="AE956">
        <v>2</v>
      </c>
      <c r="AF956" t="s">
        <v>49</v>
      </c>
    </row>
    <row r="957" spans="1:32" x14ac:dyDescent="0.25">
      <c r="A957">
        <v>55</v>
      </c>
      <c r="B957" t="s">
        <v>64</v>
      </c>
      <c r="C957" t="s">
        <v>50</v>
      </c>
      <c r="D957" t="s">
        <v>34</v>
      </c>
      <c r="E957" t="s">
        <v>52</v>
      </c>
      <c r="F957">
        <v>2</v>
      </c>
      <c r="G957" t="s">
        <v>36</v>
      </c>
      <c r="H957">
        <v>4</v>
      </c>
      <c r="I957" t="s">
        <v>42</v>
      </c>
      <c r="J957" t="s">
        <v>38</v>
      </c>
      <c r="K957">
        <v>1</v>
      </c>
      <c r="L957" t="s">
        <v>55</v>
      </c>
      <c r="M957">
        <v>5</v>
      </c>
      <c r="N957" t="s">
        <v>72</v>
      </c>
      <c r="O957" t="s">
        <v>73</v>
      </c>
      <c r="P957">
        <v>3</v>
      </c>
      <c r="Q957" t="s">
        <v>42</v>
      </c>
      <c r="R957" t="s">
        <v>58</v>
      </c>
      <c r="S957">
        <v>4</v>
      </c>
      <c r="T957" t="s">
        <v>44</v>
      </c>
      <c r="U957" t="s">
        <v>59</v>
      </c>
      <c r="V957">
        <v>14</v>
      </c>
      <c r="W957" t="s">
        <v>45</v>
      </c>
      <c r="X957">
        <v>23</v>
      </c>
      <c r="Y957">
        <v>3</v>
      </c>
      <c r="Z957" t="s">
        <v>61</v>
      </c>
      <c r="AA957">
        <v>19</v>
      </c>
      <c r="AB957" t="s">
        <v>74</v>
      </c>
      <c r="AC957">
        <v>9</v>
      </c>
      <c r="AD957" t="s">
        <v>47</v>
      </c>
      <c r="AE957">
        <v>9</v>
      </c>
      <c r="AF957" t="s">
        <v>71</v>
      </c>
    </row>
    <row r="958" spans="1:32" x14ac:dyDescent="0.25">
      <c r="A958">
        <v>56</v>
      </c>
      <c r="B958" t="s">
        <v>64</v>
      </c>
      <c r="C958" t="s">
        <v>50</v>
      </c>
      <c r="D958" t="s">
        <v>34</v>
      </c>
      <c r="E958" t="s">
        <v>77</v>
      </c>
      <c r="F958">
        <v>8</v>
      </c>
      <c r="G958" t="s">
        <v>53</v>
      </c>
      <c r="H958">
        <v>4</v>
      </c>
      <c r="I958" t="s">
        <v>42</v>
      </c>
      <c r="J958" t="s">
        <v>54</v>
      </c>
      <c r="K958">
        <v>3</v>
      </c>
      <c r="L958" t="s">
        <v>39</v>
      </c>
      <c r="M958">
        <v>5</v>
      </c>
      <c r="N958" t="s">
        <v>72</v>
      </c>
      <c r="O958" t="s">
        <v>73</v>
      </c>
      <c r="P958">
        <v>2</v>
      </c>
      <c r="Q958" t="s">
        <v>57</v>
      </c>
      <c r="R958" t="s">
        <v>43</v>
      </c>
      <c r="S958">
        <v>6</v>
      </c>
      <c r="T958" t="s">
        <v>44</v>
      </c>
      <c r="U958" t="s">
        <v>59</v>
      </c>
      <c r="V958">
        <v>14</v>
      </c>
      <c r="W958" t="s">
        <v>45</v>
      </c>
      <c r="X958">
        <v>36</v>
      </c>
      <c r="Y958">
        <v>3</v>
      </c>
      <c r="Z958" t="s">
        <v>61</v>
      </c>
      <c r="AA958">
        <v>7</v>
      </c>
      <c r="AB958" t="s">
        <v>47</v>
      </c>
      <c r="AC958">
        <v>3</v>
      </c>
      <c r="AD958" t="s">
        <v>48</v>
      </c>
      <c r="AE958">
        <v>7</v>
      </c>
      <c r="AF958" t="s">
        <v>71</v>
      </c>
    </row>
    <row r="959" spans="1:32" x14ac:dyDescent="0.25">
      <c r="A959">
        <v>40</v>
      </c>
      <c r="B959" t="s">
        <v>32</v>
      </c>
      <c r="C959" t="s">
        <v>50</v>
      </c>
      <c r="D959" t="s">
        <v>34</v>
      </c>
      <c r="E959" t="s">
        <v>52</v>
      </c>
      <c r="F959">
        <v>16</v>
      </c>
      <c r="G959" t="s">
        <v>66</v>
      </c>
      <c r="H959">
        <v>3</v>
      </c>
      <c r="I959" t="s">
        <v>42</v>
      </c>
      <c r="J959" t="s">
        <v>54</v>
      </c>
      <c r="K959">
        <v>3</v>
      </c>
      <c r="L959" t="s">
        <v>39</v>
      </c>
      <c r="M959">
        <v>1</v>
      </c>
      <c r="N959" t="s">
        <v>40</v>
      </c>
      <c r="O959" t="s">
        <v>56</v>
      </c>
      <c r="P959">
        <v>3</v>
      </c>
      <c r="Q959" t="s">
        <v>42</v>
      </c>
      <c r="R959" t="s">
        <v>67</v>
      </c>
      <c r="S959">
        <v>9</v>
      </c>
      <c r="T959" t="s">
        <v>44</v>
      </c>
      <c r="U959" t="s">
        <v>59</v>
      </c>
      <c r="V959">
        <v>16</v>
      </c>
      <c r="W959" t="s">
        <v>45</v>
      </c>
      <c r="X959">
        <v>6</v>
      </c>
      <c r="Y959">
        <v>3</v>
      </c>
      <c r="Z959" t="s">
        <v>61</v>
      </c>
      <c r="AA959">
        <v>4</v>
      </c>
      <c r="AB959" t="s">
        <v>48</v>
      </c>
      <c r="AC959">
        <v>2</v>
      </c>
      <c r="AD959" t="s">
        <v>48</v>
      </c>
      <c r="AE959">
        <v>0</v>
      </c>
      <c r="AF959" t="s">
        <v>49</v>
      </c>
    </row>
    <row r="960" spans="1:32" x14ac:dyDescent="0.25">
      <c r="A960">
        <v>34</v>
      </c>
      <c r="B960" t="s">
        <v>32</v>
      </c>
      <c r="C960" t="s">
        <v>50</v>
      </c>
      <c r="D960" t="s">
        <v>34</v>
      </c>
      <c r="E960" t="s">
        <v>52</v>
      </c>
      <c r="F960">
        <v>9</v>
      </c>
      <c r="G960" t="s">
        <v>53</v>
      </c>
      <c r="H960">
        <v>4</v>
      </c>
      <c r="I960" t="s">
        <v>42</v>
      </c>
      <c r="J960" t="s">
        <v>54</v>
      </c>
      <c r="K960">
        <v>3</v>
      </c>
      <c r="L960" t="s">
        <v>39</v>
      </c>
      <c r="M960">
        <v>3</v>
      </c>
      <c r="N960" t="s">
        <v>68</v>
      </c>
      <c r="O960" t="s">
        <v>70</v>
      </c>
      <c r="P960">
        <v>4</v>
      </c>
      <c r="Q960" t="s">
        <v>42</v>
      </c>
      <c r="R960" t="s">
        <v>67</v>
      </c>
      <c r="S960">
        <v>0</v>
      </c>
      <c r="T960" t="s">
        <v>44</v>
      </c>
      <c r="U960" t="s">
        <v>59</v>
      </c>
      <c r="V960">
        <v>11</v>
      </c>
      <c r="W960" t="s">
        <v>45</v>
      </c>
      <c r="X960">
        <v>10</v>
      </c>
      <c r="Y960">
        <v>2</v>
      </c>
      <c r="Z960" t="s">
        <v>46</v>
      </c>
      <c r="AA960">
        <v>9</v>
      </c>
      <c r="AB960" t="s">
        <v>47</v>
      </c>
      <c r="AC960">
        <v>7</v>
      </c>
      <c r="AD960" t="s">
        <v>47</v>
      </c>
      <c r="AE960">
        <v>1</v>
      </c>
      <c r="AF960" t="s">
        <v>49</v>
      </c>
    </row>
    <row r="961" spans="1:32" x14ac:dyDescent="0.25">
      <c r="A961">
        <v>40</v>
      </c>
      <c r="B961" t="s">
        <v>32</v>
      </c>
      <c r="C961" t="s">
        <v>50</v>
      </c>
      <c r="D961" t="s">
        <v>34</v>
      </c>
      <c r="E961" t="s">
        <v>52</v>
      </c>
      <c r="F961">
        <v>2</v>
      </c>
      <c r="G961" t="s">
        <v>36</v>
      </c>
      <c r="H961">
        <v>3</v>
      </c>
      <c r="I961" t="s">
        <v>42</v>
      </c>
      <c r="J961" t="s">
        <v>54</v>
      </c>
      <c r="K961">
        <v>3</v>
      </c>
      <c r="L961" t="s">
        <v>39</v>
      </c>
      <c r="M961">
        <v>2</v>
      </c>
      <c r="N961" t="s">
        <v>40</v>
      </c>
      <c r="O961" t="s">
        <v>56</v>
      </c>
      <c r="P961">
        <v>4</v>
      </c>
      <c r="Q961" t="s">
        <v>42</v>
      </c>
      <c r="R961" t="s">
        <v>43</v>
      </c>
      <c r="S961">
        <v>1</v>
      </c>
      <c r="T961" t="s">
        <v>44</v>
      </c>
      <c r="U961" t="s">
        <v>59</v>
      </c>
      <c r="V961">
        <v>13</v>
      </c>
      <c r="W961" t="s">
        <v>45</v>
      </c>
      <c r="X961">
        <v>9</v>
      </c>
      <c r="Y961">
        <v>3</v>
      </c>
      <c r="Z961" t="s">
        <v>61</v>
      </c>
      <c r="AA961">
        <v>9</v>
      </c>
      <c r="AB961" t="s">
        <v>47</v>
      </c>
      <c r="AC961">
        <v>8</v>
      </c>
      <c r="AD961" t="s">
        <v>47</v>
      </c>
      <c r="AE961">
        <v>8</v>
      </c>
      <c r="AF961" t="s">
        <v>71</v>
      </c>
    </row>
    <row r="962" spans="1:32" x14ac:dyDescent="0.25">
      <c r="A962">
        <v>41</v>
      </c>
      <c r="B962" t="s">
        <v>32</v>
      </c>
      <c r="C962" t="s">
        <v>50</v>
      </c>
      <c r="D962" t="s">
        <v>51</v>
      </c>
      <c r="E962" t="s">
        <v>35</v>
      </c>
      <c r="F962">
        <v>1</v>
      </c>
      <c r="G962" t="s">
        <v>36</v>
      </c>
      <c r="H962">
        <v>3</v>
      </c>
      <c r="I962" t="s">
        <v>42</v>
      </c>
      <c r="J962" t="s">
        <v>38</v>
      </c>
      <c r="K962">
        <v>3</v>
      </c>
      <c r="L962" t="s">
        <v>39</v>
      </c>
      <c r="M962">
        <v>2</v>
      </c>
      <c r="N962" t="s">
        <v>40</v>
      </c>
      <c r="O962" t="s">
        <v>41</v>
      </c>
      <c r="P962">
        <v>1</v>
      </c>
      <c r="Q962" t="s">
        <v>57</v>
      </c>
      <c r="R962" t="s">
        <v>67</v>
      </c>
      <c r="S962">
        <v>0</v>
      </c>
      <c r="T962" t="s">
        <v>44</v>
      </c>
      <c r="U962" t="s">
        <v>59</v>
      </c>
      <c r="V962">
        <v>17</v>
      </c>
      <c r="W962" t="s">
        <v>45</v>
      </c>
      <c r="X962">
        <v>10</v>
      </c>
      <c r="Y962">
        <v>3</v>
      </c>
      <c r="Z962" t="s">
        <v>61</v>
      </c>
      <c r="AA962">
        <v>9</v>
      </c>
      <c r="AB962" t="s">
        <v>47</v>
      </c>
      <c r="AC962">
        <v>3</v>
      </c>
      <c r="AD962" t="s">
        <v>48</v>
      </c>
      <c r="AE962">
        <v>1</v>
      </c>
      <c r="AF962" t="s">
        <v>49</v>
      </c>
    </row>
    <row r="963" spans="1:32" x14ac:dyDescent="0.25">
      <c r="A963">
        <v>35</v>
      </c>
      <c r="B963" t="s">
        <v>32</v>
      </c>
      <c r="C963" t="s">
        <v>50</v>
      </c>
      <c r="D963" t="s">
        <v>51</v>
      </c>
      <c r="E963" t="s">
        <v>52</v>
      </c>
      <c r="F963">
        <v>4</v>
      </c>
      <c r="G963" t="s">
        <v>36</v>
      </c>
      <c r="H963">
        <v>3</v>
      </c>
      <c r="I963" t="s">
        <v>42</v>
      </c>
      <c r="J963" t="s">
        <v>54</v>
      </c>
      <c r="K963">
        <v>3</v>
      </c>
      <c r="L963" t="s">
        <v>39</v>
      </c>
      <c r="M963">
        <v>2</v>
      </c>
      <c r="N963" t="s">
        <v>40</v>
      </c>
      <c r="O963" t="s">
        <v>56</v>
      </c>
      <c r="P963">
        <v>3</v>
      </c>
      <c r="Q963" t="s">
        <v>42</v>
      </c>
      <c r="R963" t="s">
        <v>43</v>
      </c>
      <c r="S963">
        <v>1</v>
      </c>
      <c r="T963" t="s">
        <v>44</v>
      </c>
      <c r="U963" t="s">
        <v>44</v>
      </c>
      <c r="V963">
        <v>11</v>
      </c>
      <c r="W963" t="s">
        <v>45</v>
      </c>
      <c r="X963">
        <v>9</v>
      </c>
      <c r="Y963">
        <v>3</v>
      </c>
      <c r="Z963" t="s">
        <v>61</v>
      </c>
      <c r="AA963">
        <v>9</v>
      </c>
      <c r="AB963" t="s">
        <v>47</v>
      </c>
      <c r="AC963">
        <v>6</v>
      </c>
      <c r="AD963" t="s">
        <v>47</v>
      </c>
      <c r="AE963">
        <v>1</v>
      </c>
      <c r="AF963" t="s">
        <v>49</v>
      </c>
    </row>
    <row r="964" spans="1:32" x14ac:dyDescent="0.25">
      <c r="A964">
        <v>51</v>
      </c>
      <c r="B964" t="s">
        <v>64</v>
      </c>
      <c r="C964" t="s">
        <v>50</v>
      </c>
      <c r="D964" t="s">
        <v>34</v>
      </c>
      <c r="E964" t="s">
        <v>77</v>
      </c>
      <c r="F964">
        <v>5</v>
      </c>
      <c r="G964" t="s">
        <v>36</v>
      </c>
      <c r="H964">
        <v>3</v>
      </c>
      <c r="I964" t="s">
        <v>42</v>
      </c>
      <c r="J964" t="s">
        <v>54</v>
      </c>
      <c r="K964">
        <v>3</v>
      </c>
      <c r="L964" t="s">
        <v>39</v>
      </c>
      <c r="M964">
        <v>4</v>
      </c>
      <c r="N964" t="s">
        <v>72</v>
      </c>
      <c r="O964" t="s">
        <v>73</v>
      </c>
      <c r="P964">
        <v>2</v>
      </c>
      <c r="Q964" t="s">
        <v>57</v>
      </c>
      <c r="R964" t="s">
        <v>67</v>
      </c>
      <c r="S964">
        <v>1</v>
      </c>
      <c r="T964" t="s">
        <v>44</v>
      </c>
      <c r="U964" t="s">
        <v>44</v>
      </c>
      <c r="V964">
        <v>11</v>
      </c>
      <c r="W964" t="s">
        <v>45</v>
      </c>
      <c r="X964">
        <v>33</v>
      </c>
      <c r="Y964">
        <v>3</v>
      </c>
      <c r="Z964" t="s">
        <v>61</v>
      </c>
      <c r="AA964">
        <v>33</v>
      </c>
      <c r="AB964" t="s">
        <v>74</v>
      </c>
      <c r="AC964">
        <v>9</v>
      </c>
      <c r="AD964" t="s">
        <v>47</v>
      </c>
      <c r="AE964">
        <v>0</v>
      </c>
      <c r="AF964" t="s">
        <v>49</v>
      </c>
    </row>
    <row r="965" spans="1:32" x14ac:dyDescent="0.25">
      <c r="A965">
        <v>38</v>
      </c>
      <c r="B965" t="s">
        <v>32</v>
      </c>
      <c r="C965" t="s">
        <v>50</v>
      </c>
      <c r="D965" t="s">
        <v>34</v>
      </c>
      <c r="E965" t="s">
        <v>35</v>
      </c>
      <c r="F965">
        <v>2</v>
      </c>
      <c r="G965" t="s">
        <v>36</v>
      </c>
      <c r="H965">
        <v>2</v>
      </c>
      <c r="I965" t="s">
        <v>37</v>
      </c>
      <c r="J965" t="s">
        <v>38</v>
      </c>
      <c r="K965">
        <v>3</v>
      </c>
      <c r="L965" t="s">
        <v>39</v>
      </c>
      <c r="M965">
        <v>2</v>
      </c>
      <c r="N965" t="s">
        <v>40</v>
      </c>
      <c r="O965" t="s">
        <v>41</v>
      </c>
      <c r="P965">
        <v>1</v>
      </c>
      <c r="Q965" t="s">
        <v>57</v>
      </c>
      <c r="R965" t="s">
        <v>67</v>
      </c>
      <c r="S965">
        <v>3</v>
      </c>
      <c r="T965" t="s">
        <v>44</v>
      </c>
      <c r="U965" t="s">
        <v>59</v>
      </c>
      <c r="V965">
        <v>15</v>
      </c>
      <c r="W965" t="s">
        <v>45</v>
      </c>
      <c r="X965">
        <v>11</v>
      </c>
      <c r="Y965">
        <v>3</v>
      </c>
      <c r="Z965" t="s">
        <v>61</v>
      </c>
      <c r="AA965">
        <v>7</v>
      </c>
      <c r="AB965" t="s">
        <v>47</v>
      </c>
      <c r="AC965">
        <v>7</v>
      </c>
      <c r="AD965" t="s">
        <v>47</v>
      </c>
      <c r="AE965">
        <v>1</v>
      </c>
      <c r="AF965" t="s">
        <v>49</v>
      </c>
    </row>
    <row r="966" spans="1:32" x14ac:dyDescent="0.25">
      <c r="A966">
        <v>34</v>
      </c>
      <c r="B966" t="s">
        <v>32</v>
      </c>
      <c r="C966" t="s">
        <v>50</v>
      </c>
      <c r="D966" t="s">
        <v>34</v>
      </c>
      <c r="E966" t="s">
        <v>35</v>
      </c>
      <c r="F966">
        <v>15</v>
      </c>
      <c r="G966" t="s">
        <v>66</v>
      </c>
      <c r="H966">
        <v>3</v>
      </c>
      <c r="I966" t="s">
        <v>42</v>
      </c>
      <c r="J966" t="s">
        <v>38</v>
      </c>
      <c r="K966">
        <v>3</v>
      </c>
      <c r="L966" t="s">
        <v>39</v>
      </c>
      <c r="M966">
        <v>2</v>
      </c>
      <c r="N966" t="s">
        <v>40</v>
      </c>
      <c r="O966" t="s">
        <v>41</v>
      </c>
      <c r="P966">
        <v>1</v>
      </c>
      <c r="Q966" t="s">
        <v>57</v>
      </c>
      <c r="R966" t="s">
        <v>43</v>
      </c>
      <c r="S966">
        <v>1</v>
      </c>
      <c r="T966" t="s">
        <v>44</v>
      </c>
      <c r="U966" t="s">
        <v>59</v>
      </c>
      <c r="V966">
        <v>12</v>
      </c>
      <c r="W966" t="s">
        <v>45</v>
      </c>
      <c r="X966">
        <v>10</v>
      </c>
      <c r="Y966">
        <v>4</v>
      </c>
      <c r="Z966" t="s">
        <v>61</v>
      </c>
      <c r="AA966">
        <v>10</v>
      </c>
      <c r="AB966" t="s">
        <v>47</v>
      </c>
      <c r="AC966">
        <v>8</v>
      </c>
      <c r="AD966" t="s">
        <v>47</v>
      </c>
      <c r="AE966">
        <v>9</v>
      </c>
      <c r="AF966" t="s">
        <v>71</v>
      </c>
    </row>
    <row r="967" spans="1:32" x14ac:dyDescent="0.25">
      <c r="A967">
        <v>25</v>
      </c>
      <c r="B967" t="s">
        <v>63</v>
      </c>
      <c r="C967" t="s">
        <v>50</v>
      </c>
      <c r="D967" t="s">
        <v>34</v>
      </c>
      <c r="E967" t="s">
        <v>52</v>
      </c>
      <c r="F967">
        <v>19</v>
      </c>
      <c r="G967" t="s">
        <v>66</v>
      </c>
      <c r="H967">
        <v>4</v>
      </c>
      <c r="I967" t="s">
        <v>42</v>
      </c>
      <c r="J967" t="s">
        <v>54</v>
      </c>
      <c r="K967">
        <v>3</v>
      </c>
      <c r="L967" t="s">
        <v>39</v>
      </c>
      <c r="M967">
        <v>1</v>
      </c>
      <c r="N967" t="s">
        <v>40</v>
      </c>
      <c r="O967" t="s">
        <v>62</v>
      </c>
      <c r="P967">
        <v>4</v>
      </c>
      <c r="Q967" t="s">
        <v>42</v>
      </c>
      <c r="R967" t="s">
        <v>58</v>
      </c>
      <c r="S967">
        <v>3</v>
      </c>
      <c r="T967" t="s">
        <v>44</v>
      </c>
      <c r="U967" t="s">
        <v>59</v>
      </c>
      <c r="V967">
        <v>11</v>
      </c>
      <c r="W967" t="s">
        <v>45</v>
      </c>
      <c r="X967">
        <v>7</v>
      </c>
      <c r="Y967">
        <v>2</v>
      </c>
      <c r="Z967" t="s">
        <v>46</v>
      </c>
      <c r="AA967">
        <v>3</v>
      </c>
      <c r="AB967" t="s">
        <v>48</v>
      </c>
      <c r="AC967">
        <v>2</v>
      </c>
      <c r="AD967" t="s">
        <v>48</v>
      </c>
      <c r="AE967">
        <v>1</v>
      </c>
      <c r="AF967" t="s">
        <v>49</v>
      </c>
    </row>
    <row r="968" spans="1:32" x14ac:dyDescent="0.25">
      <c r="A968">
        <v>58</v>
      </c>
      <c r="B968" t="s">
        <v>64</v>
      </c>
      <c r="C968" t="s">
        <v>33</v>
      </c>
      <c r="D968" t="s">
        <v>34</v>
      </c>
      <c r="E968" t="s">
        <v>52</v>
      </c>
      <c r="F968">
        <v>7</v>
      </c>
      <c r="G968" t="s">
        <v>53</v>
      </c>
      <c r="H968">
        <v>3</v>
      </c>
      <c r="I968" t="s">
        <v>42</v>
      </c>
      <c r="J968" t="s">
        <v>38</v>
      </c>
      <c r="K968">
        <v>2</v>
      </c>
      <c r="L968" t="s">
        <v>55</v>
      </c>
      <c r="M968">
        <v>3</v>
      </c>
      <c r="N968" t="s">
        <v>68</v>
      </c>
      <c r="O968" t="s">
        <v>69</v>
      </c>
      <c r="P968">
        <v>1</v>
      </c>
      <c r="Q968" t="s">
        <v>57</v>
      </c>
      <c r="R968" t="s">
        <v>58</v>
      </c>
      <c r="S968">
        <v>7</v>
      </c>
      <c r="T968" t="s">
        <v>44</v>
      </c>
      <c r="U968" t="s">
        <v>44</v>
      </c>
      <c r="V968">
        <v>14</v>
      </c>
      <c r="W968" t="s">
        <v>45</v>
      </c>
      <c r="X968">
        <v>31</v>
      </c>
      <c r="Y968">
        <v>2</v>
      </c>
      <c r="Z968" t="s">
        <v>46</v>
      </c>
      <c r="AA968">
        <v>10</v>
      </c>
      <c r="AB968" t="s">
        <v>47</v>
      </c>
      <c r="AC968">
        <v>9</v>
      </c>
      <c r="AD968" t="s">
        <v>47</v>
      </c>
      <c r="AE968">
        <v>5</v>
      </c>
      <c r="AF968" t="s">
        <v>71</v>
      </c>
    </row>
    <row r="969" spans="1:32" x14ac:dyDescent="0.25">
      <c r="A969">
        <v>40</v>
      </c>
      <c r="B969" t="s">
        <v>32</v>
      </c>
      <c r="C969" t="s">
        <v>50</v>
      </c>
      <c r="D969" t="s">
        <v>34</v>
      </c>
      <c r="E969" t="s">
        <v>52</v>
      </c>
      <c r="F969">
        <v>1</v>
      </c>
      <c r="G969" t="s">
        <v>36</v>
      </c>
      <c r="H969">
        <v>2</v>
      </c>
      <c r="I969" t="s">
        <v>37</v>
      </c>
      <c r="J969" t="s">
        <v>54</v>
      </c>
      <c r="K969">
        <v>3</v>
      </c>
      <c r="L969" t="s">
        <v>39</v>
      </c>
      <c r="M969">
        <v>1</v>
      </c>
      <c r="N969" t="s">
        <v>40</v>
      </c>
      <c r="O969" t="s">
        <v>62</v>
      </c>
      <c r="P969">
        <v>2</v>
      </c>
      <c r="Q969" t="s">
        <v>57</v>
      </c>
      <c r="R969" t="s">
        <v>58</v>
      </c>
      <c r="S969">
        <v>3</v>
      </c>
      <c r="T969" t="s">
        <v>44</v>
      </c>
      <c r="U969" t="s">
        <v>59</v>
      </c>
      <c r="V969">
        <v>22</v>
      </c>
      <c r="W969" t="s">
        <v>60</v>
      </c>
      <c r="X969">
        <v>7</v>
      </c>
      <c r="Y969">
        <v>3</v>
      </c>
      <c r="Z969" t="s">
        <v>61</v>
      </c>
      <c r="AA969">
        <v>4</v>
      </c>
      <c r="AB969" t="s">
        <v>48</v>
      </c>
      <c r="AC969">
        <v>2</v>
      </c>
      <c r="AD969" t="s">
        <v>48</v>
      </c>
      <c r="AE969">
        <v>0</v>
      </c>
      <c r="AF969" t="s">
        <v>49</v>
      </c>
    </row>
    <row r="970" spans="1:32" x14ac:dyDescent="0.25">
      <c r="A970">
        <v>36</v>
      </c>
      <c r="B970" t="s">
        <v>32</v>
      </c>
      <c r="C970" t="s">
        <v>50</v>
      </c>
      <c r="D970" t="s">
        <v>51</v>
      </c>
      <c r="E970" t="s">
        <v>35</v>
      </c>
      <c r="F970">
        <v>7</v>
      </c>
      <c r="G970" t="s">
        <v>53</v>
      </c>
      <c r="H970">
        <v>1</v>
      </c>
      <c r="I970" t="s">
        <v>37</v>
      </c>
      <c r="J970" t="s">
        <v>38</v>
      </c>
      <c r="K970">
        <v>4</v>
      </c>
      <c r="L970" t="s">
        <v>65</v>
      </c>
      <c r="M970">
        <v>2</v>
      </c>
      <c r="N970" t="s">
        <v>40</v>
      </c>
      <c r="O970" t="s">
        <v>41</v>
      </c>
      <c r="P970">
        <v>1</v>
      </c>
      <c r="Q970" t="s">
        <v>57</v>
      </c>
      <c r="R970" t="s">
        <v>58</v>
      </c>
      <c r="S970">
        <v>2</v>
      </c>
      <c r="T970" t="s">
        <v>44</v>
      </c>
      <c r="U970" t="s">
        <v>59</v>
      </c>
      <c r="V970">
        <v>16</v>
      </c>
      <c r="W970" t="s">
        <v>45</v>
      </c>
      <c r="X970">
        <v>17</v>
      </c>
      <c r="Y970">
        <v>2</v>
      </c>
      <c r="Z970" t="s">
        <v>46</v>
      </c>
      <c r="AA970">
        <v>15</v>
      </c>
      <c r="AB970" t="s">
        <v>74</v>
      </c>
      <c r="AC970">
        <v>7</v>
      </c>
      <c r="AD970" t="s">
        <v>47</v>
      </c>
      <c r="AE970">
        <v>6</v>
      </c>
      <c r="AF970" t="s">
        <v>71</v>
      </c>
    </row>
    <row r="971" spans="1:32" x14ac:dyDescent="0.25">
      <c r="A971">
        <v>48</v>
      </c>
      <c r="B971" t="s">
        <v>32</v>
      </c>
      <c r="C971" t="s">
        <v>50</v>
      </c>
      <c r="D971" t="s">
        <v>34</v>
      </c>
      <c r="E971" t="s">
        <v>52</v>
      </c>
      <c r="F971">
        <v>4</v>
      </c>
      <c r="G971" t="s">
        <v>36</v>
      </c>
      <c r="H971">
        <v>4</v>
      </c>
      <c r="I971" t="s">
        <v>42</v>
      </c>
      <c r="J971" t="s">
        <v>54</v>
      </c>
      <c r="K971">
        <v>3</v>
      </c>
      <c r="L971" t="s">
        <v>39</v>
      </c>
      <c r="M971">
        <v>3</v>
      </c>
      <c r="N971" t="s">
        <v>68</v>
      </c>
      <c r="O971" t="s">
        <v>69</v>
      </c>
      <c r="P971">
        <v>4</v>
      </c>
      <c r="Q971" t="s">
        <v>42</v>
      </c>
      <c r="R971" t="s">
        <v>43</v>
      </c>
      <c r="S971">
        <v>1</v>
      </c>
      <c r="T971" t="s">
        <v>44</v>
      </c>
      <c r="U971" t="s">
        <v>59</v>
      </c>
      <c r="V971">
        <v>11</v>
      </c>
      <c r="W971" t="s">
        <v>45</v>
      </c>
      <c r="X971">
        <v>11</v>
      </c>
      <c r="Y971">
        <v>3</v>
      </c>
      <c r="Z971" t="s">
        <v>61</v>
      </c>
      <c r="AA971">
        <v>10</v>
      </c>
      <c r="AB971" t="s">
        <v>47</v>
      </c>
      <c r="AC971">
        <v>9</v>
      </c>
      <c r="AD971" t="s">
        <v>47</v>
      </c>
      <c r="AE971">
        <v>0</v>
      </c>
      <c r="AF971" t="s">
        <v>49</v>
      </c>
    </row>
    <row r="972" spans="1:32" x14ac:dyDescent="0.25">
      <c r="A972">
        <v>27</v>
      </c>
      <c r="B972" t="s">
        <v>63</v>
      </c>
      <c r="C972" t="s">
        <v>50</v>
      </c>
      <c r="D972" t="s">
        <v>34</v>
      </c>
      <c r="E972" t="s">
        <v>35</v>
      </c>
      <c r="F972">
        <v>11</v>
      </c>
      <c r="G972" t="s">
        <v>53</v>
      </c>
      <c r="H972">
        <v>3</v>
      </c>
      <c r="I972" t="s">
        <v>42</v>
      </c>
      <c r="J972" t="s">
        <v>38</v>
      </c>
      <c r="K972">
        <v>4</v>
      </c>
      <c r="L972" t="s">
        <v>65</v>
      </c>
      <c r="M972">
        <v>1</v>
      </c>
      <c r="N972" t="s">
        <v>40</v>
      </c>
      <c r="O972" t="s">
        <v>75</v>
      </c>
      <c r="P972">
        <v>4</v>
      </c>
      <c r="Q972" t="s">
        <v>42</v>
      </c>
      <c r="R972" t="s">
        <v>58</v>
      </c>
      <c r="S972">
        <v>8</v>
      </c>
      <c r="T972" t="s">
        <v>44</v>
      </c>
      <c r="U972" t="s">
        <v>59</v>
      </c>
      <c r="V972">
        <v>14</v>
      </c>
      <c r="W972" t="s">
        <v>45</v>
      </c>
      <c r="X972">
        <v>5</v>
      </c>
      <c r="Y972">
        <v>3</v>
      </c>
      <c r="Z972" t="s">
        <v>61</v>
      </c>
      <c r="AA972">
        <v>1</v>
      </c>
      <c r="AB972" t="s">
        <v>48</v>
      </c>
      <c r="AC972">
        <v>0</v>
      </c>
      <c r="AD972" t="s">
        <v>48</v>
      </c>
      <c r="AE972">
        <v>0</v>
      </c>
      <c r="AF972" t="s">
        <v>49</v>
      </c>
    </row>
    <row r="973" spans="1:32" x14ac:dyDescent="0.25">
      <c r="A973">
        <v>51</v>
      </c>
      <c r="B973" t="s">
        <v>64</v>
      </c>
      <c r="C973" t="s">
        <v>50</v>
      </c>
      <c r="D973" t="s">
        <v>34</v>
      </c>
      <c r="E973" t="s">
        <v>52</v>
      </c>
      <c r="F973">
        <v>11</v>
      </c>
      <c r="G973" t="s">
        <v>53</v>
      </c>
      <c r="H973">
        <v>4</v>
      </c>
      <c r="I973" t="s">
        <v>42</v>
      </c>
      <c r="J973" t="s">
        <v>38</v>
      </c>
      <c r="K973">
        <v>2</v>
      </c>
      <c r="L973" t="s">
        <v>55</v>
      </c>
      <c r="M973">
        <v>4</v>
      </c>
      <c r="N973" t="s">
        <v>72</v>
      </c>
      <c r="O973" t="s">
        <v>69</v>
      </c>
      <c r="P973">
        <v>2</v>
      </c>
      <c r="Q973" t="s">
        <v>57</v>
      </c>
      <c r="R973" t="s">
        <v>43</v>
      </c>
      <c r="S973">
        <v>3</v>
      </c>
      <c r="T973" t="s">
        <v>44</v>
      </c>
      <c r="U973" t="s">
        <v>59</v>
      </c>
      <c r="V973">
        <v>16</v>
      </c>
      <c r="W973" t="s">
        <v>45</v>
      </c>
      <c r="X973">
        <v>29</v>
      </c>
      <c r="Y973">
        <v>2</v>
      </c>
      <c r="Z973" t="s">
        <v>46</v>
      </c>
      <c r="AA973">
        <v>5</v>
      </c>
      <c r="AB973" t="s">
        <v>47</v>
      </c>
      <c r="AC973">
        <v>2</v>
      </c>
      <c r="AD973" t="s">
        <v>48</v>
      </c>
      <c r="AE973">
        <v>0</v>
      </c>
      <c r="AF973" t="s">
        <v>49</v>
      </c>
    </row>
    <row r="974" spans="1:32" x14ac:dyDescent="0.25">
      <c r="A974">
        <v>18</v>
      </c>
      <c r="B974" t="s">
        <v>63</v>
      </c>
      <c r="C974" t="s">
        <v>50</v>
      </c>
      <c r="D974" t="s">
        <v>34</v>
      </c>
      <c r="E974" t="s">
        <v>52</v>
      </c>
      <c r="F974">
        <v>1</v>
      </c>
      <c r="G974" t="s">
        <v>36</v>
      </c>
      <c r="H974">
        <v>4</v>
      </c>
      <c r="I974" t="s">
        <v>42</v>
      </c>
      <c r="J974" t="s">
        <v>38</v>
      </c>
      <c r="K974">
        <v>3</v>
      </c>
      <c r="L974" t="s">
        <v>39</v>
      </c>
      <c r="M974">
        <v>1</v>
      </c>
      <c r="N974" t="s">
        <v>40</v>
      </c>
      <c r="O974" t="s">
        <v>62</v>
      </c>
      <c r="P974">
        <v>4</v>
      </c>
      <c r="Q974" t="s">
        <v>42</v>
      </c>
      <c r="R974" t="s">
        <v>43</v>
      </c>
      <c r="S974">
        <v>1</v>
      </c>
      <c r="T974" t="s">
        <v>44</v>
      </c>
      <c r="U974" t="s">
        <v>59</v>
      </c>
      <c r="V974">
        <v>15</v>
      </c>
      <c r="W974" t="s">
        <v>45</v>
      </c>
      <c r="X974">
        <v>0</v>
      </c>
      <c r="Y974">
        <v>4</v>
      </c>
      <c r="Z974" t="s">
        <v>61</v>
      </c>
      <c r="AA974">
        <v>0</v>
      </c>
      <c r="AB974" t="s">
        <v>48</v>
      </c>
      <c r="AC974">
        <v>0</v>
      </c>
      <c r="AD974" t="s">
        <v>48</v>
      </c>
      <c r="AE974">
        <v>0</v>
      </c>
      <c r="AF974" t="s">
        <v>49</v>
      </c>
    </row>
    <row r="975" spans="1:32" x14ac:dyDescent="0.25">
      <c r="A975">
        <v>35</v>
      </c>
      <c r="B975" t="s">
        <v>32</v>
      </c>
      <c r="C975" t="s">
        <v>50</v>
      </c>
      <c r="D975" t="s">
        <v>34</v>
      </c>
      <c r="E975" t="s">
        <v>52</v>
      </c>
      <c r="F975">
        <v>1</v>
      </c>
      <c r="G975" t="s">
        <v>36</v>
      </c>
      <c r="H975">
        <v>4</v>
      </c>
      <c r="I975" t="s">
        <v>42</v>
      </c>
      <c r="J975" t="s">
        <v>38</v>
      </c>
      <c r="K975">
        <v>2</v>
      </c>
      <c r="L975" t="s">
        <v>55</v>
      </c>
      <c r="M975">
        <v>2</v>
      </c>
      <c r="N975" t="s">
        <v>40</v>
      </c>
      <c r="O975" t="s">
        <v>62</v>
      </c>
      <c r="P975">
        <v>4</v>
      </c>
      <c r="Q975" t="s">
        <v>42</v>
      </c>
      <c r="R975" t="s">
        <v>58</v>
      </c>
      <c r="S975">
        <v>0</v>
      </c>
      <c r="T975" t="s">
        <v>44</v>
      </c>
      <c r="U975" t="s">
        <v>59</v>
      </c>
      <c r="V975">
        <v>12</v>
      </c>
      <c r="W975" t="s">
        <v>45</v>
      </c>
      <c r="X975">
        <v>10</v>
      </c>
      <c r="Y975">
        <v>3</v>
      </c>
      <c r="Z975" t="s">
        <v>61</v>
      </c>
      <c r="AA975">
        <v>9</v>
      </c>
      <c r="AB975" t="s">
        <v>47</v>
      </c>
      <c r="AC975">
        <v>7</v>
      </c>
      <c r="AD975" t="s">
        <v>47</v>
      </c>
      <c r="AE975">
        <v>0</v>
      </c>
      <c r="AF975" t="s">
        <v>49</v>
      </c>
    </row>
    <row r="976" spans="1:32" x14ac:dyDescent="0.25">
      <c r="A976">
        <v>27</v>
      </c>
      <c r="B976" t="s">
        <v>63</v>
      </c>
      <c r="C976" t="s">
        <v>50</v>
      </c>
      <c r="D976" t="s">
        <v>51</v>
      </c>
      <c r="E976" t="s">
        <v>35</v>
      </c>
      <c r="F976">
        <v>2</v>
      </c>
      <c r="G976" t="s">
        <v>36</v>
      </c>
      <c r="H976">
        <v>4</v>
      </c>
      <c r="I976" t="s">
        <v>42</v>
      </c>
      <c r="J976" t="s">
        <v>54</v>
      </c>
      <c r="K976">
        <v>1</v>
      </c>
      <c r="L976" t="s">
        <v>55</v>
      </c>
      <c r="M976">
        <v>2</v>
      </c>
      <c r="N976" t="s">
        <v>40</v>
      </c>
      <c r="O976" t="s">
        <v>41</v>
      </c>
      <c r="P976">
        <v>4</v>
      </c>
      <c r="Q976" t="s">
        <v>42</v>
      </c>
      <c r="R976" t="s">
        <v>43</v>
      </c>
      <c r="S976">
        <v>3</v>
      </c>
      <c r="T976" t="s">
        <v>44</v>
      </c>
      <c r="U976" t="s">
        <v>59</v>
      </c>
      <c r="V976">
        <v>20</v>
      </c>
      <c r="W976" t="s">
        <v>60</v>
      </c>
      <c r="X976">
        <v>8</v>
      </c>
      <c r="Y976">
        <v>3</v>
      </c>
      <c r="Z976" t="s">
        <v>61</v>
      </c>
      <c r="AA976">
        <v>6</v>
      </c>
      <c r="AB976" t="s">
        <v>47</v>
      </c>
      <c r="AC976">
        <v>2</v>
      </c>
      <c r="AD976" t="s">
        <v>48</v>
      </c>
      <c r="AE976">
        <v>0</v>
      </c>
      <c r="AF976" t="s">
        <v>49</v>
      </c>
    </row>
    <row r="977" spans="1:32" x14ac:dyDescent="0.25">
      <c r="A977">
        <v>55</v>
      </c>
      <c r="B977" t="s">
        <v>64</v>
      </c>
      <c r="C977" t="s">
        <v>33</v>
      </c>
      <c r="D977" t="s">
        <v>34</v>
      </c>
      <c r="E977" t="s">
        <v>35</v>
      </c>
      <c r="F977">
        <v>13</v>
      </c>
      <c r="G977" t="s">
        <v>53</v>
      </c>
      <c r="H977">
        <v>1</v>
      </c>
      <c r="I977" t="s">
        <v>37</v>
      </c>
      <c r="J977" t="s">
        <v>54</v>
      </c>
      <c r="K977">
        <v>4</v>
      </c>
      <c r="L977" t="s">
        <v>65</v>
      </c>
      <c r="M977">
        <v>4</v>
      </c>
      <c r="N977" t="s">
        <v>72</v>
      </c>
      <c r="O977" t="s">
        <v>41</v>
      </c>
      <c r="P977">
        <v>3</v>
      </c>
      <c r="Q977" t="s">
        <v>42</v>
      </c>
      <c r="R977" t="s">
        <v>43</v>
      </c>
      <c r="S977">
        <v>6</v>
      </c>
      <c r="T977" t="s">
        <v>44</v>
      </c>
      <c r="U977" t="s">
        <v>44</v>
      </c>
      <c r="V977">
        <v>17</v>
      </c>
      <c r="W977" t="s">
        <v>45</v>
      </c>
      <c r="X977">
        <v>24</v>
      </c>
      <c r="Y977">
        <v>2</v>
      </c>
      <c r="Z977" t="s">
        <v>46</v>
      </c>
      <c r="AA977">
        <v>19</v>
      </c>
      <c r="AB977" t="s">
        <v>74</v>
      </c>
      <c r="AC977">
        <v>7</v>
      </c>
      <c r="AD977" t="s">
        <v>47</v>
      </c>
      <c r="AE977">
        <v>3</v>
      </c>
      <c r="AF977" t="s">
        <v>49</v>
      </c>
    </row>
    <row r="978" spans="1:32" x14ac:dyDescent="0.25">
      <c r="A978">
        <v>56</v>
      </c>
      <c r="B978" t="s">
        <v>64</v>
      </c>
      <c r="C978" t="s">
        <v>50</v>
      </c>
      <c r="D978" t="s">
        <v>34</v>
      </c>
      <c r="E978" t="s">
        <v>52</v>
      </c>
      <c r="F978">
        <v>23</v>
      </c>
      <c r="G978" t="s">
        <v>66</v>
      </c>
      <c r="H978">
        <v>4</v>
      </c>
      <c r="I978" t="s">
        <v>42</v>
      </c>
      <c r="J978" t="s">
        <v>54</v>
      </c>
      <c r="K978">
        <v>3</v>
      </c>
      <c r="L978" t="s">
        <v>39</v>
      </c>
      <c r="M978">
        <v>4</v>
      </c>
      <c r="N978" t="s">
        <v>72</v>
      </c>
      <c r="O978" t="s">
        <v>69</v>
      </c>
      <c r="P978">
        <v>2</v>
      </c>
      <c r="Q978" t="s">
        <v>57</v>
      </c>
      <c r="R978" t="s">
        <v>58</v>
      </c>
      <c r="S978">
        <v>4</v>
      </c>
      <c r="T978" t="s">
        <v>44</v>
      </c>
      <c r="U978" t="s">
        <v>44</v>
      </c>
      <c r="V978">
        <v>12</v>
      </c>
      <c r="W978" t="s">
        <v>45</v>
      </c>
      <c r="X978">
        <v>33</v>
      </c>
      <c r="Y978">
        <v>3</v>
      </c>
      <c r="Z978" t="s">
        <v>61</v>
      </c>
      <c r="AA978">
        <v>19</v>
      </c>
      <c r="AB978" t="s">
        <v>74</v>
      </c>
      <c r="AC978">
        <v>16</v>
      </c>
      <c r="AD978" t="s">
        <v>74</v>
      </c>
      <c r="AE978">
        <v>15</v>
      </c>
      <c r="AF978" t="s">
        <v>71</v>
      </c>
    </row>
    <row r="979" spans="1:32" x14ac:dyDescent="0.25">
      <c r="A979">
        <v>34</v>
      </c>
      <c r="B979" t="s">
        <v>32</v>
      </c>
      <c r="C979" t="s">
        <v>50</v>
      </c>
      <c r="D979" t="s">
        <v>34</v>
      </c>
      <c r="E979" t="s">
        <v>52</v>
      </c>
      <c r="F979">
        <v>26</v>
      </c>
      <c r="G979" t="s">
        <v>66</v>
      </c>
      <c r="H979">
        <v>1</v>
      </c>
      <c r="I979" t="s">
        <v>37</v>
      </c>
      <c r="J979" t="s">
        <v>38</v>
      </c>
      <c r="K979">
        <v>2</v>
      </c>
      <c r="L979" t="s">
        <v>55</v>
      </c>
      <c r="M979">
        <v>1</v>
      </c>
      <c r="N979" t="s">
        <v>40</v>
      </c>
      <c r="O979" t="s">
        <v>56</v>
      </c>
      <c r="P979">
        <v>3</v>
      </c>
      <c r="Q979" t="s">
        <v>42</v>
      </c>
      <c r="R979" t="s">
        <v>67</v>
      </c>
      <c r="S979">
        <v>1</v>
      </c>
      <c r="T979" t="s">
        <v>44</v>
      </c>
      <c r="U979" t="s">
        <v>59</v>
      </c>
      <c r="V979">
        <v>20</v>
      </c>
      <c r="W979" t="s">
        <v>60</v>
      </c>
      <c r="X979">
        <v>5</v>
      </c>
      <c r="Y979">
        <v>3</v>
      </c>
      <c r="Z979" t="s">
        <v>61</v>
      </c>
      <c r="AA979">
        <v>5</v>
      </c>
      <c r="AB979" t="s">
        <v>47</v>
      </c>
      <c r="AC979">
        <v>4</v>
      </c>
      <c r="AD979" t="s">
        <v>48</v>
      </c>
      <c r="AE979">
        <v>0</v>
      </c>
      <c r="AF979" t="s">
        <v>49</v>
      </c>
    </row>
    <row r="980" spans="1:32" x14ac:dyDescent="0.25">
      <c r="A980">
        <v>40</v>
      </c>
      <c r="B980" t="s">
        <v>32</v>
      </c>
      <c r="C980" t="s">
        <v>50</v>
      </c>
      <c r="D980" t="s">
        <v>34</v>
      </c>
      <c r="E980" t="s">
        <v>52</v>
      </c>
      <c r="F980">
        <v>2</v>
      </c>
      <c r="G980" t="s">
        <v>36</v>
      </c>
      <c r="H980">
        <v>2</v>
      </c>
      <c r="I980" t="s">
        <v>37</v>
      </c>
      <c r="J980" t="s">
        <v>38</v>
      </c>
      <c r="K980">
        <v>4</v>
      </c>
      <c r="L980" t="s">
        <v>65</v>
      </c>
      <c r="M980">
        <v>2</v>
      </c>
      <c r="N980" t="s">
        <v>40</v>
      </c>
      <c r="O980" t="s">
        <v>70</v>
      </c>
      <c r="P980">
        <v>3</v>
      </c>
      <c r="Q980" t="s">
        <v>42</v>
      </c>
      <c r="R980" t="s">
        <v>67</v>
      </c>
      <c r="S980">
        <v>5</v>
      </c>
      <c r="T980" t="s">
        <v>44</v>
      </c>
      <c r="U980" t="s">
        <v>59</v>
      </c>
      <c r="V980">
        <v>20</v>
      </c>
      <c r="W980" t="s">
        <v>60</v>
      </c>
      <c r="X980">
        <v>15</v>
      </c>
      <c r="Y980">
        <v>3</v>
      </c>
      <c r="Z980" t="s">
        <v>61</v>
      </c>
      <c r="AA980">
        <v>12</v>
      </c>
      <c r="AB980" t="s">
        <v>74</v>
      </c>
      <c r="AC980">
        <v>11</v>
      </c>
      <c r="AD980" t="s">
        <v>74</v>
      </c>
      <c r="AE980">
        <v>11</v>
      </c>
      <c r="AF980" t="s">
        <v>71</v>
      </c>
    </row>
    <row r="981" spans="1:32" x14ac:dyDescent="0.25">
      <c r="A981">
        <v>34</v>
      </c>
      <c r="B981" t="s">
        <v>32</v>
      </c>
      <c r="C981" t="s">
        <v>50</v>
      </c>
      <c r="D981" t="s">
        <v>34</v>
      </c>
      <c r="E981" t="s">
        <v>52</v>
      </c>
      <c r="F981">
        <v>29</v>
      </c>
      <c r="G981" t="s">
        <v>66</v>
      </c>
      <c r="H981">
        <v>2</v>
      </c>
      <c r="I981" t="s">
        <v>37</v>
      </c>
      <c r="J981" t="s">
        <v>54</v>
      </c>
      <c r="K981">
        <v>3</v>
      </c>
      <c r="L981" t="s">
        <v>39</v>
      </c>
      <c r="M981">
        <v>2</v>
      </c>
      <c r="N981" t="s">
        <v>40</v>
      </c>
      <c r="O981" t="s">
        <v>62</v>
      </c>
      <c r="P981">
        <v>3</v>
      </c>
      <c r="Q981" t="s">
        <v>42</v>
      </c>
      <c r="R981" t="s">
        <v>58</v>
      </c>
      <c r="S981">
        <v>4</v>
      </c>
      <c r="T981" t="s">
        <v>44</v>
      </c>
      <c r="U981" t="s">
        <v>59</v>
      </c>
      <c r="V981">
        <v>13</v>
      </c>
      <c r="W981" t="s">
        <v>45</v>
      </c>
      <c r="X981">
        <v>10</v>
      </c>
      <c r="Y981">
        <v>3</v>
      </c>
      <c r="Z981" t="s">
        <v>61</v>
      </c>
      <c r="AA981">
        <v>8</v>
      </c>
      <c r="AB981" t="s">
        <v>47</v>
      </c>
      <c r="AC981">
        <v>7</v>
      </c>
      <c r="AD981" t="s">
        <v>47</v>
      </c>
      <c r="AE981">
        <v>7</v>
      </c>
      <c r="AF981" t="s">
        <v>71</v>
      </c>
    </row>
    <row r="982" spans="1:32" x14ac:dyDescent="0.25">
      <c r="A982">
        <v>31</v>
      </c>
      <c r="B982" t="s">
        <v>32</v>
      </c>
      <c r="C982" t="s">
        <v>33</v>
      </c>
      <c r="D982" t="s">
        <v>51</v>
      </c>
      <c r="E982" t="s">
        <v>35</v>
      </c>
      <c r="F982">
        <v>2</v>
      </c>
      <c r="G982" t="s">
        <v>36</v>
      </c>
      <c r="H982">
        <v>3</v>
      </c>
      <c r="I982" t="s">
        <v>42</v>
      </c>
      <c r="J982" t="s">
        <v>38</v>
      </c>
      <c r="K982">
        <v>2</v>
      </c>
      <c r="L982" t="s">
        <v>55</v>
      </c>
      <c r="M982">
        <v>1</v>
      </c>
      <c r="N982" t="s">
        <v>40</v>
      </c>
      <c r="O982" t="s">
        <v>75</v>
      </c>
      <c r="P982">
        <v>4</v>
      </c>
      <c r="Q982" t="s">
        <v>42</v>
      </c>
      <c r="R982" t="s">
        <v>43</v>
      </c>
      <c r="S982">
        <v>7</v>
      </c>
      <c r="T982" t="s">
        <v>44</v>
      </c>
      <c r="U982" t="s">
        <v>59</v>
      </c>
      <c r="V982">
        <v>14</v>
      </c>
      <c r="W982" t="s">
        <v>45</v>
      </c>
      <c r="X982">
        <v>3</v>
      </c>
      <c r="Y982">
        <v>4</v>
      </c>
      <c r="Z982" t="s">
        <v>61</v>
      </c>
      <c r="AA982">
        <v>1</v>
      </c>
      <c r="AB982" t="s">
        <v>48</v>
      </c>
      <c r="AC982">
        <v>0</v>
      </c>
      <c r="AD982" t="s">
        <v>48</v>
      </c>
      <c r="AE982">
        <v>0</v>
      </c>
      <c r="AF982" t="s">
        <v>49</v>
      </c>
    </row>
    <row r="983" spans="1:32" x14ac:dyDescent="0.25">
      <c r="A983">
        <v>35</v>
      </c>
      <c r="B983" t="s">
        <v>32</v>
      </c>
      <c r="C983" t="s">
        <v>33</v>
      </c>
      <c r="D983" t="s">
        <v>51</v>
      </c>
      <c r="E983" t="s">
        <v>35</v>
      </c>
      <c r="F983">
        <v>18</v>
      </c>
      <c r="G983" t="s">
        <v>66</v>
      </c>
      <c r="H983">
        <v>4</v>
      </c>
      <c r="I983" t="s">
        <v>42</v>
      </c>
      <c r="J983" t="s">
        <v>38</v>
      </c>
      <c r="K983">
        <v>3</v>
      </c>
      <c r="L983" t="s">
        <v>39</v>
      </c>
      <c r="M983">
        <v>2</v>
      </c>
      <c r="N983" t="s">
        <v>40</v>
      </c>
      <c r="O983" t="s">
        <v>41</v>
      </c>
      <c r="P983">
        <v>3</v>
      </c>
      <c r="Q983" t="s">
        <v>42</v>
      </c>
      <c r="R983" t="s">
        <v>58</v>
      </c>
      <c r="S983">
        <v>0</v>
      </c>
      <c r="T983" t="s">
        <v>44</v>
      </c>
      <c r="U983" t="s">
        <v>44</v>
      </c>
      <c r="V983">
        <v>18</v>
      </c>
      <c r="W983" t="s">
        <v>45</v>
      </c>
      <c r="X983">
        <v>5</v>
      </c>
      <c r="Y983">
        <v>2</v>
      </c>
      <c r="Z983" t="s">
        <v>46</v>
      </c>
      <c r="AA983">
        <v>4</v>
      </c>
      <c r="AB983" t="s">
        <v>48</v>
      </c>
      <c r="AC983">
        <v>2</v>
      </c>
      <c r="AD983" t="s">
        <v>48</v>
      </c>
      <c r="AE983">
        <v>3</v>
      </c>
      <c r="AF983" t="s">
        <v>49</v>
      </c>
    </row>
    <row r="984" spans="1:32" x14ac:dyDescent="0.25">
      <c r="A984">
        <v>38</v>
      </c>
      <c r="B984" t="s">
        <v>32</v>
      </c>
      <c r="C984" t="s">
        <v>50</v>
      </c>
      <c r="D984" t="s">
        <v>51</v>
      </c>
      <c r="E984" t="s">
        <v>52</v>
      </c>
      <c r="F984">
        <v>7</v>
      </c>
      <c r="G984" t="s">
        <v>53</v>
      </c>
      <c r="H984">
        <v>4</v>
      </c>
      <c r="I984" t="s">
        <v>42</v>
      </c>
      <c r="J984" t="s">
        <v>54</v>
      </c>
      <c r="K984">
        <v>4</v>
      </c>
      <c r="L984" t="s">
        <v>65</v>
      </c>
      <c r="M984">
        <v>1</v>
      </c>
      <c r="N984" t="s">
        <v>40</v>
      </c>
      <c r="O984" t="s">
        <v>56</v>
      </c>
      <c r="P984">
        <v>3</v>
      </c>
      <c r="Q984" t="s">
        <v>42</v>
      </c>
      <c r="R984" t="s">
        <v>67</v>
      </c>
      <c r="S984">
        <v>1</v>
      </c>
      <c r="T984" t="s">
        <v>44</v>
      </c>
      <c r="U984" t="s">
        <v>59</v>
      </c>
      <c r="V984">
        <v>11</v>
      </c>
      <c r="W984" t="s">
        <v>45</v>
      </c>
      <c r="X984">
        <v>4</v>
      </c>
      <c r="Y984">
        <v>3</v>
      </c>
      <c r="Z984" t="s">
        <v>61</v>
      </c>
      <c r="AA984">
        <v>4</v>
      </c>
      <c r="AB984" t="s">
        <v>48</v>
      </c>
      <c r="AC984">
        <v>2</v>
      </c>
      <c r="AD984" t="s">
        <v>48</v>
      </c>
      <c r="AE984">
        <v>0</v>
      </c>
      <c r="AF984" t="s">
        <v>49</v>
      </c>
    </row>
    <row r="985" spans="1:32" x14ac:dyDescent="0.25">
      <c r="A985">
        <v>34</v>
      </c>
      <c r="B985" t="s">
        <v>32</v>
      </c>
      <c r="C985" t="s">
        <v>50</v>
      </c>
      <c r="D985" t="s">
        <v>34</v>
      </c>
      <c r="E985" t="s">
        <v>52</v>
      </c>
      <c r="F985">
        <v>2</v>
      </c>
      <c r="G985" t="s">
        <v>36</v>
      </c>
      <c r="H985">
        <v>3</v>
      </c>
      <c r="I985" t="s">
        <v>42</v>
      </c>
      <c r="J985" t="s">
        <v>38</v>
      </c>
      <c r="K985">
        <v>3</v>
      </c>
      <c r="L985" t="s">
        <v>39</v>
      </c>
      <c r="M985">
        <v>2</v>
      </c>
      <c r="N985" t="s">
        <v>40</v>
      </c>
      <c r="O985" t="s">
        <v>70</v>
      </c>
      <c r="P985">
        <v>4</v>
      </c>
      <c r="Q985" t="s">
        <v>42</v>
      </c>
      <c r="R985" t="s">
        <v>43</v>
      </c>
      <c r="S985">
        <v>1</v>
      </c>
      <c r="T985" t="s">
        <v>44</v>
      </c>
      <c r="U985" t="s">
        <v>59</v>
      </c>
      <c r="V985">
        <v>11</v>
      </c>
      <c r="W985" t="s">
        <v>45</v>
      </c>
      <c r="X985">
        <v>14</v>
      </c>
      <c r="Y985">
        <v>4</v>
      </c>
      <c r="Z985" t="s">
        <v>61</v>
      </c>
      <c r="AA985">
        <v>14</v>
      </c>
      <c r="AB985" t="s">
        <v>74</v>
      </c>
      <c r="AC985">
        <v>11</v>
      </c>
      <c r="AD985" t="s">
        <v>74</v>
      </c>
      <c r="AE985">
        <v>4</v>
      </c>
      <c r="AF985" t="s">
        <v>71</v>
      </c>
    </row>
    <row r="986" spans="1:32" x14ac:dyDescent="0.25">
      <c r="A986">
        <v>28</v>
      </c>
      <c r="B986" t="s">
        <v>63</v>
      </c>
      <c r="C986" t="s">
        <v>50</v>
      </c>
      <c r="D986" t="s">
        <v>34</v>
      </c>
      <c r="E986" t="s">
        <v>35</v>
      </c>
      <c r="F986">
        <v>26</v>
      </c>
      <c r="G986" t="s">
        <v>66</v>
      </c>
      <c r="H986">
        <v>3</v>
      </c>
      <c r="I986" t="s">
        <v>42</v>
      </c>
      <c r="J986" t="s">
        <v>54</v>
      </c>
      <c r="K986">
        <v>2</v>
      </c>
      <c r="L986" t="s">
        <v>55</v>
      </c>
      <c r="M986">
        <v>2</v>
      </c>
      <c r="N986" t="s">
        <v>40</v>
      </c>
      <c r="O986" t="s">
        <v>41</v>
      </c>
      <c r="P986">
        <v>1</v>
      </c>
      <c r="Q986" t="s">
        <v>57</v>
      </c>
      <c r="R986" t="s">
        <v>58</v>
      </c>
      <c r="S986">
        <v>1</v>
      </c>
      <c r="T986" t="s">
        <v>44</v>
      </c>
      <c r="U986" t="s">
        <v>59</v>
      </c>
      <c r="V986">
        <v>11</v>
      </c>
      <c r="W986" t="s">
        <v>45</v>
      </c>
      <c r="X986">
        <v>5</v>
      </c>
      <c r="Y986">
        <v>3</v>
      </c>
      <c r="Z986" t="s">
        <v>61</v>
      </c>
      <c r="AA986">
        <v>5</v>
      </c>
      <c r="AB986" t="s">
        <v>47</v>
      </c>
      <c r="AC986">
        <v>3</v>
      </c>
      <c r="AD986" t="s">
        <v>48</v>
      </c>
      <c r="AE986">
        <v>0</v>
      </c>
      <c r="AF986" t="s">
        <v>49</v>
      </c>
    </row>
    <row r="987" spans="1:32" x14ac:dyDescent="0.25">
      <c r="A987">
        <v>31</v>
      </c>
      <c r="B987" t="s">
        <v>32</v>
      </c>
      <c r="C987" t="s">
        <v>33</v>
      </c>
      <c r="D987" t="s">
        <v>34</v>
      </c>
      <c r="E987" t="s">
        <v>52</v>
      </c>
      <c r="F987">
        <v>22</v>
      </c>
      <c r="G987" t="s">
        <v>66</v>
      </c>
      <c r="H987">
        <v>4</v>
      </c>
      <c r="I987" t="s">
        <v>42</v>
      </c>
      <c r="J987" t="s">
        <v>54</v>
      </c>
      <c r="K987">
        <v>3</v>
      </c>
      <c r="L987" t="s">
        <v>39</v>
      </c>
      <c r="M987">
        <v>2</v>
      </c>
      <c r="N987" t="s">
        <v>40</v>
      </c>
      <c r="O987" t="s">
        <v>69</v>
      </c>
      <c r="P987">
        <v>3</v>
      </c>
      <c r="Q987" t="s">
        <v>42</v>
      </c>
      <c r="R987" t="s">
        <v>58</v>
      </c>
      <c r="S987">
        <v>1</v>
      </c>
      <c r="T987" t="s">
        <v>44</v>
      </c>
      <c r="U987" t="s">
        <v>44</v>
      </c>
      <c r="V987">
        <v>15</v>
      </c>
      <c r="W987" t="s">
        <v>45</v>
      </c>
      <c r="X987">
        <v>10</v>
      </c>
      <c r="Y987">
        <v>2</v>
      </c>
      <c r="Z987" t="s">
        <v>46</v>
      </c>
      <c r="AA987">
        <v>10</v>
      </c>
      <c r="AB987" t="s">
        <v>47</v>
      </c>
      <c r="AC987">
        <v>2</v>
      </c>
      <c r="AD987" t="s">
        <v>48</v>
      </c>
      <c r="AE987">
        <v>6</v>
      </c>
      <c r="AF987" t="s">
        <v>71</v>
      </c>
    </row>
    <row r="988" spans="1:32" x14ac:dyDescent="0.25">
      <c r="A988">
        <v>39</v>
      </c>
      <c r="B988" t="s">
        <v>32</v>
      </c>
      <c r="C988" t="s">
        <v>50</v>
      </c>
      <c r="D988" t="s">
        <v>34</v>
      </c>
      <c r="E988" t="s">
        <v>35</v>
      </c>
      <c r="F988">
        <v>21</v>
      </c>
      <c r="G988" t="s">
        <v>66</v>
      </c>
      <c r="H988">
        <v>1</v>
      </c>
      <c r="I988" t="s">
        <v>37</v>
      </c>
      <c r="J988" t="s">
        <v>54</v>
      </c>
      <c r="K988">
        <v>2</v>
      </c>
      <c r="L988" t="s">
        <v>55</v>
      </c>
      <c r="M988">
        <v>2</v>
      </c>
      <c r="N988" t="s">
        <v>40</v>
      </c>
      <c r="O988" t="s">
        <v>41</v>
      </c>
      <c r="P988">
        <v>4</v>
      </c>
      <c r="Q988" t="s">
        <v>42</v>
      </c>
      <c r="R988" t="s">
        <v>58</v>
      </c>
      <c r="S988">
        <v>3</v>
      </c>
      <c r="T988" t="s">
        <v>44</v>
      </c>
      <c r="U988" t="s">
        <v>44</v>
      </c>
      <c r="V988">
        <v>12</v>
      </c>
      <c r="W988" t="s">
        <v>45</v>
      </c>
      <c r="X988">
        <v>8</v>
      </c>
      <c r="Y988">
        <v>4</v>
      </c>
      <c r="Z988" t="s">
        <v>61</v>
      </c>
      <c r="AA988">
        <v>5</v>
      </c>
      <c r="AB988" t="s">
        <v>47</v>
      </c>
      <c r="AC988">
        <v>4</v>
      </c>
      <c r="AD988" t="s">
        <v>48</v>
      </c>
      <c r="AE988">
        <v>1</v>
      </c>
      <c r="AF988" t="s">
        <v>49</v>
      </c>
    </row>
    <row r="989" spans="1:32" x14ac:dyDescent="0.25">
      <c r="A989">
        <v>51</v>
      </c>
      <c r="B989" t="s">
        <v>64</v>
      </c>
      <c r="C989" t="s">
        <v>50</v>
      </c>
      <c r="D989" t="s">
        <v>51</v>
      </c>
      <c r="E989" t="s">
        <v>35</v>
      </c>
      <c r="F989">
        <v>2</v>
      </c>
      <c r="G989" t="s">
        <v>36</v>
      </c>
      <c r="H989">
        <v>2</v>
      </c>
      <c r="I989" t="s">
        <v>37</v>
      </c>
      <c r="J989" t="s">
        <v>54</v>
      </c>
      <c r="K989">
        <v>3</v>
      </c>
      <c r="L989" t="s">
        <v>39</v>
      </c>
      <c r="M989">
        <v>3</v>
      </c>
      <c r="N989" t="s">
        <v>68</v>
      </c>
      <c r="O989" t="s">
        <v>41</v>
      </c>
      <c r="P989">
        <v>2</v>
      </c>
      <c r="Q989" t="s">
        <v>57</v>
      </c>
      <c r="R989" t="s">
        <v>58</v>
      </c>
      <c r="S989">
        <v>2</v>
      </c>
      <c r="T989" t="s">
        <v>44</v>
      </c>
      <c r="U989" t="s">
        <v>59</v>
      </c>
      <c r="V989">
        <v>11</v>
      </c>
      <c r="W989" t="s">
        <v>45</v>
      </c>
      <c r="X989">
        <v>14</v>
      </c>
      <c r="Y989">
        <v>3</v>
      </c>
      <c r="Z989" t="s">
        <v>61</v>
      </c>
      <c r="AA989">
        <v>4</v>
      </c>
      <c r="AB989" t="s">
        <v>48</v>
      </c>
      <c r="AC989">
        <v>2</v>
      </c>
      <c r="AD989" t="s">
        <v>48</v>
      </c>
      <c r="AE989">
        <v>3</v>
      </c>
      <c r="AF989" t="s">
        <v>49</v>
      </c>
    </row>
    <row r="990" spans="1:32" x14ac:dyDescent="0.25">
      <c r="A990">
        <v>41</v>
      </c>
      <c r="B990" t="s">
        <v>32</v>
      </c>
      <c r="C990" t="s">
        <v>50</v>
      </c>
      <c r="D990" t="s">
        <v>51</v>
      </c>
      <c r="E990" t="s">
        <v>52</v>
      </c>
      <c r="F990">
        <v>22</v>
      </c>
      <c r="G990" t="s">
        <v>66</v>
      </c>
      <c r="H990">
        <v>4</v>
      </c>
      <c r="I990" t="s">
        <v>42</v>
      </c>
      <c r="J990" t="s">
        <v>38</v>
      </c>
      <c r="K990">
        <v>3</v>
      </c>
      <c r="L990" t="s">
        <v>39</v>
      </c>
      <c r="M990">
        <v>2</v>
      </c>
      <c r="N990" t="s">
        <v>40</v>
      </c>
      <c r="O990" t="s">
        <v>56</v>
      </c>
      <c r="P990">
        <v>4</v>
      </c>
      <c r="Q990" t="s">
        <v>42</v>
      </c>
      <c r="R990" t="s">
        <v>67</v>
      </c>
      <c r="S990">
        <v>3</v>
      </c>
      <c r="T990" t="s">
        <v>44</v>
      </c>
      <c r="U990" t="s">
        <v>44</v>
      </c>
      <c r="V990">
        <v>14</v>
      </c>
      <c r="W990" t="s">
        <v>45</v>
      </c>
      <c r="X990">
        <v>12</v>
      </c>
      <c r="Y990">
        <v>2</v>
      </c>
      <c r="Z990" t="s">
        <v>46</v>
      </c>
      <c r="AA990">
        <v>6</v>
      </c>
      <c r="AB990" t="s">
        <v>47</v>
      </c>
      <c r="AC990">
        <v>2</v>
      </c>
      <c r="AD990" t="s">
        <v>48</v>
      </c>
      <c r="AE990">
        <v>3</v>
      </c>
      <c r="AF990" t="s">
        <v>49</v>
      </c>
    </row>
    <row r="991" spans="1:32" x14ac:dyDescent="0.25">
      <c r="A991">
        <v>37</v>
      </c>
      <c r="B991" t="s">
        <v>32</v>
      </c>
      <c r="C991" t="s">
        <v>50</v>
      </c>
      <c r="D991" t="s">
        <v>34</v>
      </c>
      <c r="E991" t="s">
        <v>52</v>
      </c>
      <c r="F991">
        <v>4</v>
      </c>
      <c r="G991" t="s">
        <v>36</v>
      </c>
      <c r="H991">
        <v>3</v>
      </c>
      <c r="I991" t="s">
        <v>42</v>
      </c>
      <c r="J991" t="s">
        <v>54</v>
      </c>
      <c r="K991">
        <v>3</v>
      </c>
      <c r="L991" t="s">
        <v>39</v>
      </c>
      <c r="M991">
        <v>1</v>
      </c>
      <c r="N991" t="s">
        <v>40</v>
      </c>
      <c r="O991" t="s">
        <v>56</v>
      </c>
      <c r="P991">
        <v>3</v>
      </c>
      <c r="Q991" t="s">
        <v>42</v>
      </c>
      <c r="R991" t="s">
        <v>58</v>
      </c>
      <c r="S991">
        <v>7</v>
      </c>
      <c r="T991" t="s">
        <v>44</v>
      </c>
      <c r="U991" t="s">
        <v>44</v>
      </c>
      <c r="V991">
        <v>15</v>
      </c>
      <c r="W991" t="s">
        <v>45</v>
      </c>
      <c r="X991">
        <v>8</v>
      </c>
      <c r="Y991">
        <v>3</v>
      </c>
      <c r="Z991" t="s">
        <v>61</v>
      </c>
      <c r="AA991">
        <v>6</v>
      </c>
      <c r="AB991" t="s">
        <v>47</v>
      </c>
      <c r="AC991">
        <v>4</v>
      </c>
      <c r="AD991" t="s">
        <v>48</v>
      </c>
      <c r="AE991">
        <v>1</v>
      </c>
      <c r="AF991" t="s">
        <v>49</v>
      </c>
    </row>
    <row r="992" spans="1:32" x14ac:dyDescent="0.25">
      <c r="A992">
        <v>33</v>
      </c>
      <c r="B992" t="s">
        <v>32</v>
      </c>
      <c r="C992" t="s">
        <v>50</v>
      </c>
      <c r="D992" t="s">
        <v>51</v>
      </c>
      <c r="E992" t="s">
        <v>35</v>
      </c>
      <c r="F992">
        <v>5</v>
      </c>
      <c r="G992" t="s">
        <v>36</v>
      </c>
      <c r="H992">
        <v>2</v>
      </c>
      <c r="I992" t="s">
        <v>37</v>
      </c>
      <c r="J992" t="s">
        <v>54</v>
      </c>
      <c r="K992">
        <v>3</v>
      </c>
      <c r="L992" t="s">
        <v>39</v>
      </c>
      <c r="M992">
        <v>2</v>
      </c>
      <c r="N992" t="s">
        <v>40</v>
      </c>
      <c r="O992" t="s">
        <v>41</v>
      </c>
      <c r="P992">
        <v>4</v>
      </c>
      <c r="Q992" t="s">
        <v>42</v>
      </c>
      <c r="R992" t="s">
        <v>58</v>
      </c>
      <c r="S992">
        <v>6</v>
      </c>
      <c r="T992" t="s">
        <v>44</v>
      </c>
      <c r="U992" t="s">
        <v>59</v>
      </c>
      <c r="V992">
        <v>13</v>
      </c>
      <c r="W992" t="s">
        <v>45</v>
      </c>
      <c r="X992">
        <v>8</v>
      </c>
      <c r="Y992">
        <v>4</v>
      </c>
      <c r="Z992" t="s">
        <v>61</v>
      </c>
      <c r="AA992">
        <v>5</v>
      </c>
      <c r="AB992" t="s">
        <v>47</v>
      </c>
      <c r="AC992">
        <v>4</v>
      </c>
      <c r="AD992" t="s">
        <v>48</v>
      </c>
      <c r="AE992">
        <v>1</v>
      </c>
      <c r="AF992" t="s">
        <v>49</v>
      </c>
    </row>
    <row r="993" spans="1:32" x14ac:dyDescent="0.25">
      <c r="A993">
        <v>32</v>
      </c>
      <c r="B993" t="s">
        <v>32</v>
      </c>
      <c r="C993" t="s">
        <v>50</v>
      </c>
      <c r="D993" t="s">
        <v>34</v>
      </c>
      <c r="E993" t="s">
        <v>35</v>
      </c>
      <c r="F993">
        <v>2</v>
      </c>
      <c r="G993" t="s">
        <v>36</v>
      </c>
      <c r="H993">
        <v>3</v>
      </c>
      <c r="I993" t="s">
        <v>42</v>
      </c>
      <c r="J993" t="s">
        <v>54</v>
      </c>
      <c r="K993">
        <v>3</v>
      </c>
      <c r="L993" t="s">
        <v>39</v>
      </c>
      <c r="M993">
        <v>2</v>
      </c>
      <c r="N993" t="s">
        <v>40</v>
      </c>
      <c r="O993" t="s">
        <v>41</v>
      </c>
      <c r="P993">
        <v>2</v>
      </c>
      <c r="Q993" t="s">
        <v>57</v>
      </c>
      <c r="R993" t="s">
        <v>58</v>
      </c>
      <c r="S993">
        <v>0</v>
      </c>
      <c r="T993" t="s">
        <v>44</v>
      </c>
      <c r="U993" t="s">
        <v>44</v>
      </c>
      <c r="V993">
        <v>13</v>
      </c>
      <c r="W993" t="s">
        <v>45</v>
      </c>
      <c r="X993">
        <v>4</v>
      </c>
      <c r="Y993">
        <v>2</v>
      </c>
      <c r="Z993" t="s">
        <v>46</v>
      </c>
      <c r="AA993">
        <v>3</v>
      </c>
      <c r="AB993" t="s">
        <v>48</v>
      </c>
      <c r="AC993">
        <v>2</v>
      </c>
      <c r="AD993" t="s">
        <v>48</v>
      </c>
      <c r="AE993">
        <v>1</v>
      </c>
      <c r="AF993" t="s">
        <v>49</v>
      </c>
    </row>
    <row r="994" spans="1:32" x14ac:dyDescent="0.25">
      <c r="A994">
        <v>39</v>
      </c>
      <c r="B994" t="s">
        <v>32</v>
      </c>
      <c r="C994" t="s">
        <v>50</v>
      </c>
      <c r="D994" t="s">
        <v>34</v>
      </c>
      <c r="E994" t="s">
        <v>52</v>
      </c>
      <c r="F994">
        <v>25</v>
      </c>
      <c r="G994" t="s">
        <v>66</v>
      </c>
      <c r="H994">
        <v>3</v>
      </c>
      <c r="I994" t="s">
        <v>42</v>
      </c>
      <c r="J994" t="s">
        <v>54</v>
      </c>
      <c r="K994">
        <v>3</v>
      </c>
      <c r="L994" t="s">
        <v>39</v>
      </c>
      <c r="M994">
        <v>3</v>
      </c>
      <c r="N994" t="s">
        <v>68</v>
      </c>
      <c r="O994" t="s">
        <v>70</v>
      </c>
      <c r="P994">
        <v>3</v>
      </c>
      <c r="Q994" t="s">
        <v>42</v>
      </c>
      <c r="R994" t="s">
        <v>58</v>
      </c>
      <c r="S994">
        <v>3</v>
      </c>
      <c r="T994" t="s">
        <v>44</v>
      </c>
      <c r="U994" t="s">
        <v>59</v>
      </c>
      <c r="V994">
        <v>21</v>
      </c>
      <c r="W994" t="s">
        <v>60</v>
      </c>
      <c r="X994">
        <v>13</v>
      </c>
      <c r="Y994">
        <v>3</v>
      </c>
      <c r="Z994" t="s">
        <v>61</v>
      </c>
      <c r="AA994">
        <v>6</v>
      </c>
      <c r="AB994" t="s">
        <v>47</v>
      </c>
      <c r="AC994">
        <v>4</v>
      </c>
      <c r="AD994" t="s">
        <v>48</v>
      </c>
      <c r="AE994">
        <v>0</v>
      </c>
      <c r="AF994" t="s">
        <v>49</v>
      </c>
    </row>
    <row r="995" spans="1:32" x14ac:dyDescent="0.25">
      <c r="A995">
        <v>25</v>
      </c>
      <c r="B995" t="s">
        <v>63</v>
      </c>
      <c r="C995" t="s">
        <v>50</v>
      </c>
      <c r="D995" t="s">
        <v>34</v>
      </c>
      <c r="E995" t="s">
        <v>35</v>
      </c>
      <c r="F995">
        <v>18</v>
      </c>
      <c r="G995" t="s">
        <v>66</v>
      </c>
      <c r="H995">
        <v>1</v>
      </c>
      <c r="I995" t="s">
        <v>37</v>
      </c>
      <c r="J995" t="s">
        <v>54</v>
      </c>
      <c r="K995">
        <v>4</v>
      </c>
      <c r="L995" t="s">
        <v>65</v>
      </c>
      <c r="M995">
        <v>2</v>
      </c>
      <c r="N995" t="s">
        <v>40</v>
      </c>
      <c r="O995" t="s">
        <v>41</v>
      </c>
      <c r="P995">
        <v>3</v>
      </c>
      <c r="Q995" t="s">
        <v>42</v>
      </c>
      <c r="R995" t="s">
        <v>58</v>
      </c>
      <c r="S995">
        <v>2</v>
      </c>
      <c r="T995" t="s">
        <v>44</v>
      </c>
      <c r="U995" t="s">
        <v>59</v>
      </c>
      <c r="V995">
        <v>11</v>
      </c>
      <c r="W995" t="s">
        <v>45</v>
      </c>
      <c r="X995">
        <v>6</v>
      </c>
      <c r="Y995">
        <v>2</v>
      </c>
      <c r="Z995" t="s">
        <v>46</v>
      </c>
      <c r="AA995">
        <v>3</v>
      </c>
      <c r="AB995" t="s">
        <v>48</v>
      </c>
      <c r="AC995">
        <v>2</v>
      </c>
      <c r="AD995" t="s">
        <v>48</v>
      </c>
      <c r="AE995">
        <v>1</v>
      </c>
      <c r="AF995" t="s">
        <v>49</v>
      </c>
    </row>
    <row r="996" spans="1:32" x14ac:dyDescent="0.25">
      <c r="A996">
        <v>52</v>
      </c>
      <c r="B996" t="s">
        <v>64</v>
      </c>
      <c r="C996" t="s">
        <v>50</v>
      </c>
      <c r="D996" t="s">
        <v>51</v>
      </c>
      <c r="E996" t="s">
        <v>52</v>
      </c>
      <c r="F996">
        <v>28</v>
      </c>
      <c r="G996" t="s">
        <v>66</v>
      </c>
      <c r="H996">
        <v>4</v>
      </c>
      <c r="I996" t="s">
        <v>42</v>
      </c>
      <c r="J996" t="s">
        <v>38</v>
      </c>
      <c r="K996">
        <v>4</v>
      </c>
      <c r="L996" t="s">
        <v>65</v>
      </c>
      <c r="M996">
        <v>4</v>
      </c>
      <c r="N996" t="s">
        <v>72</v>
      </c>
      <c r="O996" t="s">
        <v>69</v>
      </c>
      <c r="P996">
        <v>3</v>
      </c>
      <c r="Q996" t="s">
        <v>42</v>
      </c>
      <c r="R996" t="s">
        <v>58</v>
      </c>
      <c r="S996">
        <v>2</v>
      </c>
      <c r="T996" t="s">
        <v>44</v>
      </c>
      <c r="U996" t="s">
        <v>44</v>
      </c>
      <c r="V996">
        <v>11</v>
      </c>
      <c r="W996" t="s">
        <v>45</v>
      </c>
      <c r="X996">
        <v>24</v>
      </c>
      <c r="Y996">
        <v>2</v>
      </c>
      <c r="Z996" t="s">
        <v>46</v>
      </c>
      <c r="AA996">
        <v>5</v>
      </c>
      <c r="AB996" t="s">
        <v>47</v>
      </c>
      <c r="AC996">
        <v>3</v>
      </c>
      <c r="AD996" t="s">
        <v>48</v>
      </c>
      <c r="AE996">
        <v>0</v>
      </c>
      <c r="AF996" t="s">
        <v>49</v>
      </c>
    </row>
    <row r="997" spans="1:32" x14ac:dyDescent="0.25">
      <c r="A997">
        <v>43</v>
      </c>
      <c r="B997" t="s">
        <v>32</v>
      </c>
      <c r="C997" t="s">
        <v>50</v>
      </c>
      <c r="D997" t="s">
        <v>34</v>
      </c>
      <c r="E997" t="s">
        <v>52</v>
      </c>
      <c r="F997">
        <v>6</v>
      </c>
      <c r="G997" t="s">
        <v>53</v>
      </c>
      <c r="H997">
        <v>1</v>
      </c>
      <c r="I997" t="s">
        <v>37</v>
      </c>
      <c r="J997" t="s">
        <v>38</v>
      </c>
      <c r="K997">
        <v>2</v>
      </c>
      <c r="L997" t="s">
        <v>55</v>
      </c>
      <c r="M997">
        <v>2</v>
      </c>
      <c r="N997" t="s">
        <v>40</v>
      </c>
      <c r="O997" t="s">
        <v>56</v>
      </c>
      <c r="P997">
        <v>3</v>
      </c>
      <c r="Q997" t="s">
        <v>42</v>
      </c>
      <c r="R997" t="s">
        <v>43</v>
      </c>
      <c r="S997">
        <v>1</v>
      </c>
      <c r="T997" t="s">
        <v>44</v>
      </c>
      <c r="U997" t="s">
        <v>44</v>
      </c>
      <c r="V997">
        <v>14</v>
      </c>
      <c r="W997" t="s">
        <v>45</v>
      </c>
      <c r="X997">
        <v>20</v>
      </c>
      <c r="Y997">
        <v>1</v>
      </c>
      <c r="Z997" t="s">
        <v>46</v>
      </c>
      <c r="AA997">
        <v>20</v>
      </c>
      <c r="AB997" t="s">
        <v>74</v>
      </c>
      <c r="AC997">
        <v>7</v>
      </c>
      <c r="AD997" t="s">
        <v>47</v>
      </c>
      <c r="AE997">
        <v>1</v>
      </c>
      <c r="AF997" t="s">
        <v>49</v>
      </c>
    </row>
    <row r="998" spans="1:32" x14ac:dyDescent="0.25">
      <c r="A998">
        <v>27</v>
      </c>
      <c r="B998" t="s">
        <v>63</v>
      </c>
      <c r="C998" t="s">
        <v>50</v>
      </c>
      <c r="D998" t="s">
        <v>34</v>
      </c>
      <c r="E998" t="s">
        <v>35</v>
      </c>
      <c r="F998">
        <v>10</v>
      </c>
      <c r="G998" t="s">
        <v>53</v>
      </c>
      <c r="H998">
        <v>4</v>
      </c>
      <c r="I998" t="s">
        <v>42</v>
      </c>
      <c r="J998" t="s">
        <v>38</v>
      </c>
      <c r="K998">
        <v>2</v>
      </c>
      <c r="L998" t="s">
        <v>55</v>
      </c>
      <c r="M998">
        <v>2</v>
      </c>
      <c r="N998" t="s">
        <v>40</v>
      </c>
      <c r="O998" t="s">
        <v>41</v>
      </c>
      <c r="P998">
        <v>4</v>
      </c>
      <c r="Q998" t="s">
        <v>42</v>
      </c>
      <c r="R998" t="s">
        <v>58</v>
      </c>
      <c r="S998">
        <v>1</v>
      </c>
      <c r="T998" t="s">
        <v>44</v>
      </c>
      <c r="U998" t="s">
        <v>44</v>
      </c>
      <c r="V998">
        <v>11</v>
      </c>
      <c r="W998" t="s">
        <v>45</v>
      </c>
      <c r="X998">
        <v>6</v>
      </c>
      <c r="Y998">
        <v>3</v>
      </c>
      <c r="Z998" t="s">
        <v>61</v>
      </c>
      <c r="AA998">
        <v>6</v>
      </c>
      <c r="AB998" t="s">
        <v>47</v>
      </c>
      <c r="AC998">
        <v>2</v>
      </c>
      <c r="AD998" t="s">
        <v>48</v>
      </c>
      <c r="AE998">
        <v>4</v>
      </c>
      <c r="AF998" t="s">
        <v>71</v>
      </c>
    </row>
    <row r="999" spans="1:32" x14ac:dyDescent="0.25">
      <c r="A999">
        <v>27</v>
      </c>
      <c r="B999" t="s">
        <v>63</v>
      </c>
      <c r="C999" t="s">
        <v>33</v>
      </c>
      <c r="D999" t="s">
        <v>34</v>
      </c>
      <c r="E999" t="s">
        <v>52</v>
      </c>
      <c r="F999">
        <v>17</v>
      </c>
      <c r="G999" t="s">
        <v>66</v>
      </c>
      <c r="H999">
        <v>4</v>
      </c>
      <c r="I999" t="s">
        <v>42</v>
      </c>
      <c r="J999" t="s">
        <v>38</v>
      </c>
      <c r="K999">
        <v>3</v>
      </c>
      <c r="L999" t="s">
        <v>39</v>
      </c>
      <c r="M999">
        <v>1</v>
      </c>
      <c r="N999" t="s">
        <v>40</v>
      </c>
      <c r="O999" t="s">
        <v>56</v>
      </c>
      <c r="P999">
        <v>3</v>
      </c>
      <c r="Q999" t="s">
        <v>42</v>
      </c>
      <c r="R999" t="s">
        <v>43</v>
      </c>
      <c r="S999">
        <v>1</v>
      </c>
      <c r="T999" t="s">
        <v>44</v>
      </c>
      <c r="U999" t="s">
        <v>44</v>
      </c>
      <c r="V999">
        <v>13</v>
      </c>
      <c r="W999" t="s">
        <v>45</v>
      </c>
      <c r="X999">
        <v>8</v>
      </c>
      <c r="Y999">
        <v>3</v>
      </c>
      <c r="Z999" t="s">
        <v>61</v>
      </c>
      <c r="AA999">
        <v>8</v>
      </c>
      <c r="AB999" t="s">
        <v>47</v>
      </c>
      <c r="AC999">
        <v>2</v>
      </c>
      <c r="AD999" t="s">
        <v>48</v>
      </c>
      <c r="AE999">
        <v>7</v>
      </c>
      <c r="AF999" t="s">
        <v>71</v>
      </c>
    </row>
    <row r="1000" spans="1:32" x14ac:dyDescent="0.25">
      <c r="A1000">
        <v>26</v>
      </c>
      <c r="B1000" t="s">
        <v>63</v>
      </c>
      <c r="C1000" t="s">
        <v>50</v>
      </c>
      <c r="D1000" t="s">
        <v>34</v>
      </c>
      <c r="E1000" t="s">
        <v>52</v>
      </c>
      <c r="F1000">
        <v>2</v>
      </c>
      <c r="G1000" t="s">
        <v>36</v>
      </c>
      <c r="H1000">
        <v>1</v>
      </c>
      <c r="I1000" t="s">
        <v>37</v>
      </c>
      <c r="J1000" t="s">
        <v>54</v>
      </c>
      <c r="K1000">
        <v>2</v>
      </c>
      <c r="L1000" t="s">
        <v>55</v>
      </c>
      <c r="M1000">
        <v>1</v>
      </c>
      <c r="N1000" t="s">
        <v>40</v>
      </c>
      <c r="O1000" t="s">
        <v>56</v>
      </c>
      <c r="P1000">
        <v>4</v>
      </c>
      <c r="Q1000" t="s">
        <v>42</v>
      </c>
      <c r="R1000" t="s">
        <v>43</v>
      </c>
      <c r="S1000">
        <v>0</v>
      </c>
      <c r="T1000" t="s">
        <v>44</v>
      </c>
      <c r="U1000" t="s">
        <v>59</v>
      </c>
      <c r="V1000">
        <v>12</v>
      </c>
      <c r="W1000" t="s">
        <v>45</v>
      </c>
      <c r="X1000">
        <v>5</v>
      </c>
      <c r="Y1000">
        <v>3</v>
      </c>
      <c r="Z1000" t="s">
        <v>61</v>
      </c>
      <c r="AA1000">
        <v>4</v>
      </c>
      <c r="AB1000" t="s">
        <v>48</v>
      </c>
      <c r="AC1000">
        <v>3</v>
      </c>
      <c r="AD1000" t="s">
        <v>48</v>
      </c>
      <c r="AE1000">
        <v>1</v>
      </c>
      <c r="AF1000" t="s">
        <v>49</v>
      </c>
    </row>
    <row r="1001" spans="1:32" x14ac:dyDescent="0.25">
      <c r="A1001">
        <v>42</v>
      </c>
      <c r="B1001" t="s">
        <v>32</v>
      </c>
      <c r="C1001" t="s">
        <v>50</v>
      </c>
      <c r="D1001" t="s">
        <v>34</v>
      </c>
      <c r="E1001" t="s">
        <v>77</v>
      </c>
      <c r="F1001">
        <v>10</v>
      </c>
      <c r="G1001" t="s">
        <v>53</v>
      </c>
      <c r="H1001">
        <v>3</v>
      </c>
      <c r="I1001" t="s">
        <v>42</v>
      </c>
      <c r="J1001" t="s">
        <v>38</v>
      </c>
      <c r="K1001">
        <v>3</v>
      </c>
      <c r="L1001" t="s">
        <v>39</v>
      </c>
      <c r="M1001">
        <v>4</v>
      </c>
      <c r="N1001" t="s">
        <v>72</v>
      </c>
      <c r="O1001" t="s">
        <v>73</v>
      </c>
      <c r="P1001">
        <v>1</v>
      </c>
      <c r="Q1001" t="s">
        <v>57</v>
      </c>
      <c r="R1001" t="s">
        <v>58</v>
      </c>
      <c r="S1001">
        <v>0</v>
      </c>
      <c r="T1001" t="s">
        <v>44</v>
      </c>
      <c r="U1001" t="s">
        <v>59</v>
      </c>
      <c r="V1001">
        <v>14</v>
      </c>
      <c r="W1001" t="s">
        <v>45</v>
      </c>
      <c r="X1001">
        <v>21</v>
      </c>
      <c r="Y1001">
        <v>3</v>
      </c>
      <c r="Z1001" t="s">
        <v>61</v>
      </c>
      <c r="AA1001">
        <v>20</v>
      </c>
      <c r="AB1001" t="s">
        <v>74</v>
      </c>
      <c r="AC1001">
        <v>7</v>
      </c>
      <c r="AD1001" t="s">
        <v>47</v>
      </c>
      <c r="AE1001">
        <v>0</v>
      </c>
      <c r="AF1001" t="s">
        <v>49</v>
      </c>
    </row>
    <row r="1002" spans="1:32" x14ac:dyDescent="0.25">
      <c r="A1002">
        <v>52</v>
      </c>
      <c r="B1002" t="s">
        <v>64</v>
      </c>
      <c r="C1002" t="s">
        <v>50</v>
      </c>
      <c r="D1002" t="s">
        <v>34</v>
      </c>
      <c r="E1002" t="s">
        <v>52</v>
      </c>
      <c r="F1002">
        <v>8</v>
      </c>
      <c r="G1002" t="s">
        <v>53</v>
      </c>
      <c r="H1002">
        <v>3</v>
      </c>
      <c r="I1002" t="s">
        <v>42</v>
      </c>
      <c r="J1002" t="s">
        <v>38</v>
      </c>
      <c r="K1002">
        <v>3</v>
      </c>
      <c r="L1002" t="s">
        <v>39</v>
      </c>
      <c r="M1002">
        <v>1</v>
      </c>
      <c r="N1002" t="s">
        <v>40</v>
      </c>
      <c r="O1002" t="s">
        <v>62</v>
      </c>
      <c r="P1002">
        <v>1</v>
      </c>
      <c r="Q1002" t="s">
        <v>57</v>
      </c>
      <c r="R1002" t="s">
        <v>58</v>
      </c>
      <c r="S1002">
        <v>9</v>
      </c>
      <c r="T1002" t="s">
        <v>44</v>
      </c>
      <c r="U1002" t="s">
        <v>59</v>
      </c>
      <c r="V1002">
        <v>13</v>
      </c>
      <c r="W1002" t="s">
        <v>45</v>
      </c>
      <c r="X1002">
        <v>12</v>
      </c>
      <c r="Y1002">
        <v>1</v>
      </c>
      <c r="Z1002" t="s">
        <v>46</v>
      </c>
      <c r="AA1002">
        <v>5</v>
      </c>
      <c r="AB1002" t="s">
        <v>47</v>
      </c>
      <c r="AC1002">
        <v>4</v>
      </c>
      <c r="AD1002" t="s">
        <v>48</v>
      </c>
      <c r="AE1002">
        <v>0</v>
      </c>
      <c r="AF1002" t="s">
        <v>49</v>
      </c>
    </row>
    <row r="1003" spans="1:32" x14ac:dyDescent="0.25">
      <c r="A1003">
        <v>37</v>
      </c>
      <c r="B1003" t="s">
        <v>32</v>
      </c>
      <c r="C1003" t="s">
        <v>50</v>
      </c>
      <c r="D1003" t="s">
        <v>34</v>
      </c>
      <c r="E1003" t="s">
        <v>52</v>
      </c>
      <c r="F1003">
        <v>11</v>
      </c>
      <c r="G1003" t="s">
        <v>53</v>
      </c>
      <c r="H1003">
        <v>1</v>
      </c>
      <c r="I1003" t="s">
        <v>37</v>
      </c>
      <c r="J1003" t="s">
        <v>38</v>
      </c>
      <c r="K1003">
        <v>3</v>
      </c>
      <c r="L1003" t="s">
        <v>39</v>
      </c>
      <c r="M1003">
        <v>1</v>
      </c>
      <c r="N1003" t="s">
        <v>40</v>
      </c>
      <c r="O1003" t="s">
        <v>62</v>
      </c>
      <c r="P1003">
        <v>3</v>
      </c>
      <c r="Q1003" t="s">
        <v>42</v>
      </c>
      <c r="R1003" t="s">
        <v>43</v>
      </c>
      <c r="S1003">
        <v>4</v>
      </c>
      <c r="T1003" t="s">
        <v>44</v>
      </c>
      <c r="U1003" t="s">
        <v>59</v>
      </c>
      <c r="V1003">
        <v>18</v>
      </c>
      <c r="W1003" t="s">
        <v>45</v>
      </c>
      <c r="X1003">
        <v>8</v>
      </c>
      <c r="Y1003">
        <v>3</v>
      </c>
      <c r="Z1003" t="s">
        <v>61</v>
      </c>
      <c r="AA1003">
        <v>3</v>
      </c>
      <c r="AB1003" t="s">
        <v>48</v>
      </c>
      <c r="AC1003">
        <v>2</v>
      </c>
      <c r="AD1003" t="s">
        <v>48</v>
      </c>
      <c r="AE1003">
        <v>0</v>
      </c>
      <c r="AF1003" t="s">
        <v>49</v>
      </c>
    </row>
    <row r="1004" spans="1:32" x14ac:dyDescent="0.25">
      <c r="A1004">
        <v>35</v>
      </c>
      <c r="B1004" t="s">
        <v>32</v>
      </c>
      <c r="C1004" t="s">
        <v>50</v>
      </c>
      <c r="D1004" t="s">
        <v>51</v>
      </c>
      <c r="E1004" t="s">
        <v>52</v>
      </c>
      <c r="F1004">
        <v>18</v>
      </c>
      <c r="G1004" t="s">
        <v>66</v>
      </c>
      <c r="H1004">
        <v>3</v>
      </c>
      <c r="I1004" t="s">
        <v>42</v>
      </c>
      <c r="J1004" t="s">
        <v>54</v>
      </c>
      <c r="K1004">
        <v>3</v>
      </c>
      <c r="L1004" t="s">
        <v>39</v>
      </c>
      <c r="M1004">
        <v>3</v>
      </c>
      <c r="N1004" t="s">
        <v>68</v>
      </c>
      <c r="O1004" t="s">
        <v>69</v>
      </c>
      <c r="P1004">
        <v>4</v>
      </c>
      <c r="Q1004" t="s">
        <v>42</v>
      </c>
      <c r="R1004" t="s">
        <v>43</v>
      </c>
      <c r="S1004">
        <v>2</v>
      </c>
      <c r="T1004" t="s">
        <v>44</v>
      </c>
      <c r="U1004" t="s">
        <v>59</v>
      </c>
      <c r="V1004">
        <v>11</v>
      </c>
      <c r="W1004" t="s">
        <v>45</v>
      </c>
      <c r="X1004">
        <v>10</v>
      </c>
      <c r="Y1004">
        <v>3</v>
      </c>
      <c r="Z1004" t="s">
        <v>61</v>
      </c>
      <c r="AA1004">
        <v>2</v>
      </c>
      <c r="AB1004" t="s">
        <v>48</v>
      </c>
      <c r="AC1004">
        <v>2</v>
      </c>
      <c r="AD1004" t="s">
        <v>48</v>
      </c>
      <c r="AE1004">
        <v>2</v>
      </c>
      <c r="AF1004" t="s">
        <v>49</v>
      </c>
    </row>
    <row r="1005" spans="1:32" x14ac:dyDescent="0.25">
      <c r="A1005">
        <v>25</v>
      </c>
      <c r="B1005" t="s">
        <v>63</v>
      </c>
      <c r="C1005" t="s">
        <v>50</v>
      </c>
      <c r="D1005" t="s">
        <v>34</v>
      </c>
      <c r="E1005" t="s">
        <v>52</v>
      </c>
      <c r="F1005">
        <v>1</v>
      </c>
      <c r="G1005" t="s">
        <v>36</v>
      </c>
      <c r="H1005">
        <v>1</v>
      </c>
      <c r="I1005" t="s">
        <v>37</v>
      </c>
      <c r="J1005" t="s">
        <v>54</v>
      </c>
      <c r="K1005">
        <v>3</v>
      </c>
      <c r="L1005" t="s">
        <v>39</v>
      </c>
      <c r="M1005">
        <v>1</v>
      </c>
      <c r="N1005" t="s">
        <v>40</v>
      </c>
      <c r="O1005" t="s">
        <v>62</v>
      </c>
      <c r="P1005">
        <v>4</v>
      </c>
      <c r="Q1005" t="s">
        <v>42</v>
      </c>
      <c r="R1005" t="s">
        <v>58</v>
      </c>
      <c r="S1005">
        <v>4</v>
      </c>
      <c r="T1005" t="s">
        <v>44</v>
      </c>
      <c r="U1005" t="s">
        <v>59</v>
      </c>
      <c r="V1005">
        <v>11</v>
      </c>
      <c r="W1005" t="s">
        <v>45</v>
      </c>
      <c r="X1005">
        <v>7</v>
      </c>
      <c r="Y1005">
        <v>2</v>
      </c>
      <c r="Z1005" t="s">
        <v>46</v>
      </c>
      <c r="AA1005">
        <v>3</v>
      </c>
      <c r="AB1005" t="s">
        <v>48</v>
      </c>
      <c r="AC1005">
        <v>2</v>
      </c>
      <c r="AD1005" t="s">
        <v>48</v>
      </c>
      <c r="AE1005">
        <v>0</v>
      </c>
      <c r="AF1005" t="s">
        <v>49</v>
      </c>
    </row>
    <row r="1006" spans="1:32" x14ac:dyDescent="0.25">
      <c r="A1006">
        <v>26</v>
      </c>
      <c r="B1006" t="s">
        <v>63</v>
      </c>
      <c r="C1006" t="s">
        <v>50</v>
      </c>
      <c r="D1006" t="s">
        <v>34</v>
      </c>
      <c r="E1006" t="s">
        <v>52</v>
      </c>
      <c r="F1006">
        <v>7</v>
      </c>
      <c r="G1006" t="s">
        <v>53</v>
      </c>
      <c r="H1006">
        <v>3</v>
      </c>
      <c r="I1006" t="s">
        <v>42</v>
      </c>
      <c r="J1006" t="s">
        <v>54</v>
      </c>
      <c r="K1006">
        <v>4</v>
      </c>
      <c r="L1006" t="s">
        <v>65</v>
      </c>
      <c r="M1006">
        <v>1</v>
      </c>
      <c r="N1006" t="s">
        <v>40</v>
      </c>
      <c r="O1006" t="s">
        <v>62</v>
      </c>
      <c r="P1006">
        <v>1</v>
      </c>
      <c r="Q1006" t="s">
        <v>57</v>
      </c>
      <c r="R1006" t="s">
        <v>43</v>
      </c>
      <c r="S1006">
        <v>0</v>
      </c>
      <c r="T1006" t="s">
        <v>44</v>
      </c>
      <c r="U1006" t="s">
        <v>59</v>
      </c>
      <c r="V1006">
        <v>12</v>
      </c>
      <c r="W1006" t="s">
        <v>45</v>
      </c>
      <c r="X1006">
        <v>8</v>
      </c>
      <c r="Y1006">
        <v>3</v>
      </c>
      <c r="Z1006" t="s">
        <v>61</v>
      </c>
      <c r="AA1006">
        <v>7</v>
      </c>
      <c r="AB1006" t="s">
        <v>47</v>
      </c>
      <c r="AC1006">
        <v>7</v>
      </c>
      <c r="AD1006" t="s">
        <v>47</v>
      </c>
      <c r="AE1006">
        <v>0</v>
      </c>
      <c r="AF1006" t="s">
        <v>49</v>
      </c>
    </row>
    <row r="1007" spans="1:32" x14ac:dyDescent="0.25">
      <c r="A1007">
        <v>29</v>
      </c>
      <c r="B1007" t="s">
        <v>63</v>
      </c>
      <c r="C1007" t="s">
        <v>50</v>
      </c>
      <c r="D1007" t="s">
        <v>34</v>
      </c>
      <c r="E1007" t="s">
        <v>77</v>
      </c>
      <c r="F1007">
        <v>17</v>
      </c>
      <c r="G1007" t="s">
        <v>66</v>
      </c>
      <c r="H1007">
        <v>2</v>
      </c>
      <c r="I1007" t="s">
        <v>37</v>
      </c>
      <c r="J1007" t="s">
        <v>54</v>
      </c>
      <c r="K1007">
        <v>2</v>
      </c>
      <c r="L1007" t="s">
        <v>55</v>
      </c>
      <c r="M1007">
        <v>3</v>
      </c>
      <c r="N1007" t="s">
        <v>68</v>
      </c>
      <c r="O1007" t="s">
        <v>77</v>
      </c>
      <c r="P1007">
        <v>1</v>
      </c>
      <c r="Q1007" t="s">
        <v>57</v>
      </c>
      <c r="R1007" t="s">
        <v>43</v>
      </c>
      <c r="S1007">
        <v>1</v>
      </c>
      <c r="T1007" t="s">
        <v>44</v>
      </c>
      <c r="U1007" t="s">
        <v>59</v>
      </c>
      <c r="V1007">
        <v>13</v>
      </c>
      <c r="W1007" t="s">
        <v>45</v>
      </c>
      <c r="X1007">
        <v>10</v>
      </c>
      <c r="Y1007">
        <v>2</v>
      </c>
      <c r="Z1007" t="s">
        <v>46</v>
      </c>
      <c r="AA1007">
        <v>10</v>
      </c>
      <c r="AB1007" t="s">
        <v>47</v>
      </c>
      <c r="AC1007">
        <v>9</v>
      </c>
      <c r="AD1007" t="s">
        <v>47</v>
      </c>
      <c r="AE1007">
        <v>0</v>
      </c>
      <c r="AF1007" t="s">
        <v>49</v>
      </c>
    </row>
    <row r="1008" spans="1:32" x14ac:dyDescent="0.25">
      <c r="A1008">
        <v>49</v>
      </c>
      <c r="B1008" t="s">
        <v>32</v>
      </c>
      <c r="C1008" t="s">
        <v>33</v>
      </c>
      <c r="D1008" t="s">
        <v>51</v>
      </c>
      <c r="E1008" t="s">
        <v>52</v>
      </c>
      <c r="F1008">
        <v>28</v>
      </c>
      <c r="G1008" t="s">
        <v>66</v>
      </c>
      <c r="H1008">
        <v>1</v>
      </c>
      <c r="I1008" t="s">
        <v>37</v>
      </c>
      <c r="J1008" t="s">
        <v>54</v>
      </c>
      <c r="K1008">
        <v>2</v>
      </c>
      <c r="L1008" t="s">
        <v>55</v>
      </c>
      <c r="M1008">
        <v>2</v>
      </c>
      <c r="N1008" t="s">
        <v>40</v>
      </c>
      <c r="O1008" t="s">
        <v>62</v>
      </c>
      <c r="P1008">
        <v>1</v>
      </c>
      <c r="Q1008" t="s">
        <v>57</v>
      </c>
      <c r="R1008" t="s">
        <v>43</v>
      </c>
      <c r="S1008">
        <v>3</v>
      </c>
      <c r="T1008" t="s">
        <v>44</v>
      </c>
      <c r="U1008" t="s">
        <v>59</v>
      </c>
      <c r="V1008">
        <v>20</v>
      </c>
      <c r="W1008" t="s">
        <v>60</v>
      </c>
      <c r="X1008">
        <v>20</v>
      </c>
      <c r="Y1008">
        <v>3</v>
      </c>
      <c r="Z1008" t="s">
        <v>61</v>
      </c>
      <c r="AA1008">
        <v>4</v>
      </c>
      <c r="AB1008" t="s">
        <v>48</v>
      </c>
      <c r="AC1008">
        <v>3</v>
      </c>
      <c r="AD1008" t="s">
        <v>48</v>
      </c>
      <c r="AE1008">
        <v>1</v>
      </c>
      <c r="AF1008" t="s">
        <v>49</v>
      </c>
    </row>
    <row r="1009" spans="1:32" x14ac:dyDescent="0.25">
      <c r="A1009">
        <v>29</v>
      </c>
      <c r="B1009" t="s">
        <v>63</v>
      </c>
      <c r="C1009" t="s">
        <v>33</v>
      </c>
      <c r="D1009" t="s">
        <v>51</v>
      </c>
      <c r="E1009" t="s">
        <v>52</v>
      </c>
      <c r="F1009">
        <v>14</v>
      </c>
      <c r="G1009" t="s">
        <v>53</v>
      </c>
      <c r="H1009">
        <v>3</v>
      </c>
      <c r="I1009" t="s">
        <v>42</v>
      </c>
      <c r="J1009" t="s">
        <v>38</v>
      </c>
      <c r="K1009">
        <v>3</v>
      </c>
      <c r="L1009" t="s">
        <v>39</v>
      </c>
      <c r="M1009">
        <v>3</v>
      </c>
      <c r="N1009" t="s">
        <v>68</v>
      </c>
      <c r="O1009" t="s">
        <v>70</v>
      </c>
      <c r="P1009">
        <v>4</v>
      </c>
      <c r="Q1009" t="s">
        <v>42</v>
      </c>
      <c r="R1009" t="s">
        <v>43</v>
      </c>
      <c r="S1009">
        <v>0</v>
      </c>
      <c r="T1009" t="s">
        <v>44</v>
      </c>
      <c r="U1009" t="s">
        <v>44</v>
      </c>
      <c r="V1009">
        <v>12</v>
      </c>
      <c r="W1009" t="s">
        <v>45</v>
      </c>
      <c r="X1009">
        <v>9</v>
      </c>
      <c r="Y1009">
        <v>3</v>
      </c>
      <c r="Z1009" t="s">
        <v>61</v>
      </c>
      <c r="AA1009">
        <v>8</v>
      </c>
      <c r="AB1009" t="s">
        <v>47</v>
      </c>
      <c r="AC1009">
        <v>7</v>
      </c>
      <c r="AD1009" t="s">
        <v>47</v>
      </c>
      <c r="AE1009">
        <v>7</v>
      </c>
      <c r="AF1009" t="s">
        <v>71</v>
      </c>
    </row>
    <row r="1010" spans="1:32" x14ac:dyDescent="0.25">
      <c r="A1010">
        <v>54</v>
      </c>
      <c r="B1010" t="s">
        <v>64</v>
      </c>
      <c r="C1010" t="s">
        <v>50</v>
      </c>
      <c r="D1010" t="s">
        <v>34</v>
      </c>
      <c r="E1010" t="s">
        <v>52</v>
      </c>
      <c r="F1010">
        <v>1</v>
      </c>
      <c r="G1010" t="s">
        <v>36</v>
      </c>
      <c r="H1010">
        <v>4</v>
      </c>
      <c r="I1010" t="s">
        <v>42</v>
      </c>
      <c r="J1010" t="s">
        <v>38</v>
      </c>
      <c r="K1010">
        <v>3</v>
      </c>
      <c r="L1010" t="s">
        <v>39</v>
      </c>
      <c r="M1010">
        <v>4</v>
      </c>
      <c r="N1010" t="s">
        <v>72</v>
      </c>
      <c r="O1010" t="s">
        <v>76</v>
      </c>
      <c r="P1010">
        <v>4</v>
      </c>
      <c r="Q1010" t="s">
        <v>42</v>
      </c>
      <c r="R1010" t="s">
        <v>43</v>
      </c>
      <c r="S1010">
        <v>6</v>
      </c>
      <c r="T1010" t="s">
        <v>44</v>
      </c>
      <c r="U1010" t="s">
        <v>59</v>
      </c>
      <c r="V1010">
        <v>19</v>
      </c>
      <c r="W1010" t="s">
        <v>45</v>
      </c>
      <c r="X1010">
        <v>29</v>
      </c>
      <c r="Y1010">
        <v>2</v>
      </c>
      <c r="Z1010" t="s">
        <v>46</v>
      </c>
      <c r="AA1010">
        <v>20</v>
      </c>
      <c r="AB1010" t="s">
        <v>74</v>
      </c>
      <c r="AC1010">
        <v>7</v>
      </c>
      <c r="AD1010" t="s">
        <v>47</v>
      </c>
      <c r="AE1010">
        <v>12</v>
      </c>
      <c r="AF1010" t="s">
        <v>71</v>
      </c>
    </row>
    <row r="1011" spans="1:32" x14ac:dyDescent="0.25">
      <c r="A1011">
        <v>58</v>
      </c>
      <c r="B1011" t="s">
        <v>64</v>
      </c>
      <c r="C1011" t="s">
        <v>50</v>
      </c>
      <c r="D1011" t="s">
        <v>34</v>
      </c>
      <c r="E1011" t="s">
        <v>52</v>
      </c>
      <c r="F1011">
        <v>1</v>
      </c>
      <c r="G1011" t="s">
        <v>36</v>
      </c>
      <c r="H1011">
        <v>4</v>
      </c>
      <c r="I1011" t="s">
        <v>42</v>
      </c>
      <c r="J1011" t="s">
        <v>38</v>
      </c>
      <c r="K1011">
        <v>3</v>
      </c>
      <c r="L1011" t="s">
        <v>39</v>
      </c>
      <c r="M1011">
        <v>5</v>
      </c>
      <c r="N1011" t="s">
        <v>72</v>
      </c>
      <c r="O1011" t="s">
        <v>76</v>
      </c>
      <c r="P1011">
        <v>1</v>
      </c>
      <c r="Q1011" t="s">
        <v>57</v>
      </c>
      <c r="R1011" t="s">
        <v>58</v>
      </c>
      <c r="S1011">
        <v>3</v>
      </c>
      <c r="T1011" t="s">
        <v>44</v>
      </c>
      <c r="U1011" t="s">
        <v>44</v>
      </c>
      <c r="V1011">
        <v>21</v>
      </c>
      <c r="W1011" t="s">
        <v>60</v>
      </c>
      <c r="X1011">
        <v>32</v>
      </c>
      <c r="Y1011">
        <v>3</v>
      </c>
      <c r="Z1011" t="s">
        <v>61</v>
      </c>
      <c r="AA1011">
        <v>9</v>
      </c>
      <c r="AB1011" t="s">
        <v>47</v>
      </c>
      <c r="AC1011">
        <v>8</v>
      </c>
      <c r="AD1011" t="s">
        <v>47</v>
      </c>
      <c r="AE1011">
        <v>1</v>
      </c>
      <c r="AF1011" t="s">
        <v>49</v>
      </c>
    </row>
    <row r="1012" spans="1:32" x14ac:dyDescent="0.25">
      <c r="A1012">
        <v>55</v>
      </c>
      <c r="B1012" t="s">
        <v>64</v>
      </c>
      <c r="C1012" t="s">
        <v>50</v>
      </c>
      <c r="D1012" t="s">
        <v>34</v>
      </c>
      <c r="E1012" t="s">
        <v>52</v>
      </c>
      <c r="F1012">
        <v>1</v>
      </c>
      <c r="G1012" t="s">
        <v>36</v>
      </c>
      <c r="H1012">
        <v>2</v>
      </c>
      <c r="I1012" t="s">
        <v>37</v>
      </c>
      <c r="J1012" t="s">
        <v>54</v>
      </c>
      <c r="K1012">
        <v>4</v>
      </c>
      <c r="L1012" t="s">
        <v>65</v>
      </c>
      <c r="M1012">
        <v>4</v>
      </c>
      <c r="N1012" t="s">
        <v>72</v>
      </c>
      <c r="O1012" t="s">
        <v>76</v>
      </c>
      <c r="P1012">
        <v>4</v>
      </c>
      <c r="Q1012" t="s">
        <v>42</v>
      </c>
      <c r="R1012" t="s">
        <v>67</v>
      </c>
      <c r="S1012">
        <v>2</v>
      </c>
      <c r="T1012" t="s">
        <v>44</v>
      </c>
      <c r="U1012" t="s">
        <v>59</v>
      </c>
      <c r="V1012">
        <v>13</v>
      </c>
      <c r="W1012" t="s">
        <v>45</v>
      </c>
      <c r="X1012">
        <v>31</v>
      </c>
      <c r="Y1012">
        <v>4</v>
      </c>
      <c r="Z1012" t="s">
        <v>61</v>
      </c>
      <c r="AA1012">
        <v>7</v>
      </c>
      <c r="AB1012" t="s">
        <v>47</v>
      </c>
      <c r="AC1012">
        <v>7</v>
      </c>
      <c r="AD1012" t="s">
        <v>47</v>
      </c>
      <c r="AE1012">
        <v>0</v>
      </c>
      <c r="AF1012" t="s">
        <v>49</v>
      </c>
    </row>
    <row r="1013" spans="1:32" x14ac:dyDescent="0.25">
      <c r="A1013">
        <v>36</v>
      </c>
      <c r="B1013" t="s">
        <v>32</v>
      </c>
      <c r="C1013" t="s">
        <v>50</v>
      </c>
      <c r="D1013" t="s">
        <v>34</v>
      </c>
      <c r="E1013" t="s">
        <v>35</v>
      </c>
      <c r="F1013">
        <v>3</v>
      </c>
      <c r="G1013" t="s">
        <v>36</v>
      </c>
      <c r="H1013">
        <v>1</v>
      </c>
      <c r="I1013" t="s">
        <v>37</v>
      </c>
      <c r="J1013" t="s">
        <v>38</v>
      </c>
      <c r="K1013">
        <v>3</v>
      </c>
      <c r="L1013" t="s">
        <v>39</v>
      </c>
      <c r="M1013">
        <v>2</v>
      </c>
      <c r="N1013" t="s">
        <v>40</v>
      </c>
      <c r="O1013" t="s">
        <v>41</v>
      </c>
      <c r="P1013">
        <v>2</v>
      </c>
      <c r="Q1013" t="s">
        <v>57</v>
      </c>
      <c r="R1013" t="s">
        <v>43</v>
      </c>
      <c r="S1013">
        <v>3</v>
      </c>
      <c r="T1013" t="s">
        <v>44</v>
      </c>
      <c r="U1013" t="s">
        <v>44</v>
      </c>
      <c r="V1013">
        <v>16</v>
      </c>
      <c r="W1013" t="s">
        <v>45</v>
      </c>
      <c r="X1013">
        <v>15</v>
      </c>
      <c r="Y1013">
        <v>3</v>
      </c>
      <c r="Z1013" t="s">
        <v>61</v>
      </c>
      <c r="AA1013">
        <v>5</v>
      </c>
      <c r="AB1013" t="s">
        <v>47</v>
      </c>
      <c r="AC1013">
        <v>4</v>
      </c>
      <c r="AD1013" t="s">
        <v>48</v>
      </c>
      <c r="AE1013">
        <v>0</v>
      </c>
      <c r="AF1013" t="s">
        <v>49</v>
      </c>
    </row>
    <row r="1014" spans="1:32" x14ac:dyDescent="0.25">
      <c r="A1014">
        <v>31</v>
      </c>
      <c r="B1014" t="s">
        <v>32</v>
      </c>
      <c r="C1014" t="s">
        <v>33</v>
      </c>
      <c r="D1014" t="s">
        <v>51</v>
      </c>
      <c r="E1014" t="s">
        <v>35</v>
      </c>
      <c r="F1014">
        <v>1</v>
      </c>
      <c r="G1014" t="s">
        <v>36</v>
      </c>
      <c r="H1014">
        <v>2</v>
      </c>
      <c r="I1014" t="s">
        <v>37</v>
      </c>
      <c r="J1014" t="s">
        <v>38</v>
      </c>
      <c r="K1014">
        <v>1</v>
      </c>
      <c r="L1014" t="s">
        <v>55</v>
      </c>
      <c r="M1014">
        <v>1</v>
      </c>
      <c r="N1014" t="s">
        <v>40</v>
      </c>
      <c r="O1014" t="s">
        <v>75</v>
      </c>
      <c r="P1014">
        <v>3</v>
      </c>
      <c r="Q1014" t="s">
        <v>42</v>
      </c>
      <c r="R1014" t="s">
        <v>43</v>
      </c>
      <c r="S1014">
        <v>1</v>
      </c>
      <c r="T1014" t="s">
        <v>44</v>
      </c>
      <c r="U1014" t="s">
        <v>59</v>
      </c>
      <c r="V1014">
        <v>12</v>
      </c>
      <c r="W1014" t="s">
        <v>45</v>
      </c>
      <c r="X1014">
        <v>1</v>
      </c>
      <c r="Y1014">
        <v>3</v>
      </c>
      <c r="Z1014" t="s">
        <v>61</v>
      </c>
      <c r="AA1014">
        <v>1</v>
      </c>
      <c r="AB1014" t="s">
        <v>48</v>
      </c>
      <c r="AC1014">
        <v>0</v>
      </c>
      <c r="AD1014" t="s">
        <v>48</v>
      </c>
      <c r="AE1014">
        <v>0</v>
      </c>
      <c r="AF1014" t="s">
        <v>49</v>
      </c>
    </row>
    <row r="1015" spans="1:32" x14ac:dyDescent="0.25">
      <c r="A1015">
        <v>30</v>
      </c>
      <c r="B1015" t="s">
        <v>32</v>
      </c>
      <c r="C1015" t="s">
        <v>50</v>
      </c>
      <c r="D1015" t="s">
        <v>34</v>
      </c>
      <c r="E1015" t="s">
        <v>35</v>
      </c>
      <c r="F1015">
        <v>7</v>
      </c>
      <c r="G1015" t="s">
        <v>53</v>
      </c>
      <c r="H1015">
        <v>4</v>
      </c>
      <c r="I1015" t="s">
        <v>42</v>
      </c>
      <c r="J1015" t="s">
        <v>38</v>
      </c>
      <c r="K1015">
        <v>3</v>
      </c>
      <c r="L1015" t="s">
        <v>39</v>
      </c>
      <c r="M1015">
        <v>2</v>
      </c>
      <c r="N1015" t="s">
        <v>40</v>
      </c>
      <c r="O1015" t="s">
        <v>41</v>
      </c>
      <c r="P1015">
        <v>1</v>
      </c>
      <c r="Q1015" t="s">
        <v>57</v>
      </c>
      <c r="R1015" t="s">
        <v>67</v>
      </c>
      <c r="S1015">
        <v>7</v>
      </c>
      <c r="T1015" t="s">
        <v>44</v>
      </c>
      <c r="U1015" t="s">
        <v>59</v>
      </c>
      <c r="V1015">
        <v>14</v>
      </c>
      <c r="W1015" t="s">
        <v>45</v>
      </c>
      <c r="X1015">
        <v>8</v>
      </c>
      <c r="Y1015">
        <v>3</v>
      </c>
      <c r="Z1015" t="s">
        <v>61</v>
      </c>
      <c r="AA1015">
        <v>3</v>
      </c>
      <c r="AB1015" t="s">
        <v>48</v>
      </c>
      <c r="AC1015">
        <v>2</v>
      </c>
      <c r="AD1015" t="s">
        <v>48</v>
      </c>
      <c r="AE1015">
        <v>0</v>
      </c>
      <c r="AF1015" t="s">
        <v>49</v>
      </c>
    </row>
    <row r="1016" spans="1:32" x14ac:dyDescent="0.25">
      <c r="A1016">
        <v>31</v>
      </c>
      <c r="B1016" t="s">
        <v>32</v>
      </c>
      <c r="C1016" t="s">
        <v>50</v>
      </c>
      <c r="D1016" t="s">
        <v>34</v>
      </c>
      <c r="E1016" t="s">
        <v>52</v>
      </c>
      <c r="F1016">
        <v>8</v>
      </c>
      <c r="G1016" t="s">
        <v>53</v>
      </c>
      <c r="H1016">
        <v>1</v>
      </c>
      <c r="I1016" t="s">
        <v>37</v>
      </c>
      <c r="J1016" t="s">
        <v>38</v>
      </c>
      <c r="K1016">
        <v>3</v>
      </c>
      <c r="L1016" t="s">
        <v>39</v>
      </c>
      <c r="M1016">
        <v>4</v>
      </c>
      <c r="N1016" t="s">
        <v>72</v>
      </c>
      <c r="O1016" t="s">
        <v>76</v>
      </c>
      <c r="P1016">
        <v>2</v>
      </c>
      <c r="Q1016" t="s">
        <v>57</v>
      </c>
      <c r="R1016" t="s">
        <v>43</v>
      </c>
      <c r="S1016">
        <v>3</v>
      </c>
      <c r="T1016" t="s">
        <v>44</v>
      </c>
      <c r="U1016" t="s">
        <v>59</v>
      </c>
      <c r="V1016">
        <v>11</v>
      </c>
      <c r="W1016" t="s">
        <v>45</v>
      </c>
      <c r="X1016">
        <v>9</v>
      </c>
      <c r="Y1016">
        <v>4</v>
      </c>
      <c r="Z1016" t="s">
        <v>61</v>
      </c>
      <c r="AA1016">
        <v>3</v>
      </c>
      <c r="AB1016" t="s">
        <v>48</v>
      </c>
      <c r="AC1016">
        <v>2</v>
      </c>
      <c r="AD1016" t="s">
        <v>48</v>
      </c>
      <c r="AE1016">
        <v>1</v>
      </c>
      <c r="AF1016" t="s">
        <v>49</v>
      </c>
    </row>
    <row r="1017" spans="1:32" x14ac:dyDescent="0.25">
      <c r="A1017">
        <v>34</v>
      </c>
      <c r="B1017" t="s">
        <v>32</v>
      </c>
      <c r="C1017" t="s">
        <v>50</v>
      </c>
      <c r="D1017" t="s">
        <v>51</v>
      </c>
      <c r="E1017" t="s">
        <v>52</v>
      </c>
      <c r="F1017">
        <v>1</v>
      </c>
      <c r="G1017" t="s">
        <v>36</v>
      </c>
      <c r="H1017">
        <v>4</v>
      </c>
      <c r="I1017" t="s">
        <v>42</v>
      </c>
      <c r="J1017" t="s">
        <v>54</v>
      </c>
      <c r="K1017">
        <v>3</v>
      </c>
      <c r="L1017" t="s">
        <v>39</v>
      </c>
      <c r="M1017">
        <v>1</v>
      </c>
      <c r="N1017" t="s">
        <v>40</v>
      </c>
      <c r="O1017" t="s">
        <v>56</v>
      </c>
      <c r="P1017">
        <v>1</v>
      </c>
      <c r="Q1017" t="s">
        <v>57</v>
      </c>
      <c r="R1017" t="s">
        <v>67</v>
      </c>
      <c r="S1017">
        <v>5</v>
      </c>
      <c r="T1017" t="s">
        <v>44</v>
      </c>
      <c r="U1017" t="s">
        <v>59</v>
      </c>
      <c r="V1017">
        <v>14</v>
      </c>
      <c r="W1017" t="s">
        <v>45</v>
      </c>
      <c r="X1017">
        <v>10</v>
      </c>
      <c r="Y1017">
        <v>3</v>
      </c>
      <c r="Z1017" t="s">
        <v>61</v>
      </c>
      <c r="AA1017">
        <v>4</v>
      </c>
      <c r="AB1017" t="s">
        <v>48</v>
      </c>
      <c r="AC1017">
        <v>3</v>
      </c>
      <c r="AD1017" t="s">
        <v>48</v>
      </c>
      <c r="AE1017">
        <v>1</v>
      </c>
      <c r="AF1017" t="s">
        <v>49</v>
      </c>
    </row>
    <row r="1018" spans="1:32" x14ac:dyDescent="0.25">
      <c r="A1018">
        <v>31</v>
      </c>
      <c r="B1018" t="s">
        <v>32</v>
      </c>
      <c r="C1018" t="s">
        <v>33</v>
      </c>
      <c r="D1018" t="s">
        <v>34</v>
      </c>
      <c r="E1018" t="s">
        <v>52</v>
      </c>
      <c r="F1018">
        <v>8</v>
      </c>
      <c r="G1018" t="s">
        <v>53</v>
      </c>
      <c r="H1018">
        <v>1</v>
      </c>
      <c r="I1018" t="s">
        <v>37</v>
      </c>
      <c r="J1018" t="s">
        <v>38</v>
      </c>
      <c r="K1018">
        <v>2</v>
      </c>
      <c r="L1018" t="s">
        <v>55</v>
      </c>
      <c r="M1018">
        <v>1</v>
      </c>
      <c r="N1018" t="s">
        <v>40</v>
      </c>
      <c r="O1018" t="s">
        <v>56</v>
      </c>
      <c r="P1018">
        <v>2</v>
      </c>
      <c r="Q1018" t="s">
        <v>57</v>
      </c>
      <c r="R1018" t="s">
        <v>43</v>
      </c>
      <c r="S1018">
        <v>1</v>
      </c>
      <c r="T1018" t="s">
        <v>44</v>
      </c>
      <c r="U1018" t="s">
        <v>59</v>
      </c>
      <c r="V1018">
        <v>12</v>
      </c>
      <c r="W1018" t="s">
        <v>45</v>
      </c>
      <c r="X1018">
        <v>1</v>
      </c>
      <c r="Y1018">
        <v>4</v>
      </c>
      <c r="Z1018" t="s">
        <v>61</v>
      </c>
      <c r="AA1018">
        <v>1</v>
      </c>
      <c r="AB1018" t="s">
        <v>48</v>
      </c>
      <c r="AC1018">
        <v>0</v>
      </c>
      <c r="AD1018" t="s">
        <v>48</v>
      </c>
      <c r="AE1018">
        <v>0</v>
      </c>
      <c r="AF1018" t="s">
        <v>49</v>
      </c>
    </row>
    <row r="1019" spans="1:32" x14ac:dyDescent="0.25">
      <c r="A1019">
        <v>27</v>
      </c>
      <c r="B1019" t="s">
        <v>63</v>
      </c>
      <c r="C1019" t="s">
        <v>50</v>
      </c>
      <c r="D1019" t="s">
        <v>34</v>
      </c>
      <c r="E1019" t="s">
        <v>52</v>
      </c>
      <c r="F1019">
        <v>11</v>
      </c>
      <c r="G1019" t="s">
        <v>53</v>
      </c>
      <c r="H1019">
        <v>2</v>
      </c>
      <c r="I1019" t="s">
        <v>37</v>
      </c>
      <c r="J1019" t="s">
        <v>54</v>
      </c>
      <c r="K1019">
        <v>3</v>
      </c>
      <c r="L1019" t="s">
        <v>39</v>
      </c>
      <c r="M1019">
        <v>1</v>
      </c>
      <c r="N1019" t="s">
        <v>40</v>
      </c>
      <c r="O1019" t="s">
        <v>62</v>
      </c>
      <c r="P1019">
        <v>1</v>
      </c>
      <c r="Q1019" t="s">
        <v>57</v>
      </c>
      <c r="R1019" t="s">
        <v>58</v>
      </c>
      <c r="S1019">
        <v>0</v>
      </c>
      <c r="T1019" t="s">
        <v>44</v>
      </c>
      <c r="U1019" t="s">
        <v>59</v>
      </c>
      <c r="V1019">
        <v>14</v>
      </c>
      <c r="W1019" t="s">
        <v>45</v>
      </c>
      <c r="X1019">
        <v>6</v>
      </c>
      <c r="Y1019">
        <v>4</v>
      </c>
      <c r="Z1019" t="s">
        <v>61</v>
      </c>
      <c r="AA1019">
        <v>5</v>
      </c>
      <c r="AB1019" t="s">
        <v>47</v>
      </c>
      <c r="AC1019">
        <v>0</v>
      </c>
      <c r="AD1019" t="s">
        <v>48</v>
      </c>
      <c r="AE1019">
        <v>1</v>
      </c>
      <c r="AF1019" t="s">
        <v>49</v>
      </c>
    </row>
    <row r="1020" spans="1:32" x14ac:dyDescent="0.25">
      <c r="A1020">
        <v>36</v>
      </c>
      <c r="B1020" t="s">
        <v>32</v>
      </c>
      <c r="C1020" t="s">
        <v>50</v>
      </c>
      <c r="D1020" t="s">
        <v>34</v>
      </c>
      <c r="E1020" t="s">
        <v>52</v>
      </c>
      <c r="F1020">
        <v>4</v>
      </c>
      <c r="G1020" t="s">
        <v>36</v>
      </c>
      <c r="H1020">
        <v>1</v>
      </c>
      <c r="I1020" t="s">
        <v>37</v>
      </c>
      <c r="J1020" t="s">
        <v>54</v>
      </c>
      <c r="K1020">
        <v>2</v>
      </c>
      <c r="L1020" t="s">
        <v>55</v>
      </c>
      <c r="M1020">
        <v>2</v>
      </c>
      <c r="N1020" t="s">
        <v>40</v>
      </c>
      <c r="O1020" t="s">
        <v>62</v>
      </c>
      <c r="P1020">
        <v>4</v>
      </c>
      <c r="Q1020" t="s">
        <v>42</v>
      </c>
      <c r="R1020" t="s">
        <v>43</v>
      </c>
      <c r="S1020">
        <v>1</v>
      </c>
      <c r="T1020" t="s">
        <v>44</v>
      </c>
      <c r="U1020" t="s">
        <v>59</v>
      </c>
      <c r="V1020">
        <v>16</v>
      </c>
      <c r="W1020" t="s">
        <v>45</v>
      </c>
      <c r="X1020">
        <v>10</v>
      </c>
      <c r="Y1020">
        <v>2</v>
      </c>
      <c r="Z1020" t="s">
        <v>46</v>
      </c>
      <c r="AA1020">
        <v>10</v>
      </c>
      <c r="AB1020" t="s">
        <v>47</v>
      </c>
      <c r="AC1020">
        <v>4</v>
      </c>
      <c r="AD1020" t="s">
        <v>48</v>
      </c>
      <c r="AE1020">
        <v>1</v>
      </c>
      <c r="AF1020" t="s">
        <v>49</v>
      </c>
    </row>
    <row r="1021" spans="1:32" x14ac:dyDescent="0.25">
      <c r="A1021">
        <v>36</v>
      </c>
      <c r="B1021" t="s">
        <v>32</v>
      </c>
      <c r="C1021" t="s">
        <v>50</v>
      </c>
      <c r="D1021" t="s">
        <v>34</v>
      </c>
      <c r="E1021" t="s">
        <v>35</v>
      </c>
      <c r="F1021">
        <v>16</v>
      </c>
      <c r="G1021" t="s">
        <v>66</v>
      </c>
      <c r="H1021">
        <v>3</v>
      </c>
      <c r="I1021" t="s">
        <v>42</v>
      </c>
      <c r="J1021" t="s">
        <v>38</v>
      </c>
      <c r="K1021">
        <v>2</v>
      </c>
      <c r="L1021" t="s">
        <v>55</v>
      </c>
      <c r="M1021">
        <v>2</v>
      </c>
      <c r="N1021" t="s">
        <v>40</v>
      </c>
      <c r="O1021" t="s">
        <v>41</v>
      </c>
      <c r="P1021">
        <v>1</v>
      </c>
      <c r="Q1021" t="s">
        <v>57</v>
      </c>
      <c r="R1021" t="s">
        <v>58</v>
      </c>
      <c r="S1021">
        <v>4</v>
      </c>
      <c r="T1021" t="s">
        <v>44</v>
      </c>
      <c r="U1021" t="s">
        <v>59</v>
      </c>
      <c r="V1021">
        <v>13</v>
      </c>
      <c r="W1021" t="s">
        <v>45</v>
      </c>
      <c r="X1021">
        <v>11</v>
      </c>
      <c r="Y1021">
        <v>2</v>
      </c>
      <c r="Z1021" t="s">
        <v>46</v>
      </c>
      <c r="AA1021">
        <v>3</v>
      </c>
      <c r="AB1021" t="s">
        <v>48</v>
      </c>
      <c r="AC1021">
        <v>2</v>
      </c>
      <c r="AD1021" t="s">
        <v>48</v>
      </c>
      <c r="AE1021">
        <v>0</v>
      </c>
      <c r="AF1021" t="s">
        <v>49</v>
      </c>
    </row>
    <row r="1022" spans="1:32" x14ac:dyDescent="0.25">
      <c r="A1022">
        <v>47</v>
      </c>
      <c r="B1022" t="s">
        <v>32</v>
      </c>
      <c r="C1022" t="s">
        <v>50</v>
      </c>
      <c r="D1022" t="s">
        <v>34</v>
      </c>
      <c r="E1022" t="s">
        <v>52</v>
      </c>
      <c r="F1022">
        <v>1</v>
      </c>
      <c r="G1022" t="s">
        <v>36</v>
      </c>
      <c r="H1022">
        <v>1</v>
      </c>
      <c r="I1022" t="s">
        <v>37</v>
      </c>
      <c r="J1022" t="s">
        <v>54</v>
      </c>
      <c r="K1022">
        <v>3</v>
      </c>
      <c r="L1022" t="s">
        <v>39</v>
      </c>
      <c r="M1022">
        <v>1</v>
      </c>
      <c r="N1022" t="s">
        <v>40</v>
      </c>
      <c r="O1022" t="s">
        <v>56</v>
      </c>
      <c r="P1022">
        <v>4</v>
      </c>
      <c r="Q1022" t="s">
        <v>42</v>
      </c>
      <c r="R1022" t="s">
        <v>58</v>
      </c>
      <c r="S1022">
        <v>7</v>
      </c>
      <c r="T1022" t="s">
        <v>44</v>
      </c>
      <c r="U1022" t="s">
        <v>59</v>
      </c>
      <c r="V1022">
        <v>12</v>
      </c>
      <c r="W1022" t="s">
        <v>45</v>
      </c>
      <c r="X1022">
        <v>17</v>
      </c>
      <c r="Y1022">
        <v>2</v>
      </c>
      <c r="Z1022" t="s">
        <v>46</v>
      </c>
      <c r="AA1022">
        <v>6</v>
      </c>
      <c r="AB1022" t="s">
        <v>47</v>
      </c>
      <c r="AC1022">
        <v>5</v>
      </c>
      <c r="AD1022" t="s">
        <v>47</v>
      </c>
      <c r="AE1022">
        <v>1</v>
      </c>
      <c r="AF1022" t="s">
        <v>49</v>
      </c>
    </row>
    <row r="1023" spans="1:32" x14ac:dyDescent="0.25">
      <c r="A1023">
        <v>25</v>
      </c>
      <c r="B1023" t="s">
        <v>63</v>
      </c>
      <c r="C1023" t="s">
        <v>33</v>
      </c>
      <c r="D1023" t="s">
        <v>34</v>
      </c>
      <c r="E1023" t="s">
        <v>35</v>
      </c>
      <c r="F1023">
        <v>9</v>
      </c>
      <c r="G1023" t="s">
        <v>53</v>
      </c>
      <c r="H1023">
        <v>1</v>
      </c>
      <c r="I1023" t="s">
        <v>37</v>
      </c>
      <c r="J1023" t="s">
        <v>54</v>
      </c>
      <c r="K1023">
        <v>2</v>
      </c>
      <c r="L1023" t="s">
        <v>55</v>
      </c>
      <c r="M1023">
        <v>1</v>
      </c>
      <c r="N1023" t="s">
        <v>40</v>
      </c>
      <c r="O1023" t="s">
        <v>75</v>
      </c>
      <c r="P1023">
        <v>1</v>
      </c>
      <c r="Q1023" t="s">
        <v>57</v>
      </c>
      <c r="R1023" t="s">
        <v>58</v>
      </c>
      <c r="S1023">
        <v>3</v>
      </c>
      <c r="T1023" t="s">
        <v>44</v>
      </c>
      <c r="U1023" t="s">
        <v>59</v>
      </c>
      <c r="V1023">
        <v>12</v>
      </c>
      <c r="W1023" t="s">
        <v>45</v>
      </c>
      <c r="X1023">
        <v>6</v>
      </c>
      <c r="Y1023">
        <v>3</v>
      </c>
      <c r="Z1023" t="s">
        <v>61</v>
      </c>
      <c r="AA1023">
        <v>3</v>
      </c>
      <c r="AB1023" t="s">
        <v>48</v>
      </c>
      <c r="AC1023">
        <v>2</v>
      </c>
      <c r="AD1023" t="s">
        <v>48</v>
      </c>
      <c r="AE1023">
        <v>2</v>
      </c>
      <c r="AF1023" t="s">
        <v>49</v>
      </c>
    </row>
    <row r="1024" spans="1:32" x14ac:dyDescent="0.25">
      <c r="A1024">
        <v>37</v>
      </c>
      <c r="B1024" t="s">
        <v>32</v>
      </c>
      <c r="C1024" t="s">
        <v>50</v>
      </c>
      <c r="D1024" t="s">
        <v>34</v>
      </c>
      <c r="E1024" t="s">
        <v>52</v>
      </c>
      <c r="F1024">
        <v>5</v>
      </c>
      <c r="G1024" t="s">
        <v>36</v>
      </c>
      <c r="H1024">
        <v>3</v>
      </c>
      <c r="I1024" t="s">
        <v>42</v>
      </c>
      <c r="J1024" t="s">
        <v>54</v>
      </c>
      <c r="K1024">
        <v>4</v>
      </c>
      <c r="L1024" t="s">
        <v>65</v>
      </c>
      <c r="M1024">
        <v>1</v>
      </c>
      <c r="N1024" t="s">
        <v>40</v>
      </c>
      <c r="O1024" t="s">
        <v>62</v>
      </c>
      <c r="P1024">
        <v>3</v>
      </c>
      <c r="Q1024" t="s">
        <v>42</v>
      </c>
      <c r="R1024" t="s">
        <v>43</v>
      </c>
      <c r="S1024">
        <v>0</v>
      </c>
      <c r="T1024" t="s">
        <v>44</v>
      </c>
      <c r="U1024" t="s">
        <v>59</v>
      </c>
      <c r="V1024">
        <v>14</v>
      </c>
      <c r="W1024" t="s">
        <v>45</v>
      </c>
      <c r="X1024">
        <v>7</v>
      </c>
      <c r="Y1024">
        <v>1</v>
      </c>
      <c r="Z1024" t="s">
        <v>46</v>
      </c>
      <c r="AA1024">
        <v>6</v>
      </c>
      <c r="AB1024" t="s">
        <v>47</v>
      </c>
      <c r="AC1024">
        <v>5</v>
      </c>
      <c r="AD1024" t="s">
        <v>47</v>
      </c>
      <c r="AE1024">
        <v>1</v>
      </c>
      <c r="AF1024" t="s">
        <v>49</v>
      </c>
    </row>
    <row r="1025" spans="1:32" x14ac:dyDescent="0.25">
      <c r="A1025">
        <v>56</v>
      </c>
      <c r="B1025" t="s">
        <v>64</v>
      </c>
      <c r="C1025" t="s">
        <v>50</v>
      </c>
      <c r="D1025" t="s">
        <v>34</v>
      </c>
      <c r="E1025" t="s">
        <v>52</v>
      </c>
      <c r="F1025">
        <v>1</v>
      </c>
      <c r="G1025" t="s">
        <v>36</v>
      </c>
      <c r="H1025">
        <v>1</v>
      </c>
      <c r="I1025" t="s">
        <v>37</v>
      </c>
      <c r="J1025" t="s">
        <v>38</v>
      </c>
      <c r="K1025">
        <v>3</v>
      </c>
      <c r="L1025" t="s">
        <v>39</v>
      </c>
      <c r="M1025">
        <v>1</v>
      </c>
      <c r="N1025" t="s">
        <v>40</v>
      </c>
      <c r="O1025" t="s">
        <v>56</v>
      </c>
      <c r="P1025">
        <v>1</v>
      </c>
      <c r="Q1025" t="s">
        <v>57</v>
      </c>
      <c r="R1025" t="s">
        <v>58</v>
      </c>
      <c r="S1025">
        <v>2</v>
      </c>
      <c r="T1025" t="s">
        <v>44</v>
      </c>
      <c r="U1025" t="s">
        <v>59</v>
      </c>
      <c r="V1025">
        <v>22</v>
      </c>
      <c r="W1025" t="s">
        <v>60</v>
      </c>
      <c r="X1025">
        <v>5</v>
      </c>
      <c r="Y1025">
        <v>4</v>
      </c>
      <c r="Z1025" t="s">
        <v>61</v>
      </c>
      <c r="AA1025">
        <v>3</v>
      </c>
      <c r="AB1025" t="s">
        <v>48</v>
      </c>
      <c r="AC1025">
        <v>2</v>
      </c>
      <c r="AD1025" t="s">
        <v>48</v>
      </c>
      <c r="AE1025">
        <v>1</v>
      </c>
      <c r="AF1025" t="s">
        <v>49</v>
      </c>
    </row>
    <row r="1026" spans="1:32" x14ac:dyDescent="0.25">
      <c r="A1026">
        <v>47</v>
      </c>
      <c r="B1026" t="s">
        <v>32</v>
      </c>
      <c r="C1026" t="s">
        <v>50</v>
      </c>
      <c r="D1026" t="s">
        <v>34</v>
      </c>
      <c r="E1026" t="s">
        <v>52</v>
      </c>
      <c r="F1026">
        <v>2</v>
      </c>
      <c r="G1026" t="s">
        <v>36</v>
      </c>
      <c r="H1026">
        <v>1</v>
      </c>
      <c r="I1026" t="s">
        <v>37</v>
      </c>
      <c r="J1026" t="s">
        <v>38</v>
      </c>
      <c r="K1026">
        <v>3</v>
      </c>
      <c r="L1026" t="s">
        <v>39</v>
      </c>
      <c r="M1026">
        <v>4</v>
      </c>
      <c r="N1026" t="s">
        <v>72</v>
      </c>
      <c r="O1026" t="s">
        <v>76</v>
      </c>
      <c r="P1026">
        <v>3</v>
      </c>
      <c r="Q1026" t="s">
        <v>42</v>
      </c>
      <c r="R1026" t="s">
        <v>58</v>
      </c>
      <c r="S1026">
        <v>3</v>
      </c>
      <c r="T1026" t="s">
        <v>44</v>
      </c>
      <c r="U1026" t="s">
        <v>59</v>
      </c>
      <c r="V1026">
        <v>19</v>
      </c>
      <c r="W1026" t="s">
        <v>45</v>
      </c>
      <c r="X1026">
        <v>26</v>
      </c>
      <c r="Y1026">
        <v>4</v>
      </c>
      <c r="Z1026" t="s">
        <v>61</v>
      </c>
      <c r="AA1026">
        <v>20</v>
      </c>
      <c r="AB1026" t="s">
        <v>74</v>
      </c>
      <c r="AC1026">
        <v>17</v>
      </c>
      <c r="AD1026" t="s">
        <v>74</v>
      </c>
      <c r="AE1026">
        <v>5</v>
      </c>
      <c r="AF1026" t="s">
        <v>71</v>
      </c>
    </row>
    <row r="1027" spans="1:32" x14ac:dyDescent="0.25">
      <c r="A1027">
        <v>24</v>
      </c>
      <c r="B1027" t="s">
        <v>63</v>
      </c>
      <c r="C1027" t="s">
        <v>50</v>
      </c>
      <c r="D1027" t="s">
        <v>34</v>
      </c>
      <c r="E1027" t="s">
        <v>35</v>
      </c>
      <c r="F1027">
        <v>4</v>
      </c>
      <c r="G1027" t="s">
        <v>36</v>
      </c>
      <c r="H1027">
        <v>4</v>
      </c>
      <c r="I1027" t="s">
        <v>42</v>
      </c>
      <c r="J1027" t="s">
        <v>38</v>
      </c>
      <c r="K1027">
        <v>3</v>
      </c>
      <c r="L1027" t="s">
        <v>39</v>
      </c>
      <c r="M1027">
        <v>2</v>
      </c>
      <c r="N1027" t="s">
        <v>40</v>
      </c>
      <c r="O1027" t="s">
        <v>41</v>
      </c>
      <c r="P1027">
        <v>3</v>
      </c>
      <c r="Q1027" t="s">
        <v>42</v>
      </c>
      <c r="R1027" t="s">
        <v>58</v>
      </c>
      <c r="S1027">
        <v>1</v>
      </c>
      <c r="T1027" t="s">
        <v>44</v>
      </c>
      <c r="U1027" t="s">
        <v>44</v>
      </c>
      <c r="V1027">
        <v>12</v>
      </c>
      <c r="W1027" t="s">
        <v>45</v>
      </c>
      <c r="X1027">
        <v>5</v>
      </c>
      <c r="Y1027">
        <v>3</v>
      </c>
      <c r="Z1027" t="s">
        <v>61</v>
      </c>
      <c r="AA1027">
        <v>5</v>
      </c>
      <c r="AB1027" t="s">
        <v>47</v>
      </c>
      <c r="AC1027">
        <v>4</v>
      </c>
      <c r="AD1027" t="s">
        <v>48</v>
      </c>
      <c r="AE1027">
        <v>0</v>
      </c>
      <c r="AF1027" t="s">
        <v>49</v>
      </c>
    </row>
    <row r="1028" spans="1:32" x14ac:dyDescent="0.25">
      <c r="A1028">
        <v>32</v>
      </c>
      <c r="B1028" t="s">
        <v>32</v>
      </c>
      <c r="C1028" t="s">
        <v>50</v>
      </c>
      <c r="D1028" t="s">
        <v>34</v>
      </c>
      <c r="E1028" t="s">
        <v>35</v>
      </c>
      <c r="F1028">
        <v>7</v>
      </c>
      <c r="G1028" t="s">
        <v>53</v>
      </c>
      <c r="H1028">
        <v>4</v>
      </c>
      <c r="I1028" t="s">
        <v>42</v>
      </c>
      <c r="J1028" t="s">
        <v>54</v>
      </c>
      <c r="K1028">
        <v>3</v>
      </c>
      <c r="L1028" t="s">
        <v>39</v>
      </c>
      <c r="M1028">
        <v>2</v>
      </c>
      <c r="N1028" t="s">
        <v>40</v>
      </c>
      <c r="O1028" t="s">
        <v>41</v>
      </c>
      <c r="P1028">
        <v>4</v>
      </c>
      <c r="Q1028" t="s">
        <v>42</v>
      </c>
      <c r="R1028" t="s">
        <v>58</v>
      </c>
      <c r="S1028">
        <v>4</v>
      </c>
      <c r="T1028" t="s">
        <v>44</v>
      </c>
      <c r="U1028" t="s">
        <v>59</v>
      </c>
      <c r="V1028">
        <v>12</v>
      </c>
      <c r="W1028" t="s">
        <v>45</v>
      </c>
      <c r="X1028">
        <v>7</v>
      </c>
      <c r="Y1028">
        <v>2</v>
      </c>
      <c r="Z1028" t="s">
        <v>46</v>
      </c>
      <c r="AA1028">
        <v>4</v>
      </c>
      <c r="AB1028" t="s">
        <v>48</v>
      </c>
      <c r="AC1028">
        <v>3</v>
      </c>
      <c r="AD1028" t="s">
        <v>48</v>
      </c>
      <c r="AE1028">
        <v>0</v>
      </c>
      <c r="AF1028" t="s">
        <v>49</v>
      </c>
    </row>
    <row r="1029" spans="1:32" x14ac:dyDescent="0.25">
      <c r="A1029">
        <v>34</v>
      </c>
      <c r="B1029" t="s">
        <v>32</v>
      </c>
      <c r="C1029" t="s">
        <v>50</v>
      </c>
      <c r="D1029" t="s">
        <v>34</v>
      </c>
      <c r="E1029" t="s">
        <v>52</v>
      </c>
      <c r="F1029">
        <v>1</v>
      </c>
      <c r="G1029" t="s">
        <v>36</v>
      </c>
      <c r="H1029">
        <v>4</v>
      </c>
      <c r="I1029" t="s">
        <v>42</v>
      </c>
      <c r="J1029" t="s">
        <v>38</v>
      </c>
      <c r="K1029">
        <v>2</v>
      </c>
      <c r="L1029" t="s">
        <v>55</v>
      </c>
      <c r="M1029">
        <v>1</v>
      </c>
      <c r="N1029" t="s">
        <v>40</v>
      </c>
      <c r="O1029" t="s">
        <v>62</v>
      </c>
      <c r="P1029">
        <v>2</v>
      </c>
      <c r="Q1029" t="s">
        <v>57</v>
      </c>
      <c r="R1029" t="s">
        <v>58</v>
      </c>
      <c r="S1029">
        <v>5</v>
      </c>
      <c r="T1029" t="s">
        <v>44</v>
      </c>
      <c r="U1029" t="s">
        <v>59</v>
      </c>
      <c r="V1029">
        <v>17</v>
      </c>
      <c r="W1029" t="s">
        <v>45</v>
      </c>
      <c r="X1029">
        <v>7</v>
      </c>
      <c r="Y1029">
        <v>2</v>
      </c>
      <c r="Z1029" t="s">
        <v>46</v>
      </c>
      <c r="AA1029">
        <v>5</v>
      </c>
      <c r="AB1029" t="s">
        <v>47</v>
      </c>
      <c r="AC1029">
        <v>4</v>
      </c>
      <c r="AD1029" t="s">
        <v>48</v>
      </c>
      <c r="AE1029">
        <v>0</v>
      </c>
      <c r="AF1029" t="s">
        <v>49</v>
      </c>
    </row>
    <row r="1030" spans="1:32" x14ac:dyDescent="0.25">
      <c r="A1030">
        <v>41</v>
      </c>
      <c r="B1030" t="s">
        <v>32</v>
      </c>
      <c r="C1030" t="s">
        <v>50</v>
      </c>
      <c r="D1030" t="s">
        <v>34</v>
      </c>
      <c r="E1030" t="s">
        <v>52</v>
      </c>
      <c r="F1030">
        <v>5</v>
      </c>
      <c r="G1030" t="s">
        <v>36</v>
      </c>
      <c r="H1030">
        <v>2</v>
      </c>
      <c r="I1030" t="s">
        <v>37</v>
      </c>
      <c r="J1030" t="s">
        <v>54</v>
      </c>
      <c r="K1030">
        <v>4</v>
      </c>
      <c r="L1030" t="s">
        <v>65</v>
      </c>
      <c r="M1030">
        <v>1</v>
      </c>
      <c r="N1030" t="s">
        <v>40</v>
      </c>
      <c r="O1030" t="s">
        <v>56</v>
      </c>
      <c r="P1030">
        <v>3</v>
      </c>
      <c r="Q1030" t="s">
        <v>42</v>
      </c>
      <c r="R1030" t="s">
        <v>58</v>
      </c>
      <c r="S1030">
        <v>2</v>
      </c>
      <c r="T1030" t="s">
        <v>44</v>
      </c>
      <c r="U1030" t="s">
        <v>44</v>
      </c>
      <c r="V1030">
        <v>12</v>
      </c>
      <c r="W1030" t="s">
        <v>45</v>
      </c>
      <c r="X1030">
        <v>7</v>
      </c>
      <c r="Y1030">
        <v>2</v>
      </c>
      <c r="Z1030" t="s">
        <v>46</v>
      </c>
      <c r="AA1030">
        <v>4</v>
      </c>
      <c r="AB1030" t="s">
        <v>48</v>
      </c>
      <c r="AC1030">
        <v>2</v>
      </c>
      <c r="AD1030" t="s">
        <v>48</v>
      </c>
      <c r="AE1030">
        <v>0</v>
      </c>
      <c r="AF1030" t="s">
        <v>49</v>
      </c>
    </row>
    <row r="1031" spans="1:32" x14ac:dyDescent="0.25">
      <c r="A1031">
        <v>40</v>
      </c>
      <c r="B1031" t="s">
        <v>32</v>
      </c>
      <c r="C1031" t="s">
        <v>50</v>
      </c>
      <c r="D1031" t="s">
        <v>34</v>
      </c>
      <c r="E1031" t="s">
        <v>52</v>
      </c>
      <c r="F1031">
        <v>9</v>
      </c>
      <c r="G1031" t="s">
        <v>53</v>
      </c>
      <c r="H1031">
        <v>3</v>
      </c>
      <c r="I1031" t="s">
        <v>42</v>
      </c>
      <c r="J1031" t="s">
        <v>54</v>
      </c>
      <c r="K1031">
        <v>3</v>
      </c>
      <c r="L1031" t="s">
        <v>39</v>
      </c>
      <c r="M1031">
        <v>2</v>
      </c>
      <c r="N1031" t="s">
        <v>40</v>
      </c>
      <c r="O1031" t="s">
        <v>62</v>
      </c>
      <c r="P1031">
        <v>3</v>
      </c>
      <c r="Q1031" t="s">
        <v>42</v>
      </c>
      <c r="R1031" t="s">
        <v>67</v>
      </c>
      <c r="S1031">
        <v>3</v>
      </c>
      <c r="T1031" t="s">
        <v>44</v>
      </c>
      <c r="U1031" t="s">
        <v>59</v>
      </c>
      <c r="V1031">
        <v>11</v>
      </c>
      <c r="W1031" t="s">
        <v>45</v>
      </c>
      <c r="X1031">
        <v>11</v>
      </c>
      <c r="Y1031">
        <v>4</v>
      </c>
      <c r="Z1031" t="s">
        <v>61</v>
      </c>
      <c r="AA1031">
        <v>8</v>
      </c>
      <c r="AB1031" t="s">
        <v>47</v>
      </c>
      <c r="AC1031">
        <v>7</v>
      </c>
      <c r="AD1031" t="s">
        <v>47</v>
      </c>
      <c r="AE1031">
        <v>0</v>
      </c>
      <c r="AF1031" t="s">
        <v>49</v>
      </c>
    </row>
    <row r="1032" spans="1:32" x14ac:dyDescent="0.25">
      <c r="A1032">
        <v>31</v>
      </c>
      <c r="B1032" t="s">
        <v>32</v>
      </c>
      <c r="C1032" t="s">
        <v>50</v>
      </c>
      <c r="D1032" t="s">
        <v>34</v>
      </c>
      <c r="E1032" t="s">
        <v>35</v>
      </c>
      <c r="F1032">
        <v>8</v>
      </c>
      <c r="G1032" t="s">
        <v>53</v>
      </c>
      <c r="H1032">
        <v>1</v>
      </c>
      <c r="I1032" t="s">
        <v>37</v>
      </c>
      <c r="J1032" t="s">
        <v>54</v>
      </c>
      <c r="K1032">
        <v>3</v>
      </c>
      <c r="L1032" t="s">
        <v>39</v>
      </c>
      <c r="M1032">
        <v>3</v>
      </c>
      <c r="N1032" t="s">
        <v>68</v>
      </c>
      <c r="O1032" t="s">
        <v>41</v>
      </c>
      <c r="P1032">
        <v>4</v>
      </c>
      <c r="Q1032" t="s">
        <v>42</v>
      </c>
      <c r="R1032" t="s">
        <v>67</v>
      </c>
      <c r="S1032">
        <v>1</v>
      </c>
      <c r="T1032" t="s">
        <v>44</v>
      </c>
      <c r="U1032" t="s">
        <v>59</v>
      </c>
      <c r="V1032">
        <v>18</v>
      </c>
      <c r="W1032" t="s">
        <v>45</v>
      </c>
      <c r="X1032">
        <v>13</v>
      </c>
      <c r="Y1032">
        <v>3</v>
      </c>
      <c r="Z1032" t="s">
        <v>61</v>
      </c>
      <c r="AA1032">
        <v>13</v>
      </c>
      <c r="AB1032" t="s">
        <v>74</v>
      </c>
      <c r="AC1032">
        <v>7</v>
      </c>
      <c r="AD1032" t="s">
        <v>47</v>
      </c>
      <c r="AE1032">
        <v>9</v>
      </c>
      <c r="AF1032" t="s">
        <v>71</v>
      </c>
    </row>
    <row r="1033" spans="1:32" x14ac:dyDescent="0.25">
      <c r="A1033">
        <v>46</v>
      </c>
      <c r="B1033" t="s">
        <v>32</v>
      </c>
      <c r="C1033" t="s">
        <v>33</v>
      </c>
      <c r="D1033" t="s">
        <v>34</v>
      </c>
      <c r="E1033" t="s">
        <v>35</v>
      </c>
      <c r="F1033">
        <v>9</v>
      </c>
      <c r="G1033" t="s">
        <v>53</v>
      </c>
      <c r="H1033">
        <v>1</v>
      </c>
      <c r="I1033" t="s">
        <v>37</v>
      </c>
      <c r="J1033" t="s">
        <v>54</v>
      </c>
      <c r="K1033">
        <v>3</v>
      </c>
      <c r="L1033" t="s">
        <v>39</v>
      </c>
      <c r="M1033">
        <v>3</v>
      </c>
      <c r="N1033" t="s">
        <v>68</v>
      </c>
      <c r="O1033" t="s">
        <v>41</v>
      </c>
      <c r="P1033">
        <v>4</v>
      </c>
      <c r="Q1033" t="s">
        <v>42</v>
      </c>
      <c r="R1033" t="s">
        <v>67</v>
      </c>
      <c r="S1033">
        <v>4</v>
      </c>
      <c r="T1033" t="s">
        <v>44</v>
      </c>
      <c r="U1033" t="s">
        <v>59</v>
      </c>
      <c r="V1033">
        <v>11</v>
      </c>
      <c r="W1033" t="s">
        <v>45</v>
      </c>
      <c r="X1033">
        <v>28</v>
      </c>
      <c r="Y1033">
        <v>4</v>
      </c>
      <c r="Z1033" t="s">
        <v>61</v>
      </c>
      <c r="AA1033">
        <v>7</v>
      </c>
      <c r="AB1033" t="s">
        <v>47</v>
      </c>
      <c r="AC1033">
        <v>7</v>
      </c>
      <c r="AD1033" t="s">
        <v>47</v>
      </c>
      <c r="AE1033">
        <v>4</v>
      </c>
      <c r="AF1033" t="s">
        <v>71</v>
      </c>
    </row>
    <row r="1034" spans="1:32" x14ac:dyDescent="0.25">
      <c r="A1034">
        <v>39</v>
      </c>
      <c r="B1034" t="s">
        <v>32</v>
      </c>
      <c r="C1034" t="s">
        <v>33</v>
      </c>
      <c r="D1034" t="s">
        <v>34</v>
      </c>
      <c r="E1034" t="s">
        <v>52</v>
      </c>
      <c r="F1034">
        <v>2</v>
      </c>
      <c r="G1034" t="s">
        <v>36</v>
      </c>
      <c r="H1034">
        <v>1</v>
      </c>
      <c r="I1034" t="s">
        <v>37</v>
      </c>
      <c r="J1034" t="s">
        <v>38</v>
      </c>
      <c r="K1034">
        <v>2</v>
      </c>
      <c r="L1034" t="s">
        <v>55</v>
      </c>
      <c r="M1034">
        <v>1</v>
      </c>
      <c r="N1034" t="s">
        <v>40</v>
      </c>
      <c r="O1034" t="s">
        <v>62</v>
      </c>
      <c r="P1034">
        <v>1</v>
      </c>
      <c r="Q1034" t="s">
        <v>57</v>
      </c>
      <c r="R1034" t="s">
        <v>43</v>
      </c>
      <c r="S1034">
        <v>2</v>
      </c>
      <c r="T1034" t="s">
        <v>44</v>
      </c>
      <c r="U1034" t="s">
        <v>44</v>
      </c>
      <c r="V1034">
        <v>23</v>
      </c>
      <c r="W1034" t="s">
        <v>60</v>
      </c>
      <c r="X1034">
        <v>11</v>
      </c>
      <c r="Y1034">
        <v>4</v>
      </c>
      <c r="Z1034" t="s">
        <v>61</v>
      </c>
      <c r="AA1034">
        <v>1</v>
      </c>
      <c r="AB1034" t="s">
        <v>48</v>
      </c>
      <c r="AC1034">
        <v>0</v>
      </c>
      <c r="AD1034" t="s">
        <v>48</v>
      </c>
      <c r="AE1034">
        <v>0</v>
      </c>
      <c r="AF1034" t="s">
        <v>49</v>
      </c>
    </row>
    <row r="1035" spans="1:32" x14ac:dyDescent="0.25">
      <c r="A1035">
        <v>31</v>
      </c>
      <c r="B1035" t="s">
        <v>32</v>
      </c>
      <c r="C1035" t="s">
        <v>33</v>
      </c>
      <c r="D1035" t="s">
        <v>51</v>
      </c>
      <c r="E1035" t="s">
        <v>52</v>
      </c>
      <c r="F1035">
        <v>1</v>
      </c>
      <c r="G1035" t="s">
        <v>36</v>
      </c>
      <c r="H1035">
        <v>3</v>
      </c>
      <c r="I1035" t="s">
        <v>42</v>
      </c>
      <c r="J1035" t="s">
        <v>38</v>
      </c>
      <c r="K1035">
        <v>4</v>
      </c>
      <c r="L1035" t="s">
        <v>65</v>
      </c>
      <c r="M1035">
        <v>3</v>
      </c>
      <c r="N1035" t="s">
        <v>68</v>
      </c>
      <c r="O1035" t="s">
        <v>69</v>
      </c>
      <c r="P1035">
        <v>2</v>
      </c>
      <c r="Q1035" t="s">
        <v>57</v>
      </c>
      <c r="R1035" t="s">
        <v>43</v>
      </c>
      <c r="S1035">
        <v>1</v>
      </c>
      <c r="T1035" t="s">
        <v>44</v>
      </c>
      <c r="U1035" t="s">
        <v>59</v>
      </c>
      <c r="V1035">
        <v>11</v>
      </c>
      <c r="W1035" t="s">
        <v>45</v>
      </c>
      <c r="X1035">
        <v>10</v>
      </c>
      <c r="Y1035">
        <v>3</v>
      </c>
      <c r="Z1035" t="s">
        <v>61</v>
      </c>
      <c r="AA1035">
        <v>10</v>
      </c>
      <c r="AB1035" t="s">
        <v>47</v>
      </c>
      <c r="AC1035">
        <v>8</v>
      </c>
      <c r="AD1035" t="s">
        <v>47</v>
      </c>
      <c r="AE1035">
        <v>4</v>
      </c>
      <c r="AF1035" t="s">
        <v>71</v>
      </c>
    </row>
    <row r="1036" spans="1:32" x14ac:dyDescent="0.25">
      <c r="A1036">
        <v>45</v>
      </c>
      <c r="B1036" t="s">
        <v>32</v>
      </c>
      <c r="C1036" t="s">
        <v>50</v>
      </c>
      <c r="D1036" t="s">
        <v>34</v>
      </c>
      <c r="E1036" t="s">
        <v>52</v>
      </c>
      <c r="F1036">
        <v>20</v>
      </c>
      <c r="G1036" t="s">
        <v>66</v>
      </c>
      <c r="H1036">
        <v>2</v>
      </c>
      <c r="I1036" t="s">
        <v>37</v>
      </c>
      <c r="J1036" t="s">
        <v>54</v>
      </c>
      <c r="K1036">
        <v>1</v>
      </c>
      <c r="L1036" t="s">
        <v>55</v>
      </c>
      <c r="M1036">
        <v>3</v>
      </c>
      <c r="N1036" t="s">
        <v>68</v>
      </c>
      <c r="O1036" t="s">
        <v>70</v>
      </c>
      <c r="P1036">
        <v>1</v>
      </c>
      <c r="Q1036" t="s">
        <v>57</v>
      </c>
      <c r="R1036" t="s">
        <v>67</v>
      </c>
      <c r="S1036">
        <v>2</v>
      </c>
      <c r="T1036" t="s">
        <v>44</v>
      </c>
      <c r="U1036" t="s">
        <v>44</v>
      </c>
      <c r="V1036">
        <v>18</v>
      </c>
      <c r="W1036" t="s">
        <v>45</v>
      </c>
      <c r="X1036">
        <v>24</v>
      </c>
      <c r="Y1036">
        <v>3</v>
      </c>
      <c r="Z1036" t="s">
        <v>61</v>
      </c>
      <c r="AA1036">
        <v>7</v>
      </c>
      <c r="AB1036" t="s">
        <v>47</v>
      </c>
      <c r="AC1036">
        <v>7</v>
      </c>
      <c r="AD1036" t="s">
        <v>47</v>
      </c>
      <c r="AE1036">
        <v>0</v>
      </c>
      <c r="AF1036" t="s">
        <v>49</v>
      </c>
    </row>
    <row r="1037" spans="1:32" x14ac:dyDescent="0.25">
      <c r="A1037">
        <v>31</v>
      </c>
      <c r="B1037" t="s">
        <v>32</v>
      </c>
      <c r="C1037" t="s">
        <v>50</v>
      </c>
      <c r="D1037" t="s">
        <v>34</v>
      </c>
      <c r="E1037" t="s">
        <v>77</v>
      </c>
      <c r="F1037">
        <v>8</v>
      </c>
      <c r="G1037" t="s">
        <v>53</v>
      </c>
      <c r="H1037">
        <v>4</v>
      </c>
      <c r="I1037" t="s">
        <v>42</v>
      </c>
      <c r="J1037" t="s">
        <v>38</v>
      </c>
      <c r="K1037">
        <v>4</v>
      </c>
      <c r="L1037" t="s">
        <v>65</v>
      </c>
      <c r="M1037">
        <v>1</v>
      </c>
      <c r="N1037" t="s">
        <v>40</v>
      </c>
      <c r="O1037" t="s">
        <v>77</v>
      </c>
      <c r="P1037">
        <v>2</v>
      </c>
      <c r="Q1037" t="s">
        <v>57</v>
      </c>
      <c r="R1037" t="s">
        <v>43</v>
      </c>
      <c r="S1037">
        <v>9</v>
      </c>
      <c r="T1037" t="s">
        <v>44</v>
      </c>
      <c r="U1037" t="s">
        <v>59</v>
      </c>
      <c r="V1037">
        <v>18</v>
      </c>
      <c r="W1037" t="s">
        <v>45</v>
      </c>
      <c r="X1037">
        <v>8</v>
      </c>
      <c r="Y1037">
        <v>3</v>
      </c>
      <c r="Z1037" t="s">
        <v>61</v>
      </c>
      <c r="AA1037">
        <v>3</v>
      </c>
      <c r="AB1037" t="s">
        <v>48</v>
      </c>
      <c r="AC1037">
        <v>2</v>
      </c>
      <c r="AD1037" t="s">
        <v>48</v>
      </c>
      <c r="AE1037">
        <v>0</v>
      </c>
      <c r="AF1037" t="s">
        <v>49</v>
      </c>
    </row>
    <row r="1038" spans="1:32" x14ac:dyDescent="0.25">
      <c r="A1038">
        <v>31</v>
      </c>
      <c r="B1038" t="s">
        <v>32</v>
      </c>
      <c r="C1038" t="s">
        <v>33</v>
      </c>
      <c r="D1038" t="s">
        <v>51</v>
      </c>
      <c r="E1038" t="s">
        <v>52</v>
      </c>
      <c r="F1038">
        <v>2</v>
      </c>
      <c r="G1038" t="s">
        <v>36</v>
      </c>
      <c r="H1038">
        <v>2</v>
      </c>
      <c r="I1038" t="s">
        <v>37</v>
      </c>
      <c r="J1038" t="s">
        <v>54</v>
      </c>
      <c r="K1038">
        <v>3</v>
      </c>
      <c r="L1038" t="s">
        <v>39</v>
      </c>
      <c r="M1038">
        <v>1</v>
      </c>
      <c r="N1038" t="s">
        <v>40</v>
      </c>
      <c r="O1038" t="s">
        <v>62</v>
      </c>
      <c r="P1038">
        <v>4</v>
      </c>
      <c r="Q1038" t="s">
        <v>42</v>
      </c>
      <c r="R1038" t="s">
        <v>58</v>
      </c>
      <c r="S1038">
        <v>6</v>
      </c>
      <c r="T1038" t="s">
        <v>44</v>
      </c>
      <c r="U1038" t="s">
        <v>44</v>
      </c>
      <c r="V1038">
        <v>13</v>
      </c>
      <c r="W1038" t="s">
        <v>45</v>
      </c>
      <c r="X1038">
        <v>7</v>
      </c>
      <c r="Y1038">
        <v>1</v>
      </c>
      <c r="Z1038" t="s">
        <v>46</v>
      </c>
      <c r="AA1038">
        <v>2</v>
      </c>
      <c r="AB1038" t="s">
        <v>48</v>
      </c>
      <c r="AC1038">
        <v>2</v>
      </c>
      <c r="AD1038" t="s">
        <v>48</v>
      </c>
      <c r="AE1038">
        <v>2</v>
      </c>
      <c r="AF1038" t="s">
        <v>49</v>
      </c>
    </row>
    <row r="1039" spans="1:32" x14ac:dyDescent="0.25">
      <c r="A1039">
        <v>45</v>
      </c>
      <c r="B1039" t="s">
        <v>32</v>
      </c>
      <c r="C1039" t="s">
        <v>50</v>
      </c>
      <c r="D1039" t="s">
        <v>34</v>
      </c>
      <c r="E1039" t="s">
        <v>52</v>
      </c>
      <c r="F1039">
        <v>29</v>
      </c>
      <c r="G1039" t="s">
        <v>66</v>
      </c>
      <c r="H1039">
        <v>2</v>
      </c>
      <c r="I1039" t="s">
        <v>37</v>
      </c>
      <c r="J1039" t="s">
        <v>54</v>
      </c>
      <c r="K1039">
        <v>3</v>
      </c>
      <c r="L1039" t="s">
        <v>39</v>
      </c>
      <c r="M1039">
        <v>3</v>
      </c>
      <c r="N1039" t="s">
        <v>68</v>
      </c>
      <c r="O1039" t="s">
        <v>69</v>
      </c>
      <c r="P1039">
        <v>4</v>
      </c>
      <c r="Q1039" t="s">
        <v>42</v>
      </c>
      <c r="R1039" t="s">
        <v>58</v>
      </c>
      <c r="S1039">
        <v>4</v>
      </c>
      <c r="T1039" t="s">
        <v>44</v>
      </c>
      <c r="U1039" t="s">
        <v>44</v>
      </c>
      <c r="V1039">
        <v>18</v>
      </c>
      <c r="W1039" t="s">
        <v>45</v>
      </c>
      <c r="X1039">
        <v>10</v>
      </c>
      <c r="Y1039">
        <v>4</v>
      </c>
      <c r="Z1039" t="s">
        <v>61</v>
      </c>
      <c r="AA1039">
        <v>3</v>
      </c>
      <c r="AB1039" t="s">
        <v>48</v>
      </c>
      <c r="AC1039">
        <v>1</v>
      </c>
      <c r="AD1039" t="s">
        <v>48</v>
      </c>
      <c r="AE1039">
        <v>1</v>
      </c>
      <c r="AF1039" t="s">
        <v>49</v>
      </c>
    </row>
    <row r="1040" spans="1:32" x14ac:dyDescent="0.25">
      <c r="A1040">
        <v>48</v>
      </c>
      <c r="B1040" t="s">
        <v>32</v>
      </c>
      <c r="C1040" t="s">
        <v>50</v>
      </c>
      <c r="D1040" t="s">
        <v>34</v>
      </c>
      <c r="E1040" t="s">
        <v>35</v>
      </c>
      <c r="F1040">
        <v>7</v>
      </c>
      <c r="G1040" t="s">
        <v>53</v>
      </c>
      <c r="H1040">
        <v>3</v>
      </c>
      <c r="I1040" t="s">
        <v>42</v>
      </c>
      <c r="J1040" t="s">
        <v>54</v>
      </c>
      <c r="K1040">
        <v>3</v>
      </c>
      <c r="L1040" t="s">
        <v>39</v>
      </c>
      <c r="M1040">
        <v>2</v>
      </c>
      <c r="N1040" t="s">
        <v>40</v>
      </c>
      <c r="O1040" t="s">
        <v>41</v>
      </c>
      <c r="P1040">
        <v>1</v>
      </c>
      <c r="Q1040" t="s">
        <v>57</v>
      </c>
      <c r="R1040" t="s">
        <v>67</v>
      </c>
      <c r="S1040">
        <v>4</v>
      </c>
      <c r="T1040" t="s">
        <v>44</v>
      </c>
      <c r="U1040" t="s">
        <v>59</v>
      </c>
      <c r="V1040">
        <v>11</v>
      </c>
      <c r="W1040" t="s">
        <v>45</v>
      </c>
      <c r="X1040">
        <v>15</v>
      </c>
      <c r="Y1040">
        <v>3</v>
      </c>
      <c r="Z1040" t="s">
        <v>61</v>
      </c>
      <c r="AA1040">
        <v>2</v>
      </c>
      <c r="AB1040" t="s">
        <v>48</v>
      </c>
      <c r="AC1040">
        <v>2</v>
      </c>
      <c r="AD1040" t="s">
        <v>48</v>
      </c>
      <c r="AE1040">
        <v>2</v>
      </c>
      <c r="AF1040" t="s">
        <v>49</v>
      </c>
    </row>
    <row r="1041" spans="1:32" x14ac:dyDescent="0.25">
      <c r="A1041">
        <v>34</v>
      </c>
      <c r="B1041" t="s">
        <v>32</v>
      </c>
      <c r="C1041" t="s">
        <v>33</v>
      </c>
      <c r="D1041" t="s">
        <v>34</v>
      </c>
      <c r="E1041" t="s">
        <v>77</v>
      </c>
      <c r="F1041">
        <v>9</v>
      </c>
      <c r="G1041" t="s">
        <v>53</v>
      </c>
      <c r="H1041">
        <v>1</v>
      </c>
      <c r="I1041" t="s">
        <v>37</v>
      </c>
      <c r="J1041" t="s">
        <v>38</v>
      </c>
      <c r="K1041">
        <v>3</v>
      </c>
      <c r="L1041" t="s">
        <v>39</v>
      </c>
      <c r="M1041">
        <v>1</v>
      </c>
      <c r="N1041" t="s">
        <v>40</v>
      </c>
      <c r="O1041" t="s">
        <v>77</v>
      </c>
      <c r="P1041">
        <v>3</v>
      </c>
      <c r="Q1041" t="s">
        <v>42</v>
      </c>
      <c r="R1041" t="s">
        <v>58</v>
      </c>
      <c r="S1041">
        <v>1</v>
      </c>
      <c r="T1041" t="s">
        <v>44</v>
      </c>
      <c r="U1041" t="s">
        <v>59</v>
      </c>
      <c r="V1041">
        <v>15</v>
      </c>
      <c r="W1041" t="s">
        <v>45</v>
      </c>
      <c r="X1041">
        <v>2</v>
      </c>
      <c r="Y1041">
        <v>3</v>
      </c>
      <c r="Z1041" t="s">
        <v>61</v>
      </c>
      <c r="AA1041">
        <v>2</v>
      </c>
      <c r="AB1041" t="s">
        <v>48</v>
      </c>
      <c r="AC1041">
        <v>2</v>
      </c>
      <c r="AD1041" t="s">
        <v>48</v>
      </c>
      <c r="AE1041">
        <v>2</v>
      </c>
      <c r="AF1041" t="s">
        <v>49</v>
      </c>
    </row>
    <row r="1042" spans="1:32" x14ac:dyDescent="0.25">
      <c r="A1042">
        <v>40</v>
      </c>
      <c r="B1042" t="s">
        <v>32</v>
      </c>
      <c r="C1042" t="s">
        <v>50</v>
      </c>
      <c r="D1042" t="s">
        <v>34</v>
      </c>
      <c r="E1042" t="s">
        <v>52</v>
      </c>
      <c r="F1042">
        <v>8</v>
      </c>
      <c r="G1042" t="s">
        <v>53</v>
      </c>
      <c r="H1042">
        <v>4</v>
      </c>
      <c r="I1042" t="s">
        <v>42</v>
      </c>
      <c r="J1042" t="s">
        <v>54</v>
      </c>
      <c r="K1042">
        <v>2</v>
      </c>
      <c r="L1042" t="s">
        <v>55</v>
      </c>
      <c r="M1042">
        <v>3</v>
      </c>
      <c r="N1042" t="s">
        <v>68</v>
      </c>
      <c r="O1042" t="s">
        <v>76</v>
      </c>
      <c r="P1042">
        <v>2</v>
      </c>
      <c r="Q1042" t="s">
        <v>57</v>
      </c>
      <c r="R1042" t="s">
        <v>67</v>
      </c>
      <c r="S1042">
        <v>2</v>
      </c>
      <c r="T1042" t="s">
        <v>44</v>
      </c>
      <c r="U1042" t="s">
        <v>59</v>
      </c>
      <c r="V1042">
        <v>11</v>
      </c>
      <c r="W1042" t="s">
        <v>45</v>
      </c>
      <c r="X1042">
        <v>16</v>
      </c>
      <c r="Y1042">
        <v>3</v>
      </c>
      <c r="Z1042" t="s">
        <v>61</v>
      </c>
      <c r="AA1042">
        <v>9</v>
      </c>
      <c r="AB1042" t="s">
        <v>47</v>
      </c>
      <c r="AC1042">
        <v>8</v>
      </c>
      <c r="AD1042" t="s">
        <v>47</v>
      </c>
      <c r="AE1042">
        <v>4</v>
      </c>
      <c r="AF1042" t="s">
        <v>71</v>
      </c>
    </row>
    <row r="1043" spans="1:32" x14ac:dyDescent="0.25">
      <c r="A1043">
        <v>28</v>
      </c>
      <c r="B1043" t="s">
        <v>63</v>
      </c>
      <c r="C1043" t="s">
        <v>50</v>
      </c>
      <c r="D1043" t="s">
        <v>34</v>
      </c>
      <c r="E1043" t="s">
        <v>35</v>
      </c>
      <c r="F1043">
        <v>5</v>
      </c>
      <c r="G1043" t="s">
        <v>36</v>
      </c>
      <c r="H1043">
        <v>4</v>
      </c>
      <c r="I1043" t="s">
        <v>42</v>
      </c>
      <c r="J1043" t="s">
        <v>54</v>
      </c>
      <c r="K1043">
        <v>3</v>
      </c>
      <c r="L1043" t="s">
        <v>39</v>
      </c>
      <c r="M1043">
        <v>2</v>
      </c>
      <c r="N1043" t="s">
        <v>40</v>
      </c>
      <c r="O1043" t="s">
        <v>41</v>
      </c>
      <c r="P1043">
        <v>1</v>
      </c>
      <c r="Q1043" t="s">
        <v>57</v>
      </c>
      <c r="R1043" t="s">
        <v>43</v>
      </c>
      <c r="S1043">
        <v>0</v>
      </c>
      <c r="T1043" t="s">
        <v>44</v>
      </c>
      <c r="U1043" t="s">
        <v>59</v>
      </c>
      <c r="V1043">
        <v>18</v>
      </c>
      <c r="W1043" t="s">
        <v>45</v>
      </c>
      <c r="X1043">
        <v>6</v>
      </c>
      <c r="Y1043">
        <v>3</v>
      </c>
      <c r="Z1043" t="s">
        <v>61</v>
      </c>
      <c r="AA1043">
        <v>5</v>
      </c>
      <c r="AB1043" t="s">
        <v>47</v>
      </c>
      <c r="AC1043">
        <v>4</v>
      </c>
      <c r="AD1043" t="s">
        <v>48</v>
      </c>
      <c r="AE1043">
        <v>1</v>
      </c>
      <c r="AF1043" t="s">
        <v>49</v>
      </c>
    </row>
    <row r="1044" spans="1:32" x14ac:dyDescent="0.25">
      <c r="A1044">
        <v>44</v>
      </c>
      <c r="B1044" t="s">
        <v>32</v>
      </c>
      <c r="C1044" t="s">
        <v>50</v>
      </c>
      <c r="D1044" t="s">
        <v>34</v>
      </c>
      <c r="E1044" t="s">
        <v>52</v>
      </c>
      <c r="F1044">
        <v>5</v>
      </c>
      <c r="G1044" t="s">
        <v>36</v>
      </c>
      <c r="H1044">
        <v>3</v>
      </c>
      <c r="I1044" t="s">
        <v>42</v>
      </c>
      <c r="J1044" t="s">
        <v>54</v>
      </c>
      <c r="K1044">
        <v>2</v>
      </c>
      <c r="L1044" t="s">
        <v>55</v>
      </c>
      <c r="M1044">
        <v>1</v>
      </c>
      <c r="N1044" t="s">
        <v>40</v>
      </c>
      <c r="O1044" t="s">
        <v>62</v>
      </c>
      <c r="P1044">
        <v>3</v>
      </c>
      <c r="Q1044" t="s">
        <v>42</v>
      </c>
      <c r="R1044" t="s">
        <v>43</v>
      </c>
      <c r="S1044">
        <v>3</v>
      </c>
      <c r="T1044" t="s">
        <v>44</v>
      </c>
      <c r="U1044" t="s">
        <v>59</v>
      </c>
      <c r="V1044">
        <v>14</v>
      </c>
      <c r="W1044" t="s">
        <v>45</v>
      </c>
      <c r="X1044">
        <v>7</v>
      </c>
      <c r="Y1044">
        <v>3</v>
      </c>
      <c r="Z1044" t="s">
        <v>61</v>
      </c>
      <c r="AA1044">
        <v>5</v>
      </c>
      <c r="AB1044" t="s">
        <v>47</v>
      </c>
      <c r="AC1044">
        <v>2</v>
      </c>
      <c r="AD1044" t="s">
        <v>48</v>
      </c>
      <c r="AE1044">
        <v>0</v>
      </c>
      <c r="AF1044" t="s">
        <v>49</v>
      </c>
    </row>
    <row r="1045" spans="1:32" x14ac:dyDescent="0.25">
      <c r="A1045">
        <v>53</v>
      </c>
      <c r="B1045" t="s">
        <v>64</v>
      </c>
      <c r="C1045" t="s">
        <v>50</v>
      </c>
      <c r="D1045" t="s">
        <v>34</v>
      </c>
      <c r="E1045" t="s">
        <v>52</v>
      </c>
      <c r="F1045">
        <v>2</v>
      </c>
      <c r="G1045" t="s">
        <v>36</v>
      </c>
      <c r="H1045">
        <v>4</v>
      </c>
      <c r="I1045" t="s">
        <v>42</v>
      </c>
      <c r="J1045" t="s">
        <v>54</v>
      </c>
      <c r="K1045">
        <v>4</v>
      </c>
      <c r="L1045" t="s">
        <v>65</v>
      </c>
      <c r="M1045">
        <v>4</v>
      </c>
      <c r="N1045" t="s">
        <v>72</v>
      </c>
      <c r="O1045" t="s">
        <v>76</v>
      </c>
      <c r="P1045">
        <v>2</v>
      </c>
      <c r="Q1045" t="s">
        <v>57</v>
      </c>
      <c r="R1045" t="s">
        <v>43</v>
      </c>
      <c r="S1045">
        <v>4</v>
      </c>
      <c r="T1045" t="s">
        <v>44</v>
      </c>
      <c r="U1045" t="s">
        <v>59</v>
      </c>
      <c r="V1045">
        <v>12</v>
      </c>
      <c r="W1045" t="s">
        <v>45</v>
      </c>
      <c r="X1045">
        <v>35</v>
      </c>
      <c r="Y1045">
        <v>2</v>
      </c>
      <c r="Z1045" t="s">
        <v>46</v>
      </c>
      <c r="AA1045">
        <v>9</v>
      </c>
      <c r="AB1045" t="s">
        <v>47</v>
      </c>
      <c r="AC1045">
        <v>8</v>
      </c>
      <c r="AD1045" t="s">
        <v>47</v>
      </c>
      <c r="AE1045">
        <v>8</v>
      </c>
      <c r="AF1045" t="s">
        <v>71</v>
      </c>
    </row>
    <row r="1046" spans="1:32" x14ac:dyDescent="0.25">
      <c r="A1046">
        <v>49</v>
      </c>
      <c r="B1046" t="s">
        <v>32</v>
      </c>
      <c r="C1046" t="s">
        <v>50</v>
      </c>
      <c r="D1046" t="s">
        <v>34</v>
      </c>
      <c r="E1046" t="s">
        <v>52</v>
      </c>
      <c r="F1046">
        <v>5</v>
      </c>
      <c r="G1046" t="s">
        <v>36</v>
      </c>
      <c r="H1046">
        <v>1</v>
      </c>
      <c r="I1046" t="s">
        <v>37</v>
      </c>
      <c r="J1046" t="s">
        <v>54</v>
      </c>
      <c r="K1046">
        <v>3</v>
      </c>
      <c r="L1046" t="s">
        <v>39</v>
      </c>
      <c r="M1046">
        <v>2</v>
      </c>
      <c r="N1046" t="s">
        <v>40</v>
      </c>
      <c r="O1046" t="s">
        <v>70</v>
      </c>
      <c r="P1046">
        <v>3</v>
      </c>
      <c r="Q1046" t="s">
        <v>42</v>
      </c>
      <c r="R1046" t="s">
        <v>58</v>
      </c>
      <c r="S1046">
        <v>2</v>
      </c>
      <c r="T1046" t="s">
        <v>44</v>
      </c>
      <c r="U1046" t="s">
        <v>59</v>
      </c>
      <c r="V1046">
        <v>14</v>
      </c>
      <c r="W1046" t="s">
        <v>45</v>
      </c>
      <c r="X1046">
        <v>20</v>
      </c>
      <c r="Y1046">
        <v>2</v>
      </c>
      <c r="Z1046" t="s">
        <v>46</v>
      </c>
      <c r="AA1046">
        <v>3</v>
      </c>
      <c r="AB1046" t="s">
        <v>48</v>
      </c>
      <c r="AC1046">
        <v>2</v>
      </c>
      <c r="AD1046" t="s">
        <v>48</v>
      </c>
      <c r="AE1046">
        <v>1</v>
      </c>
      <c r="AF1046" t="s">
        <v>49</v>
      </c>
    </row>
    <row r="1047" spans="1:32" x14ac:dyDescent="0.25">
      <c r="A1047">
        <v>40</v>
      </c>
      <c r="B1047" t="s">
        <v>32</v>
      </c>
      <c r="C1047" t="s">
        <v>50</v>
      </c>
      <c r="D1047" t="s">
        <v>34</v>
      </c>
      <c r="E1047" t="s">
        <v>52</v>
      </c>
      <c r="F1047">
        <v>2</v>
      </c>
      <c r="G1047" t="s">
        <v>36</v>
      </c>
      <c r="H1047">
        <v>3</v>
      </c>
      <c r="I1047" t="s">
        <v>42</v>
      </c>
      <c r="J1047" t="s">
        <v>54</v>
      </c>
      <c r="K1047">
        <v>3</v>
      </c>
      <c r="L1047" t="s">
        <v>39</v>
      </c>
      <c r="M1047">
        <v>1</v>
      </c>
      <c r="N1047" t="s">
        <v>40</v>
      </c>
      <c r="O1047" t="s">
        <v>56</v>
      </c>
      <c r="P1047">
        <v>3</v>
      </c>
      <c r="Q1047" t="s">
        <v>42</v>
      </c>
      <c r="R1047" t="s">
        <v>67</v>
      </c>
      <c r="S1047">
        <v>2</v>
      </c>
      <c r="T1047" t="s">
        <v>44</v>
      </c>
      <c r="U1047" t="s">
        <v>59</v>
      </c>
      <c r="V1047">
        <v>14</v>
      </c>
      <c r="W1047" t="s">
        <v>45</v>
      </c>
      <c r="X1047">
        <v>8</v>
      </c>
      <c r="Y1047">
        <v>4</v>
      </c>
      <c r="Z1047" t="s">
        <v>61</v>
      </c>
      <c r="AA1047">
        <v>3</v>
      </c>
      <c r="AB1047" t="s">
        <v>48</v>
      </c>
      <c r="AC1047">
        <v>1</v>
      </c>
      <c r="AD1047" t="s">
        <v>48</v>
      </c>
      <c r="AE1047">
        <v>1</v>
      </c>
      <c r="AF1047" t="s">
        <v>49</v>
      </c>
    </row>
    <row r="1048" spans="1:32" x14ac:dyDescent="0.25">
      <c r="A1048">
        <v>44</v>
      </c>
      <c r="B1048" t="s">
        <v>32</v>
      </c>
      <c r="C1048" t="s">
        <v>50</v>
      </c>
      <c r="D1048" t="s">
        <v>34</v>
      </c>
      <c r="E1048" t="s">
        <v>52</v>
      </c>
      <c r="F1048">
        <v>20</v>
      </c>
      <c r="G1048" t="s">
        <v>66</v>
      </c>
      <c r="H1048">
        <v>4</v>
      </c>
      <c r="I1048" t="s">
        <v>42</v>
      </c>
      <c r="J1048" t="s">
        <v>54</v>
      </c>
      <c r="K1048">
        <v>3</v>
      </c>
      <c r="L1048" t="s">
        <v>39</v>
      </c>
      <c r="M1048">
        <v>1</v>
      </c>
      <c r="N1048" t="s">
        <v>40</v>
      </c>
      <c r="O1048" t="s">
        <v>56</v>
      </c>
      <c r="P1048">
        <v>2</v>
      </c>
      <c r="Q1048" t="s">
        <v>57</v>
      </c>
      <c r="R1048" t="s">
        <v>43</v>
      </c>
      <c r="S1048">
        <v>1</v>
      </c>
      <c r="T1048" t="s">
        <v>44</v>
      </c>
      <c r="U1048" t="s">
        <v>59</v>
      </c>
      <c r="V1048">
        <v>13</v>
      </c>
      <c r="W1048" t="s">
        <v>45</v>
      </c>
      <c r="X1048">
        <v>6</v>
      </c>
      <c r="Y1048">
        <v>2</v>
      </c>
      <c r="Z1048" t="s">
        <v>46</v>
      </c>
      <c r="AA1048">
        <v>5</v>
      </c>
      <c r="AB1048" t="s">
        <v>47</v>
      </c>
      <c r="AC1048">
        <v>2</v>
      </c>
      <c r="AD1048" t="s">
        <v>48</v>
      </c>
      <c r="AE1048">
        <v>1</v>
      </c>
      <c r="AF1048" t="s">
        <v>49</v>
      </c>
    </row>
    <row r="1049" spans="1:32" x14ac:dyDescent="0.25">
      <c r="A1049">
        <v>33</v>
      </c>
      <c r="B1049" t="s">
        <v>32</v>
      </c>
      <c r="C1049" t="s">
        <v>50</v>
      </c>
      <c r="D1049" t="s">
        <v>51</v>
      </c>
      <c r="E1049" t="s">
        <v>35</v>
      </c>
      <c r="F1049">
        <v>7</v>
      </c>
      <c r="G1049" t="s">
        <v>53</v>
      </c>
      <c r="H1049">
        <v>4</v>
      </c>
      <c r="I1049" t="s">
        <v>42</v>
      </c>
      <c r="J1049" t="s">
        <v>54</v>
      </c>
      <c r="K1049">
        <v>3</v>
      </c>
      <c r="L1049" t="s">
        <v>39</v>
      </c>
      <c r="M1049">
        <v>2</v>
      </c>
      <c r="N1049" t="s">
        <v>40</v>
      </c>
      <c r="O1049" t="s">
        <v>41</v>
      </c>
      <c r="P1049">
        <v>1</v>
      </c>
      <c r="Q1049" t="s">
        <v>57</v>
      </c>
      <c r="R1049" t="s">
        <v>58</v>
      </c>
      <c r="S1049">
        <v>0</v>
      </c>
      <c r="T1049" t="s">
        <v>44</v>
      </c>
      <c r="U1049" t="s">
        <v>59</v>
      </c>
      <c r="V1049">
        <v>14</v>
      </c>
      <c r="W1049" t="s">
        <v>45</v>
      </c>
      <c r="X1049">
        <v>5</v>
      </c>
      <c r="Y1049">
        <v>3</v>
      </c>
      <c r="Z1049" t="s">
        <v>61</v>
      </c>
      <c r="AA1049">
        <v>4</v>
      </c>
      <c r="AB1049" t="s">
        <v>48</v>
      </c>
      <c r="AC1049">
        <v>3</v>
      </c>
      <c r="AD1049" t="s">
        <v>48</v>
      </c>
      <c r="AE1049">
        <v>0</v>
      </c>
      <c r="AF1049" t="s">
        <v>49</v>
      </c>
    </row>
    <row r="1050" spans="1:32" x14ac:dyDescent="0.25">
      <c r="A1050">
        <v>34</v>
      </c>
      <c r="B1050" t="s">
        <v>32</v>
      </c>
      <c r="C1050" t="s">
        <v>50</v>
      </c>
      <c r="D1050" t="s">
        <v>34</v>
      </c>
      <c r="E1050" t="s">
        <v>35</v>
      </c>
      <c r="F1050">
        <v>3</v>
      </c>
      <c r="G1050" t="s">
        <v>36</v>
      </c>
      <c r="H1050">
        <v>4</v>
      </c>
      <c r="I1050" t="s">
        <v>42</v>
      </c>
      <c r="J1050" t="s">
        <v>54</v>
      </c>
      <c r="K1050">
        <v>1</v>
      </c>
      <c r="L1050" t="s">
        <v>55</v>
      </c>
      <c r="M1050">
        <v>2</v>
      </c>
      <c r="N1050" t="s">
        <v>40</v>
      </c>
      <c r="O1050" t="s">
        <v>41</v>
      </c>
      <c r="P1050">
        <v>1</v>
      </c>
      <c r="Q1050" t="s">
        <v>57</v>
      </c>
      <c r="R1050" t="s">
        <v>43</v>
      </c>
      <c r="S1050">
        <v>3</v>
      </c>
      <c r="T1050" t="s">
        <v>44</v>
      </c>
      <c r="U1050" t="s">
        <v>59</v>
      </c>
      <c r="V1050">
        <v>18</v>
      </c>
      <c r="W1050" t="s">
        <v>45</v>
      </c>
      <c r="X1050">
        <v>15</v>
      </c>
      <c r="Y1050">
        <v>3</v>
      </c>
      <c r="Z1050" t="s">
        <v>61</v>
      </c>
      <c r="AA1050">
        <v>13</v>
      </c>
      <c r="AB1050" t="s">
        <v>74</v>
      </c>
      <c r="AC1050">
        <v>9</v>
      </c>
      <c r="AD1050" t="s">
        <v>47</v>
      </c>
      <c r="AE1050">
        <v>3</v>
      </c>
      <c r="AF1050" t="s">
        <v>49</v>
      </c>
    </row>
    <row r="1051" spans="1:32" x14ac:dyDescent="0.25">
      <c r="A1051">
        <v>30</v>
      </c>
      <c r="B1051" t="s">
        <v>32</v>
      </c>
      <c r="C1051" t="s">
        <v>50</v>
      </c>
      <c r="D1051" t="s">
        <v>34</v>
      </c>
      <c r="E1051" t="s">
        <v>35</v>
      </c>
      <c r="F1051">
        <v>16</v>
      </c>
      <c r="G1051" t="s">
        <v>66</v>
      </c>
      <c r="H1051">
        <v>4</v>
      </c>
      <c r="I1051" t="s">
        <v>42</v>
      </c>
      <c r="J1051" t="s">
        <v>54</v>
      </c>
      <c r="K1051">
        <v>3</v>
      </c>
      <c r="L1051" t="s">
        <v>39</v>
      </c>
      <c r="M1051">
        <v>2</v>
      </c>
      <c r="N1051" t="s">
        <v>40</v>
      </c>
      <c r="O1051" t="s">
        <v>41</v>
      </c>
      <c r="P1051">
        <v>3</v>
      </c>
      <c r="Q1051" t="s">
        <v>42</v>
      </c>
      <c r="R1051" t="s">
        <v>58</v>
      </c>
      <c r="S1051">
        <v>8</v>
      </c>
      <c r="T1051" t="s">
        <v>44</v>
      </c>
      <c r="U1051" t="s">
        <v>59</v>
      </c>
      <c r="V1051">
        <v>15</v>
      </c>
      <c r="W1051" t="s">
        <v>45</v>
      </c>
      <c r="X1051">
        <v>4</v>
      </c>
      <c r="Y1051">
        <v>2</v>
      </c>
      <c r="Z1051" t="s">
        <v>46</v>
      </c>
      <c r="AA1051">
        <v>2</v>
      </c>
      <c r="AB1051" t="s">
        <v>48</v>
      </c>
      <c r="AC1051">
        <v>1</v>
      </c>
      <c r="AD1051" t="s">
        <v>48</v>
      </c>
      <c r="AE1051">
        <v>2</v>
      </c>
      <c r="AF1051" t="s">
        <v>49</v>
      </c>
    </row>
    <row r="1052" spans="1:32" x14ac:dyDescent="0.25">
      <c r="A1052">
        <v>42</v>
      </c>
      <c r="B1052" t="s">
        <v>32</v>
      </c>
      <c r="C1052" t="s">
        <v>50</v>
      </c>
      <c r="D1052" t="s">
        <v>51</v>
      </c>
      <c r="E1052" t="s">
        <v>52</v>
      </c>
      <c r="F1052">
        <v>9</v>
      </c>
      <c r="G1052" t="s">
        <v>53</v>
      </c>
      <c r="H1052">
        <v>1</v>
      </c>
      <c r="I1052" t="s">
        <v>37</v>
      </c>
      <c r="J1052" t="s">
        <v>38</v>
      </c>
      <c r="K1052">
        <v>3</v>
      </c>
      <c r="L1052" t="s">
        <v>39</v>
      </c>
      <c r="M1052">
        <v>1</v>
      </c>
      <c r="N1052" t="s">
        <v>40</v>
      </c>
      <c r="O1052" t="s">
        <v>62</v>
      </c>
      <c r="P1052">
        <v>4</v>
      </c>
      <c r="Q1052" t="s">
        <v>42</v>
      </c>
      <c r="R1052" t="s">
        <v>43</v>
      </c>
      <c r="S1052">
        <v>1</v>
      </c>
      <c r="T1052" t="s">
        <v>44</v>
      </c>
      <c r="U1052" t="s">
        <v>59</v>
      </c>
      <c r="V1052">
        <v>13</v>
      </c>
      <c r="W1052" t="s">
        <v>45</v>
      </c>
      <c r="X1052">
        <v>12</v>
      </c>
      <c r="Y1052">
        <v>3</v>
      </c>
      <c r="Z1052" t="s">
        <v>61</v>
      </c>
      <c r="AA1052">
        <v>12</v>
      </c>
      <c r="AB1052" t="s">
        <v>74</v>
      </c>
      <c r="AC1052">
        <v>9</v>
      </c>
      <c r="AD1052" t="s">
        <v>47</v>
      </c>
      <c r="AE1052">
        <v>5</v>
      </c>
      <c r="AF1052" t="s">
        <v>71</v>
      </c>
    </row>
    <row r="1053" spans="1:32" x14ac:dyDescent="0.25">
      <c r="A1053">
        <v>44</v>
      </c>
      <c r="B1053" t="s">
        <v>32</v>
      </c>
      <c r="C1053" t="s">
        <v>50</v>
      </c>
      <c r="D1053" t="s">
        <v>51</v>
      </c>
      <c r="E1053" t="s">
        <v>35</v>
      </c>
      <c r="F1053">
        <v>1</v>
      </c>
      <c r="G1053" t="s">
        <v>36</v>
      </c>
      <c r="H1053">
        <v>1</v>
      </c>
      <c r="I1053" t="s">
        <v>37</v>
      </c>
      <c r="J1053" t="s">
        <v>38</v>
      </c>
      <c r="K1053">
        <v>3</v>
      </c>
      <c r="L1053" t="s">
        <v>39</v>
      </c>
      <c r="M1053">
        <v>2</v>
      </c>
      <c r="N1053" t="s">
        <v>40</v>
      </c>
      <c r="O1053" t="s">
        <v>41</v>
      </c>
      <c r="P1053">
        <v>3</v>
      </c>
      <c r="Q1053" t="s">
        <v>42</v>
      </c>
      <c r="R1053" t="s">
        <v>58</v>
      </c>
      <c r="S1053">
        <v>7</v>
      </c>
      <c r="T1053" t="s">
        <v>44</v>
      </c>
      <c r="U1053" t="s">
        <v>59</v>
      </c>
      <c r="V1053">
        <v>12</v>
      </c>
      <c r="W1053" t="s">
        <v>45</v>
      </c>
      <c r="X1053">
        <v>11</v>
      </c>
      <c r="Y1053">
        <v>2</v>
      </c>
      <c r="Z1053" t="s">
        <v>46</v>
      </c>
      <c r="AA1053">
        <v>1</v>
      </c>
      <c r="AB1053" t="s">
        <v>48</v>
      </c>
      <c r="AC1053">
        <v>0</v>
      </c>
      <c r="AD1053" t="s">
        <v>48</v>
      </c>
      <c r="AE1053">
        <v>0</v>
      </c>
      <c r="AF1053" t="s">
        <v>49</v>
      </c>
    </row>
    <row r="1054" spans="1:32" x14ac:dyDescent="0.25">
      <c r="A1054">
        <v>30</v>
      </c>
      <c r="B1054" t="s">
        <v>32</v>
      </c>
      <c r="C1054" t="s">
        <v>50</v>
      </c>
      <c r="D1054" t="s">
        <v>34</v>
      </c>
      <c r="E1054" t="s">
        <v>52</v>
      </c>
      <c r="F1054">
        <v>7</v>
      </c>
      <c r="G1054" t="s">
        <v>53</v>
      </c>
      <c r="H1054">
        <v>3</v>
      </c>
      <c r="I1054" t="s">
        <v>42</v>
      </c>
      <c r="J1054" t="s">
        <v>54</v>
      </c>
      <c r="K1054">
        <v>3</v>
      </c>
      <c r="L1054" t="s">
        <v>39</v>
      </c>
      <c r="M1054">
        <v>1</v>
      </c>
      <c r="N1054" t="s">
        <v>40</v>
      </c>
      <c r="O1054" t="s">
        <v>56</v>
      </c>
      <c r="P1054">
        <v>3</v>
      </c>
      <c r="Q1054" t="s">
        <v>42</v>
      </c>
      <c r="R1054" t="s">
        <v>67</v>
      </c>
      <c r="S1054">
        <v>1</v>
      </c>
      <c r="T1054" t="s">
        <v>44</v>
      </c>
      <c r="U1054" t="s">
        <v>59</v>
      </c>
      <c r="V1054">
        <v>13</v>
      </c>
      <c r="W1054" t="s">
        <v>45</v>
      </c>
      <c r="X1054">
        <v>1</v>
      </c>
      <c r="Y1054">
        <v>2</v>
      </c>
      <c r="Z1054" t="s">
        <v>46</v>
      </c>
      <c r="AA1054">
        <v>1</v>
      </c>
      <c r="AB1054" t="s">
        <v>48</v>
      </c>
      <c r="AC1054">
        <v>0</v>
      </c>
      <c r="AD1054" t="s">
        <v>48</v>
      </c>
      <c r="AE1054">
        <v>0</v>
      </c>
      <c r="AF1054" t="s">
        <v>49</v>
      </c>
    </row>
    <row r="1055" spans="1:32" x14ac:dyDescent="0.25">
      <c r="A1055">
        <v>57</v>
      </c>
      <c r="B1055" t="s">
        <v>64</v>
      </c>
      <c r="C1055" t="s">
        <v>50</v>
      </c>
      <c r="D1055" t="s">
        <v>34</v>
      </c>
      <c r="E1055" t="s">
        <v>52</v>
      </c>
      <c r="F1055">
        <v>1</v>
      </c>
      <c r="G1055" t="s">
        <v>36</v>
      </c>
      <c r="H1055">
        <v>2</v>
      </c>
      <c r="I1055" t="s">
        <v>37</v>
      </c>
      <c r="J1055" t="s">
        <v>54</v>
      </c>
      <c r="K1055">
        <v>4</v>
      </c>
      <c r="L1055" t="s">
        <v>65</v>
      </c>
      <c r="M1055">
        <v>2</v>
      </c>
      <c r="N1055" t="s">
        <v>40</v>
      </c>
      <c r="O1055" t="s">
        <v>56</v>
      </c>
      <c r="P1055">
        <v>3</v>
      </c>
      <c r="Q1055" t="s">
        <v>42</v>
      </c>
      <c r="R1055" t="s">
        <v>58</v>
      </c>
      <c r="S1055">
        <v>0</v>
      </c>
      <c r="T1055" t="s">
        <v>44</v>
      </c>
      <c r="U1055" t="s">
        <v>59</v>
      </c>
      <c r="V1055">
        <v>24</v>
      </c>
      <c r="W1055" t="s">
        <v>60</v>
      </c>
      <c r="X1055">
        <v>13</v>
      </c>
      <c r="Y1055">
        <v>2</v>
      </c>
      <c r="Z1055" t="s">
        <v>46</v>
      </c>
      <c r="AA1055">
        <v>12</v>
      </c>
      <c r="AB1055" t="s">
        <v>74</v>
      </c>
      <c r="AC1055">
        <v>9</v>
      </c>
      <c r="AD1055" t="s">
        <v>47</v>
      </c>
      <c r="AE1055">
        <v>2</v>
      </c>
      <c r="AF1055" t="s">
        <v>49</v>
      </c>
    </row>
    <row r="1056" spans="1:32" x14ac:dyDescent="0.25">
      <c r="A1056">
        <v>49</v>
      </c>
      <c r="B1056" t="s">
        <v>32</v>
      </c>
      <c r="C1056" t="s">
        <v>50</v>
      </c>
      <c r="D1056" t="s">
        <v>34</v>
      </c>
      <c r="E1056" t="s">
        <v>52</v>
      </c>
      <c r="F1056">
        <v>7</v>
      </c>
      <c r="G1056" t="s">
        <v>53</v>
      </c>
      <c r="H1056">
        <v>3</v>
      </c>
      <c r="I1056" t="s">
        <v>42</v>
      </c>
      <c r="J1056" t="s">
        <v>54</v>
      </c>
      <c r="K1056">
        <v>3</v>
      </c>
      <c r="L1056" t="s">
        <v>39</v>
      </c>
      <c r="M1056">
        <v>3</v>
      </c>
      <c r="N1056" t="s">
        <v>68</v>
      </c>
      <c r="O1056" t="s">
        <v>70</v>
      </c>
      <c r="P1056">
        <v>2</v>
      </c>
      <c r="Q1056" t="s">
        <v>57</v>
      </c>
      <c r="R1056" t="s">
        <v>67</v>
      </c>
      <c r="S1056">
        <v>3</v>
      </c>
      <c r="T1056" t="s">
        <v>44</v>
      </c>
      <c r="U1056" t="s">
        <v>59</v>
      </c>
      <c r="V1056">
        <v>14</v>
      </c>
      <c r="W1056" t="s">
        <v>45</v>
      </c>
      <c r="X1056">
        <v>29</v>
      </c>
      <c r="Y1056">
        <v>3</v>
      </c>
      <c r="Z1056" t="s">
        <v>61</v>
      </c>
      <c r="AA1056">
        <v>8</v>
      </c>
      <c r="AB1056" t="s">
        <v>47</v>
      </c>
      <c r="AC1056">
        <v>7</v>
      </c>
      <c r="AD1056" t="s">
        <v>47</v>
      </c>
      <c r="AE1056">
        <v>0</v>
      </c>
      <c r="AF1056" t="s">
        <v>49</v>
      </c>
    </row>
    <row r="1057" spans="1:32" x14ac:dyDescent="0.25">
      <c r="A1057">
        <v>34</v>
      </c>
      <c r="B1057" t="s">
        <v>32</v>
      </c>
      <c r="C1057" t="s">
        <v>50</v>
      </c>
      <c r="D1057" t="s">
        <v>51</v>
      </c>
      <c r="E1057" t="s">
        <v>52</v>
      </c>
      <c r="F1057">
        <v>15</v>
      </c>
      <c r="G1057" t="s">
        <v>66</v>
      </c>
      <c r="H1057">
        <v>2</v>
      </c>
      <c r="I1057" t="s">
        <v>37</v>
      </c>
      <c r="J1057" t="s">
        <v>54</v>
      </c>
      <c r="K1057">
        <v>3</v>
      </c>
      <c r="L1057" t="s">
        <v>39</v>
      </c>
      <c r="M1057">
        <v>4</v>
      </c>
      <c r="N1057" t="s">
        <v>72</v>
      </c>
      <c r="O1057" t="s">
        <v>76</v>
      </c>
      <c r="P1057">
        <v>1</v>
      </c>
      <c r="Q1057" t="s">
        <v>57</v>
      </c>
      <c r="R1057" t="s">
        <v>67</v>
      </c>
      <c r="S1057">
        <v>7</v>
      </c>
      <c r="T1057" t="s">
        <v>44</v>
      </c>
      <c r="U1057" t="s">
        <v>59</v>
      </c>
      <c r="V1057">
        <v>14</v>
      </c>
      <c r="W1057" t="s">
        <v>45</v>
      </c>
      <c r="X1057">
        <v>16</v>
      </c>
      <c r="Y1057">
        <v>2</v>
      </c>
      <c r="Z1057" t="s">
        <v>46</v>
      </c>
      <c r="AA1057">
        <v>14</v>
      </c>
      <c r="AB1057" t="s">
        <v>74</v>
      </c>
      <c r="AC1057">
        <v>8</v>
      </c>
      <c r="AD1057" t="s">
        <v>47</v>
      </c>
      <c r="AE1057">
        <v>6</v>
      </c>
      <c r="AF1057" t="s">
        <v>71</v>
      </c>
    </row>
    <row r="1058" spans="1:32" x14ac:dyDescent="0.25">
      <c r="A1058">
        <v>28</v>
      </c>
      <c r="B1058" t="s">
        <v>63</v>
      </c>
      <c r="C1058" t="s">
        <v>33</v>
      </c>
      <c r="D1058" t="s">
        <v>51</v>
      </c>
      <c r="E1058" t="s">
        <v>35</v>
      </c>
      <c r="F1058">
        <v>1</v>
      </c>
      <c r="G1058" t="s">
        <v>36</v>
      </c>
      <c r="H1058">
        <v>1</v>
      </c>
      <c r="I1058" t="s">
        <v>37</v>
      </c>
      <c r="J1058" t="s">
        <v>54</v>
      </c>
      <c r="K1058">
        <v>3</v>
      </c>
      <c r="L1058" t="s">
        <v>39</v>
      </c>
      <c r="M1058">
        <v>1</v>
      </c>
      <c r="N1058" t="s">
        <v>40</v>
      </c>
      <c r="O1058" t="s">
        <v>75</v>
      </c>
      <c r="P1058">
        <v>3</v>
      </c>
      <c r="Q1058" t="s">
        <v>42</v>
      </c>
      <c r="R1058" t="s">
        <v>58</v>
      </c>
      <c r="S1058">
        <v>3</v>
      </c>
      <c r="T1058" t="s">
        <v>44</v>
      </c>
      <c r="U1058" t="s">
        <v>59</v>
      </c>
      <c r="V1058">
        <v>15</v>
      </c>
      <c r="W1058" t="s">
        <v>45</v>
      </c>
      <c r="X1058">
        <v>5</v>
      </c>
      <c r="Y1058">
        <v>4</v>
      </c>
      <c r="Z1058" t="s">
        <v>61</v>
      </c>
      <c r="AA1058">
        <v>3</v>
      </c>
      <c r="AB1058" t="s">
        <v>48</v>
      </c>
      <c r="AC1058">
        <v>2</v>
      </c>
      <c r="AD1058" t="s">
        <v>48</v>
      </c>
      <c r="AE1058">
        <v>1</v>
      </c>
      <c r="AF1058" t="s">
        <v>49</v>
      </c>
    </row>
    <row r="1059" spans="1:32" x14ac:dyDescent="0.25">
      <c r="A1059">
        <v>29</v>
      </c>
      <c r="B1059" t="s">
        <v>63</v>
      </c>
      <c r="C1059" t="s">
        <v>33</v>
      </c>
      <c r="D1059" t="s">
        <v>51</v>
      </c>
      <c r="E1059" t="s">
        <v>35</v>
      </c>
      <c r="F1059">
        <v>13</v>
      </c>
      <c r="G1059" t="s">
        <v>53</v>
      </c>
      <c r="H1059">
        <v>1</v>
      </c>
      <c r="I1059" t="s">
        <v>37</v>
      </c>
      <c r="J1059" t="s">
        <v>38</v>
      </c>
      <c r="K1059">
        <v>3</v>
      </c>
      <c r="L1059" t="s">
        <v>39</v>
      </c>
      <c r="M1059">
        <v>2</v>
      </c>
      <c r="N1059" t="s">
        <v>40</v>
      </c>
      <c r="O1059" t="s">
        <v>41</v>
      </c>
      <c r="P1059">
        <v>2</v>
      </c>
      <c r="Q1059" t="s">
        <v>57</v>
      </c>
      <c r="R1059" t="s">
        <v>43</v>
      </c>
      <c r="S1059">
        <v>5</v>
      </c>
      <c r="T1059" t="s">
        <v>44</v>
      </c>
      <c r="U1059" t="s">
        <v>59</v>
      </c>
      <c r="V1059">
        <v>11</v>
      </c>
      <c r="W1059" t="s">
        <v>45</v>
      </c>
      <c r="X1059">
        <v>7</v>
      </c>
      <c r="Y1059">
        <v>1</v>
      </c>
      <c r="Z1059" t="s">
        <v>46</v>
      </c>
      <c r="AA1059">
        <v>5</v>
      </c>
      <c r="AB1059" t="s">
        <v>47</v>
      </c>
      <c r="AC1059">
        <v>3</v>
      </c>
      <c r="AD1059" t="s">
        <v>48</v>
      </c>
      <c r="AE1059">
        <v>0</v>
      </c>
      <c r="AF1059" t="s">
        <v>49</v>
      </c>
    </row>
    <row r="1060" spans="1:32" x14ac:dyDescent="0.25">
      <c r="A1060">
        <v>34</v>
      </c>
      <c r="B1060" t="s">
        <v>32</v>
      </c>
      <c r="C1060" t="s">
        <v>33</v>
      </c>
      <c r="D1060" t="s">
        <v>34</v>
      </c>
      <c r="E1060" t="s">
        <v>35</v>
      </c>
      <c r="F1060">
        <v>24</v>
      </c>
      <c r="G1060" t="s">
        <v>66</v>
      </c>
      <c r="H1060">
        <v>1</v>
      </c>
      <c r="I1060" t="s">
        <v>37</v>
      </c>
      <c r="J1060" t="s">
        <v>38</v>
      </c>
      <c r="K1060">
        <v>2</v>
      </c>
      <c r="L1060" t="s">
        <v>55</v>
      </c>
      <c r="M1060">
        <v>2</v>
      </c>
      <c r="N1060" t="s">
        <v>40</v>
      </c>
      <c r="O1060" t="s">
        <v>41</v>
      </c>
      <c r="P1060">
        <v>2</v>
      </c>
      <c r="Q1060" t="s">
        <v>57</v>
      </c>
      <c r="R1060" t="s">
        <v>43</v>
      </c>
      <c r="S1060">
        <v>0</v>
      </c>
      <c r="T1060" t="s">
        <v>44</v>
      </c>
      <c r="U1060" t="s">
        <v>44</v>
      </c>
      <c r="V1060">
        <v>23</v>
      </c>
      <c r="W1060" t="s">
        <v>60</v>
      </c>
      <c r="X1060">
        <v>16</v>
      </c>
      <c r="Y1060">
        <v>4</v>
      </c>
      <c r="Z1060" t="s">
        <v>61</v>
      </c>
      <c r="AA1060">
        <v>15</v>
      </c>
      <c r="AB1060" t="s">
        <v>74</v>
      </c>
      <c r="AC1060">
        <v>9</v>
      </c>
      <c r="AD1060" t="s">
        <v>47</v>
      </c>
      <c r="AE1060">
        <v>10</v>
      </c>
      <c r="AF1060" t="s">
        <v>71</v>
      </c>
    </row>
    <row r="1061" spans="1:32" x14ac:dyDescent="0.25">
      <c r="A1061">
        <v>35</v>
      </c>
      <c r="B1061" t="s">
        <v>32</v>
      </c>
      <c r="C1061" t="s">
        <v>50</v>
      </c>
      <c r="D1061" t="s">
        <v>34</v>
      </c>
      <c r="E1061" t="s">
        <v>35</v>
      </c>
      <c r="F1061">
        <v>7</v>
      </c>
      <c r="G1061" t="s">
        <v>53</v>
      </c>
      <c r="H1061">
        <v>4</v>
      </c>
      <c r="I1061" t="s">
        <v>42</v>
      </c>
      <c r="J1061" t="s">
        <v>54</v>
      </c>
      <c r="K1061">
        <v>3</v>
      </c>
      <c r="L1061" t="s">
        <v>39</v>
      </c>
      <c r="M1061">
        <v>1</v>
      </c>
      <c r="N1061" t="s">
        <v>40</v>
      </c>
      <c r="O1061" t="s">
        <v>75</v>
      </c>
      <c r="P1061">
        <v>3</v>
      </c>
      <c r="Q1061" t="s">
        <v>42</v>
      </c>
      <c r="R1061" t="s">
        <v>58</v>
      </c>
      <c r="S1061">
        <v>1</v>
      </c>
      <c r="T1061" t="s">
        <v>44</v>
      </c>
      <c r="U1061" t="s">
        <v>59</v>
      </c>
      <c r="V1061">
        <v>13</v>
      </c>
      <c r="W1061" t="s">
        <v>45</v>
      </c>
      <c r="X1061">
        <v>1</v>
      </c>
      <c r="Y1061">
        <v>3</v>
      </c>
      <c r="Z1061" t="s">
        <v>61</v>
      </c>
      <c r="AA1061">
        <v>1</v>
      </c>
      <c r="AB1061" t="s">
        <v>48</v>
      </c>
      <c r="AC1061">
        <v>0</v>
      </c>
      <c r="AD1061" t="s">
        <v>48</v>
      </c>
      <c r="AE1061">
        <v>0</v>
      </c>
      <c r="AF1061" t="s">
        <v>49</v>
      </c>
    </row>
    <row r="1062" spans="1:32" x14ac:dyDescent="0.25">
      <c r="A1062">
        <v>24</v>
      </c>
      <c r="B1062" t="s">
        <v>63</v>
      </c>
      <c r="C1062" t="s">
        <v>33</v>
      </c>
      <c r="D1062" t="s">
        <v>51</v>
      </c>
      <c r="E1062" t="s">
        <v>52</v>
      </c>
      <c r="F1062">
        <v>9</v>
      </c>
      <c r="G1062" t="s">
        <v>53</v>
      </c>
      <c r="H1062">
        <v>2</v>
      </c>
      <c r="I1062" t="s">
        <v>37</v>
      </c>
      <c r="J1062" t="s">
        <v>54</v>
      </c>
      <c r="K1062">
        <v>3</v>
      </c>
      <c r="L1062" t="s">
        <v>39</v>
      </c>
      <c r="M1062">
        <v>1</v>
      </c>
      <c r="N1062" t="s">
        <v>40</v>
      </c>
      <c r="O1062" t="s">
        <v>62</v>
      </c>
      <c r="P1062">
        <v>1</v>
      </c>
      <c r="Q1062" t="s">
        <v>57</v>
      </c>
      <c r="R1062" t="s">
        <v>43</v>
      </c>
      <c r="S1062">
        <v>2</v>
      </c>
      <c r="T1062" t="s">
        <v>44</v>
      </c>
      <c r="U1062" t="s">
        <v>44</v>
      </c>
      <c r="V1062">
        <v>11</v>
      </c>
      <c r="W1062" t="s">
        <v>45</v>
      </c>
      <c r="X1062">
        <v>4</v>
      </c>
      <c r="Y1062">
        <v>2</v>
      </c>
      <c r="Z1062" t="s">
        <v>46</v>
      </c>
      <c r="AA1062">
        <v>0</v>
      </c>
      <c r="AB1062" t="s">
        <v>48</v>
      </c>
      <c r="AC1062">
        <v>0</v>
      </c>
      <c r="AD1062" t="s">
        <v>48</v>
      </c>
      <c r="AE1062">
        <v>0</v>
      </c>
      <c r="AF1062" t="s">
        <v>49</v>
      </c>
    </row>
    <row r="1063" spans="1:32" x14ac:dyDescent="0.25">
      <c r="A1063">
        <v>24</v>
      </c>
      <c r="B1063" t="s">
        <v>63</v>
      </c>
      <c r="C1063" t="s">
        <v>50</v>
      </c>
      <c r="D1063" t="s">
        <v>34</v>
      </c>
      <c r="E1063" t="s">
        <v>35</v>
      </c>
      <c r="F1063">
        <v>13</v>
      </c>
      <c r="G1063" t="s">
        <v>53</v>
      </c>
      <c r="H1063">
        <v>4</v>
      </c>
      <c r="I1063" t="s">
        <v>42</v>
      </c>
      <c r="J1063" t="s">
        <v>38</v>
      </c>
      <c r="K1063">
        <v>3</v>
      </c>
      <c r="L1063" t="s">
        <v>39</v>
      </c>
      <c r="M1063">
        <v>1</v>
      </c>
      <c r="N1063" t="s">
        <v>40</v>
      </c>
      <c r="O1063" t="s">
        <v>75</v>
      </c>
      <c r="P1063">
        <v>2</v>
      </c>
      <c r="Q1063" t="s">
        <v>57</v>
      </c>
      <c r="R1063" t="s">
        <v>58</v>
      </c>
      <c r="S1063">
        <v>1</v>
      </c>
      <c r="T1063" t="s">
        <v>44</v>
      </c>
      <c r="U1063" t="s">
        <v>59</v>
      </c>
      <c r="V1063">
        <v>13</v>
      </c>
      <c r="W1063" t="s">
        <v>45</v>
      </c>
      <c r="X1063">
        <v>1</v>
      </c>
      <c r="Y1063">
        <v>3</v>
      </c>
      <c r="Z1063" t="s">
        <v>61</v>
      </c>
      <c r="AA1063">
        <v>1</v>
      </c>
      <c r="AB1063" t="s">
        <v>48</v>
      </c>
      <c r="AC1063">
        <v>0</v>
      </c>
      <c r="AD1063" t="s">
        <v>48</v>
      </c>
      <c r="AE1063">
        <v>0</v>
      </c>
      <c r="AF1063" t="s">
        <v>49</v>
      </c>
    </row>
    <row r="1064" spans="1:32" x14ac:dyDescent="0.25">
      <c r="A1064">
        <v>44</v>
      </c>
      <c r="B1064" t="s">
        <v>32</v>
      </c>
      <c r="C1064" t="s">
        <v>50</v>
      </c>
      <c r="D1064" t="s">
        <v>51</v>
      </c>
      <c r="E1064" t="s">
        <v>52</v>
      </c>
      <c r="F1064">
        <v>2</v>
      </c>
      <c r="G1064" t="s">
        <v>36</v>
      </c>
      <c r="H1064">
        <v>2</v>
      </c>
      <c r="I1064" t="s">
        <v>37</v>
      </c>
      <c r="J1064" t="s">
        <v>54</v>
      </c>
      <c r="K1064">
        <v>3</v>
      </c>
      <c r="L1064" t="s">
        <v>39</v>
      </c>
      <c r="M1064">
        <v>3</v>
      </c>
      <c r="N1064" t="s">
        <v>68</v>
      </c>
      <c r="O1064" t="s">
        <v>69</v>
      </c>
      <c r="P1064">
        <v>3</v>
      </c>
      <c r="Q1064" t="s">
        <v>42</v>
      </c>
      <c r="R1064" t="s">
        <v>43</v>
      </c>
      <c r="S1064">
        <v>5</v>
      </c>
      <c r="T1064" t="s">
        <v>44</v>
      </c>
      <c r="U1064" t="s">
        <v>44</v>
      </c>
      <c r="V1064">
        <v>18</v>
      </c>
      <c r="W1064" t="s">
        <v>45</v>
      </c>
      <c r="X1064">
        <v>16</v>
      </c>
      <c r="Y1064">
        <v>2</v>
      </c>
      <c r="Z1064" t="s">
        <v>46</v>
      </c>
      <c r="AA1064">
        <v>2</v>
      </c>
      <c r="AB1064" t="s">
        <v>48</v>
      </c>
      <c r="AC1064">
        <v>2</v>
      </c>
      <c r="AD1064" t="s">
        <v>48</v>
      </c>
      <c r="AE1064">
        <v>2</v>
      </c>
      <c r="AF1064" t="s">
        <v>49</v>
      </c>
    </row>
    <row r="1065" spans="1:32" x14ac:dyDescent="0.25">
      <c r="A1065">
        <v>29</v>
      </c>
      <c r="B1065" t="s">
        <v>63</v>
      </c>
      <c r="C1065" t="s">
        <v>50</v>
      </c>
      <c r="D1065" t="s">
        <v>34</v>
      </c>
      <c r="E1065" t="s">
        <v>35</v>
      </c>
      <c r="F1065">
        <v>19</v>
      </c>
      <c r="G1065" t="s">
        <v>66</v>
      </c>
      <c r="H1065">
        <v>3</v>
      </c>
      <c r="I1065" t="s">
        <v>42</v>
      </c>
      <c r="J1065" t="s">
        <v>54</v>
      </c>
      <c r="K1065">
        <v>2</v>
      </c>
      <c r="L1065" t="s">
        <v>55</v>
      </c>
      <c r="M1065">
        <v>2</v>
      </c>
      <c r="N1065" t="s">
        <v>40</v>
      </c>
      <c r="O1065" t="s">
        <v>41</v>
      </c>
      <c r="P1065">
        <v>3</v>
      </c>
      <c r="Q1065" t="s">
        <v>42</v>
      </c>
      <c r="R1065" t="s">
        <v>67</v>
      </c>
      <c r="S1065">
        <v>1</v>
      </c>
      <c r="T1065" t="s">
        <v>44</v>
      </c>
      <c r="U1065" t="s">
        <v>59</v>
      </c>
      <c r="V1065">
        <v>14</v>
      </c>
      <c r="W1065" t="s">
        <v>45</v>
      </c>
      <c r="X1065">
        <v>10</v>
      </c>
      <c r="Y1065">
        <v>3</v>
      </c>
      <c r="Z1065" t="s">
        <v>61</v>
      </c>
      <c r="AA1065">
        <v>10</v>
      </c>
      <c r="AB1065" t="s">
        <v>47</v>
      </c>
      <c r="AC1065">
        <v>7</v>
      </c>
      <c r="AD1065" t="s">
        <v>47</v>
      </c>
      <c r="AE1065">
        <v>0</v>
      </c>
      <c r="AF1065" t="s">
        <v>49</v>
      </c>
    </row>
    <row r="1066" spans="1:32" x14ac:dyDescent="0.25">
      <c r="A1066">
        <v>30</v>
      </c>
      <c r="B1066" t="s">
        <v>32</v>
      </c>
      <c r="C1066" t="s">
        <v>50</v>
      </c>
      <c r="D1066" t="s">
        <v>34</v>
      </c>
      <c r="E1066" t="s">
        <v>77</v>
      </c>
      <c r="F1066">
        <v>1</v>
      </c>
      <c r="G1066" t="s">
        <v>36</v>
      </c>
      <c r="H1066">
        <v>3</v>
      </c>
      <c r="I1066" t="s">
        <v>42</v>
      </c>
      <c r="J1066" t="s">
        <v>54</v>
      </c>
      <c r="K1066">
        <v>3</v>
      </c>
      <c r="L1066" t="s">
        <v>39</v>
      </c>
      <c r="M1066">
        <v>1</v>
      </c>
      <c r="N1066" t="s">
        <v>40</v>
      </c>
      <c r="O1066" t="s">
        <v>77</v>
      </c>
      <c r="P1066">
        <v>3</v>
      </c>
      <c r="Q1066" t="s">
        <v>42</v>
      </c>
      <c r="R1066" t="s">
        <v>67</v>
      </c>
      <c r="S1066">
        <v>0</v>
      </c>
      <c r="T1066" t="s">
        <v>44</v>
      </c>
      <c r="U1066" t="s">
        <v>59</v>
      </c>
      <c r="V1066">
        <v>21</v>
      </c>
      <c r="W1066" t="s">
        <v>60</v>
      </c>
      <c r="X1066">
        <v>6</v>
      </c>
      <c r="Y1066">
        <v>4</v>
      </c>
      <c r="Z1066" t="s">
        <v>61</v>
      </c>
      <c r="AA1066">
        <v>5</v>
      </c>
      <c r="AB1066" t="s">
        <v>47</v>
      </c>
      <c r="AC1066">
        <v>3</v>
      </c>
      <c r="AD1066" t="s">
        <v>48</v>
      </c>
      <c r="AE1066">
        <v>1</v>
      </c>
      <c r="AF1066" t="s">
        <v>49</v>
      </c>
    </row>
    <row r="1067" spans="1:32" x14ac:dyDescent="0.25">
      <c r="A1067">
        <v>55</v>
      </c>
      <c r="B1067" t="s">
        <v>64</v>
      </c>
      <c r="C1067" t="s">
        <v>50</v>
      </c>
      <c r="D1067" t="s">
        <v>34</v>
      </c>
      <c r="E1067" t="s">
        <v>52</v>
      </c>
      <c r="F1067">
        <v>4</v>
      </c>
      <c r="G1067" t="s">
        <v>36</v>
      </c>
      <c r="H1067">
        <v>4</v>
      </c>
      <c r="I1067" t="s">
        <v>42</v>
      </c>
      <c r="J1067" t="s">
        <v>54</v>
      </c>
      <c r="K1067">
        <v>3</v>
      </c>
      <c r="L1067" t="s">
        <v>39</v>
      </c>
      <c r="M1067">
        <v>2</v>
      </c>
      <c r="N1067" t="s">
        <v>40</v>
      </c>
      <c r="O1067" t="s">
        <v>70</v>
      </c>
      <c r="P1067">
        <v>3</v>
      </c>
      <c r="Q1067" t="s">
        <v>42</v>
      </c>
      <c r="R1067" t="s">
        <v>58</v>
      </c>
      <c r="S1067">
        <v>0</v>
      </c>
      <c r="T1067" t="s">
        <v>44</v>
      </c>
      <c r="U1067" t="s">
        <v>44</v>
      </c>
      <c r="V1067">
        <v>16</v>
      </c>
      <c r="W1067" t="s">
        <v>45</v>
      </c>
      <c r="X1067">
        <v>4</v>
      </c>
      <c r="Y1067">
        <v>3</v>
      </c>
      <c r="Z1067" t="s">
        <v>61</v>
      </c>
      <c r="AA1067">
        <v>3</v>
      </c>
      <c r="AB1067" t="s">
        <v>48</v>
      </c>
      <c r="AC1067">
        <v>2</v>
      </c>
      <c r="AD1067" t="s">
        <v>48</v>
      </c>
      <c r="AE1067">
        <v>1</v>
      </c>
      <c r="AF1067" t="s">
        <v>49</v>
      </c>
    </row>
    <row r="1068" spans="1:32" x14ac:dyDescent="0.25">
      <c r="A1068">
        <v>33</v>
      </c>
      <c r="B1068" t="s">
        <v>32</v>
      </c>
      <c r="C1068" t="s">
        <v>50</v>
      </c>
      <c r="D1068" t="s">
        <v>34</v>
      </c>
      <c r="E1068" t="s">
        <v>52</v>
      </c>
      <c r="F1068">
        <v>4</v>
      </c>
      <c r="G1068" t="s">
        <v>36</v>
      </c>
      <c r="H1068">
        <v>1</v>
      </c>
      <c r="I1068" t="s">
        <v>37</v>
      </c>
      <c r="J1068" t="s">
        <v>38</v>
      </c>
      <c r="K1068">
        <v>2</v>
      </c>
      <c r="L1068" t="s">
        <v>55</v>
      </c>
      <c r="M1068">
        <v>1</v>
      </c>
      <c r="N1068" t="s">
        <v>40</v>
      </c>
      <c r="O1068" t="s">
        <v>62</v>
      </c>
      <c r="P1068">
        <v>2</v>
      </c>
      <c r="Q1068" t="s">
        <v>57</v>
      </c>
      <c r="R1068" t="s">
        <v>58</v>
      </c>
      <c r="S1068">
        <v>8</v>
      </c>
      <c r="T1068" t="s">
        <v>44</v>
      </c>
      <c r="U1068" t="s">
        <v>59</v>
      </c>
      <c r="V1068">
        <v>11</v>
      </c>
      <c r="W1068" t="s">
        <v>45</v>
      </c>
      <c r="X1068">
        <v>8</v>
      </c>
      <c r="Y1068">
        <v>3</v>
      </c>
      <c r="Z1068" t="s">
        <v>61</v>
      </c>
      <c r="AA1068">
        <v>5</v>
      </c>
      <c r="AB1068" t="s">
        <v>47</v>
      </c>
      <c r="AC1068">
        <v>4</v>
      </c>
      <c r="AD1068" t="s">
        <v>48</v>
      </c>
      <c r="AE1068">
        <v>0</v>
      </c>
      <c r="AF1068" t="s">
        <v>49</v>
      </c>
    </row>
    <row r="1069" spans="1:32" x14ac:dyDescent="0.25">
      <c r="A1069">
        <v>47</v>
      </c>
      <c r="B1069" t="s">
        <v>32</v>
      </c>
      <c r="C1069" t="s">
        <v>50</v>
      </c>
      <c r="D1069" t="s">
        <v>34</v>
      </c>
      <c r="E1069" t="s">
        <v>35</v>
      </c>
      <c r="F1069">
        <v>14</v>
      </c>
      <c r="G1069" t="s">
        <v>53</v>
      </c>
      <c r="H1069">
        <v>3</v>
      </c>
      <c r="I1069" t="s">
        <v>42</v>
      </c>
      <c r="J1069" t="s">
        <v>38</v>
      </c>
      <c r="K1069">
        <v>3</v>
      </c>
      <c r="L1069" t="s">
        <v>39</v>
      </c>
      <c r="M1069">
        <v>2</v>
      </c>
      <c r="N1069" t="s">
        <v>40</v>
      </c>
      <c r="O1069" t="s">
        <v>41</v>
      </c>
      <c r="P1069">
        <v>3</v>
      </c>
      <c r="Q1069" t="s">
        <v>42</v>
      </c>
      <c r="R1069" t="s">
        <v>58</v>
      </c>
      <c r="S1069">
        <v>3</v>
      </c>
      <c r="T1069" t="s">
        <v>44</v>
      </c>
      <c r="U1069" t="s">
        <v>44</v>
      </c>
      <c r="V1069">
        <v>17</v>
      </c>
      <c r="W1069" t="s">
        <v>45</v>
      </c>
      <c r="X1069">
        <v>11</v>
      </c>
      <c r="Y1069">
        <v>2</v>
      </c>
      <c r="Z1069" t="s">
        <v>46</v>
      </c>
      <c r="AA1069">
        <v>5</v>
      </c>
      <c r="AB1069" t="s">
        <v>47</v>
      </c>
      <c r="AC1069">
        <v>4</v>
      </c>
      <c r="AD1069" t="s">
        <v>48</v>
      </c>
      <c r="AE1069">
        <v>1</v>
      </c>
      <c r="AF1069" t="s">
        <v>49</v>
      </c>
    </row>
    <row r="1070" spans="1:32" x14ac:dyDescent="0.25">
      <c r="A1070">
        <v>28</v>
      </c>
      <c r="B1070" t="s">
        <v>63</v>
      </c>
      <c r="C1070" t="s">
        <v>33</v>
      </c>
      <c r="D1070" t="s">
        <v>51</v>
      </c>
      <c r="E1070" t="s">
        <v>52</v>
      </c>
      <c r="F1070">
        <v>2</v>
      </c>
      <c r="G1070" t="s">
        <v>36</v>
      </c>
      <c r="H1070">
        <v>3</v>
      </c>
      <c r="I1070" t="s">
        <v>42</v>
      </c>
      <c r="J1070" t="s">
        <v>54</v>
      </c>
      <c r="K1070">
        <v>2</v>
      </c>
      <c r="L1070" t="s">
        <v>55</v>
      </c>
      <c r="M1070">
        <v>1</v>
      </c>
      <c r="N1070" t="s">
        <v>40</v>
      </c>
      <c r="O1070" t="s">
        <v>62</v>
      </c>
      <c r="P1070">
        <v>1</v>
      </c>
      <c r="Q1070" t="s">
        <v>57</v>
      </c>
      <c r="R1070" t="s">
        <v>43</v>
      </c>
      <c r="S1070">
        <v>7</v>
      </c>
      <c r="T1070" t="s">
        <v>44</v>
      </c>
      <c r="U1070" t="s">
        <v>59</v>
      </c>
      <c r="V1070">
        <v>11</v>
      </c>
      <c r="W1070" t="s">
        <v>45</v>
      </c>
      <c r="X1070">
        <v>8</v>
      </c>
      <c r="Y1070">
        <v>2</v>
      </c>
      <c r="Z1070" t="s">
        <v>46</v>
      </c>
      <c r="AA1070">
        <v>0</v>
      </c>
      <c r="AB1070" t="s">
        <v>48</v>
      </c>
      <c r="AC1070">
        <v>0</v>
      </c>
      <c r="AD1070" t="s">
        <v>48</v>
      </c>
      <c r="AE1070">
        <v>0</v>
      </c>
      <c r="AF1070" t="s">
        <v>49</v>
      </c>
    </row>
    <row r="1071" spans="1:32" x14ac:dyDescent="0.25">
      <c r="A1071">
        <v>28</v>
      </c>
      <c r="B1071" t="s">
        <v>63</v>
      </c>
      <c r="C1071" t="s">
        <v>50</v>
      </c>
      <c r="D1071" t="s">
        <v>34</v>
      </c>
      <c r="E1071" t="s">
        <v>52</v>
      </c>
      <c r="F1071">
        <v>1</v>
      </c>
      <c r="G1071" t="s">
        <v>36</v>
      </c>
      <c r="H1071">
        <v>1</v>
      </c>
      <c r="I1071" t="s">
        <v>37</v>
      </c>
      <c r="J1071" t="s">
        <v>54</v>
      </c>
      <c r="K1071">
        <v>2</v>
      </c>
      <c r="L1071" t="s">
        <v>55</v>
      </c>
      <c r="M1071">
        <v>1</v>
      </c>
      <c r="N1071" t="s">
        <v>40</v>
      </c>
      <c r="O1071" t="s">
        <v>56</v>
      </c>
      <c r="P1071">
        <v>3</v>
      </c>
      <c r="Q1071" t="s">
        <v>42</v>
      </c>
      <c r="R1071" t="s">
        <v>67</v>
      </c>
      <c r="S1071">
        <v>1</v>
      </c>
      <c r="T1071" t="s">
        <v>44</v>
      </c>
      <c r="U1071" t="s">
        <v>59</v>
      </c>
      <c r="V1071">
        <v>14</v>
      </c>
      <c r="W1071" t="s">
        <v>45</v>
      </c>
      <c r="X1071">
        <v>1</v>
      </c>
      <c r="Y1071">
        <v>1</v>
      </c>
      <c r="Z1071" t="s">
        <v>46</v>
      </c>
      <c r="AA1071">
        <v>1</v>
      </c>
      <c r="AB1071" t="s">
        <v>48</v>
      </c>
      <c r="AC1071">
        <v>0</v>
      </c>
      <c r="AD1071" t="s">
        <v>48</v>
      </c>
      <c r="AE1071">
        <v>0</v>
      </c>
      <c r="AF1071" t="s">
        <v>49</v>
      </c>
    </row>
    <row r="1072" spans="1:32" x14ac:dyDescent="0.25">
      <c r="A1072">
        <v>28</v>
      </c>
      <c r="B1072" t="s">
        <v>63</v>
      </c>
      <c r="C1072" t="s">
        <v>50</v>
      </c>
      <c r="D1072" t="s">
        <v>51</v>
      </c>
      <c r="E1072" t="s">
        <v>35</v>
      </c>
      <c r="F1072">
        <v>7</v>
      </c>
      <c r="G1072" t="s">
        <v>53</v>
      </c>
      <c r="H1072">
        <v>3</v>
      </c>
      <c r="I1072" t="s">
        <v>42</v>
      </c>
      <c r="J1072" t="s">
        <v>54</v>
      </c>
      <c r="K1072">
        <v>3</v>
      </c>
      <c r="L1072" t="s">
        <v>39</v>
      </c>
      <c r="M1072">
        <v>2</v>
      </c>
      <c r="N1072" t="s">
        <v>40</v>
      </c>
      <c r="O1072" t="s">
        <v>41</v>
      </c>
      <c r="P1072">
        <v>1</v>
      </c>
      <c r="Q1072" t="s">
        <v>57</v>
      </c>
      <c r="R1072" t="s">
        <v>43</v>
      </c>
      <c r="S1072">
        <v>0</v>
      </c>
      <c r="T1072" t="s">
        <v>44</v>
      </c>
      <c r="U1072" t="s">
        <v>59</v>
      </c>
      <c r="V1072">
        <v>14</v>
      </c>
      <c r="W1072" t="s">
        <v>45</v>
      </c>
      <c r="X1072">
        <v>5</v>
      </c>
      <c r="Y1072">
        <v>3</v>
      </c>
      <c r="Z1072" t="s">
        <v>61</v>
      </c>
      <c r="AA1072">
        <v>4</v>
      </c>
      <c r="AB1072" t="s">
        <v>48</v>
      </c>
      <c r="AC1072">
        <v>2</v>
      </c>
      <c r="AD1072" t="s">
        <v>48</v>
      </c>
      <c r="AE1072">
        <v>1</v>
      </c>
      <c r="AF1072" t="s">
        <v>49</v>
      </c>
    </row>
    <row r="1073" spans="1:32" x14ac:dyDescent="0.25">
      <c r="A1073">
        <v>49</v>
      </c>
      <c r="B1073" t="s">
        <v>32</v>
      </c>
      <c r="C1073" t="s">
        <v>50</v>
      </c>
      <c r="D1073" t="s">
        <v>34</v>
      </c>
      <c r="E1073" t="s">
        <v>52</v>
      </c>
      <c r="F1073">
        <v>3</v>
      </c>
      <c r="G1073" t="s">
        <v>36</v>
      </c>
      <c r="H1073">
        <v>3</v>
      </c>
      <c r="I1073" t="s">
        <v>42</v>
      </c>
      <c r="J1073" t="s">
        <v>38</v>
      </c>
      <c r="K1073">
        <v>2</v>
      </c>
      <c r="L1073" t="s">
        <v>55</v>
      </c>
      <c r="M1073">
        <v>2</v>
      </c>
      <c r="N1073" t="s">
        <v>40</v>
      </c>
      <c r="O1073" t="s">
        <v>62</v>
      </c>
      <c r="P1073">
        <v>1</v>
      </c>
      <c r="Q1073" t="s">
        <v>57</v>
      </c>
      <c r="R1073" t="s">
        <v>58</v>
      </c>
      <c r="S1073">
        <v>4</v>
      </c>
      <c r="T1073" t="s">
        <v>44</v>
      </c>
      <c r="U1073" t="s">
        <v>59</v>
      </c>
      <c r="V1073">
        <v>25</v>
      </c>
      <c r="W1073" t="s">
        <v>60</v>
      </c>
      <c r="X1073">
        <v>10</v>
      </c>
      <c r="Y1073">
        <v>3</v>
      </c>
      <c r="Z1073" t="s">
        <v>61</v>
      </c>
      <c r="AA1073">
        <v>3</v>
      </c>
      <c r="AB1073" t="s">
        <v>48</v>
      </c>
      <c r="AC1073">
        <v>2</v>
      </c>
      <c r="AD1073" t="s">
        <v>48</v>
      </c>
      <c r="AE1073">
        <v>1</v>
      </c>
      <c r="AF1073" t="s">
        <v>49</v>
      </c>
    </row>
    <row r="1074" spans="1:32" x14ac:dyDescent="0.25">
      <c r="A1074">
        <v>29</v>
      </c>
      <c r="B1074" t="s">
        <v>63</v>
      </c>
      <c r="C1074" t="s">
        <v>50</v>
      </c>
      <c r="D1074" t="s">
        <v>51</v>
      </c>
      <c r="E1074" t="s">
        <v>52</v>
      </c>
      <c r="F1074">
        <v>2</v>
      </c>
      <c r="G1074" t="s">
        <v>36</v>
      </c>
      <c r="H1074">
        <v>4</v>
      </c>
      <c r="I1074" t="s">
        <v>42</v>
      </c>
      <c r="J1074" t="s">
        <v>38</v>
      </c>
      <c r="K1074">
        <v>3</v>
      </c>
      <c r="L1074" t="s">
        <v>39</v>
      </c>
      <c r="M1074">
        <v>1</v>
      </c>
      <c r="N1074" t="s">
        <v>40</v>
      </c>
      <c r="O1074" t="s">
        <v>62</v>
      </c>
      <c r="P1074">
        <v>2</v>
      </c>
      <c r="Q1074" t="s">
        <v>57</v>
      </c>
      <c r="R1074" t="s">
        <v>58</v>
      </c>
      <c r="S1074">
        <v>0</v>
      </c>
      <c r="T1074" t="s">
        <v>44</v>
      </c>
      <c r="U1074" t="s">
        <v>59</v>
      </c>
      <c r="V1074">
        <v>13</v>
      </c>
      <c r="W1074" t="s">
        <v>45</v>
      </c>
      <c r="X1074">
        <v>4</v>
      </c>
      <c r="Y1074">
        <v>3</v>
      </c>
      <c r="Z1074" t="s">
        <v>61</v>
      </c>
      <c r="AA1074">
        <v>3</v>
      </c>
      <c r="AB1074" t="s">
        <v>48</v>
      </c>
      <c r="AC1074">
        <v>2</v>
      </c>
      <c r="AD1074" t="s">
        <v>48</v>
      </c>
      <c r="AE1074">
        <v>0</v>
      </c>
      <c r="AF1074" t="s">
        <v>49</v>
      </c>
    </row>
    <row r="1075" spans="1:32" x14ac:dyDescent="0.25">
      <c r="A1075">
        <v>28</v>
      </c>
      <c r="B1075" t="s">
        <v>63</v>
      </c>
      <c r="C1075" t="s">
        <v>50</v>
      </c>
      <c r="D1075" t="s">
        <v>34</v>
      </c>
      <c r="E1075" t="s">
        <v>52</v>
      </c>
      <c r="F1075">
        <v>29</v>
      </c>
      <c r="G1075" t="s">
        <v>66</v>
      </c>
      <c r="H1075">
        <v>3</v>
      </c>
      <c r="I1075" t="s">
        <v>42</v>
      </c>
      <c r="J1075" t="s">
        <v>54</v>
      </c>
      <c r="K1075">
        <v>1</v>
      </c>
      <c r="L1075" t="s">
        <v>55</v>
      </c>
      <c r="M1075">
        <v>2</v>
      </c>
      <c r="N1075" t="s">
        <v>40</v>
      </c>
      <c r="O1075" t="s">
        <v>69</v>
      </c>
      <c r="P1075">
        <v>2</v>
      </c>
      <c r="Q1075" t="s">
        <v>57</v>
      </c>
      <c r="R1075" t="s">
        <v>58</v>
      </c>
      <c r="S1075">
        <v>1</v>
      </c>
      <c r="T1075" t="s">
        <v>44</v>
      </c>
      <c r="U1075" t="s">
        <v>59</v>
      </c>
      <c r="V1075">
        <v>14</v>
      </c>
      <c r="W1075" t="s">
        <v>45</v>
      </c>
      <c r="X1075">
        <v>8</v>
      </c>
      <c r="Y1075">
        <v>2</v>
      </c>
      <c r="Z1075" t="s">
        <v>46</v>
      </c>
      <c r="AA1075">
        <v>8</v>
      </c>
      <c r="AB1075" t="s">
        <v>47</v>
      </c>
      <c r="AC1075">
        <v>6</v>
      </c>
      <c r="AD1075" t="s">
        <v>47</v>
      </c>
      <c r="AE1075">
        <v>1</v>
      </c>
      <c r="AF1075" t="s">
        <v>49</v>
      </c>
    </row>
    <row r="1076" spans="1:32" x14ac:dyDescent="0.25">
      <c r="A1076">
        <v>33</v>
      </c>
      <c r="B1076" t="s">
        <v>32</v>
      </c>
      <c r="C1076" t="s">
        <v>50</v>
      </c>
      <c r="D1076" t="s">
        <v>34</v>
      </c>
      <c r="E1076" t="s">
        <v>52</v>
      </c>
      <c r="F1076">
        <v>8</v>
      </c>
      <c r="G1076" t="s">
        <v>53</v>
      </c>
      <c r="H1076">
        <v>4</v>
      </c>
      <c r="I1076" t="s">
        <v>42</v>
      </c>
      <c r="J1076" t="s">
        <v>54</v>
      </c>
      <c r="K1076">
        <v>3</v>
      </c>
      <c r="L1076" t="s">
        <v>39</v>
      </c>
      <c r="M1076">
        <v>2</v>
      </c>
      <c r="N1076" t="s">
        <v>40</v>
      </c>
      <c r="O1076" t="s">
        <v>70</v>
      </c>
      <c r="P1076">
        <v>3</v>
      </c>
      <c r="Q1076" t="s">
        <v>42</v>
      </c>
      <c r="R1076" t="s">
        <v>43</v>
      </c>
      <c r="S1076">
        <v>2</v>
      </c>
      <c r="T1076" t="s">
        <v>44</v>
      </c>
      <c r="U1076" t="s">
        <v>44</v>
      </c>
      <c r="V1076">
        <v>17</v>
      </c>
      <c r="W1076" t="s">
        <v>45</v>
      </c>
      <c r="X1076">
        <v>14</v>
      </c>
      <c r="Y1076">
        <v>3</v>
      </c>
      <c r="Z1076" t="s">
        <v>61</v>
      </c>
      <c r="AA1076">
        <v>0</v>
      </c>
      <c r="AB1076" t="s">
        <v>48</v>
      </c>
      <c r="AC1076">
        <v>0</v>
      </c>
      <c r="AD1076" t="s">
        <v>48</v>
      </c>
      <c r="AE1076">
        <v>0</v>
      </c>
      <c r="AF1076" t="s">
        <v>49</v>
      </c>
    </row>
    <row r="1077" spans="1:32" x14ac:dyDescent="0.25">
      <c r="A1077">
        <v>32</v>
      </c>
      <c r="B1077" t="s">
        <v>32</v>
      </c>
      <c r="C1077" t="s">
        <v>50</v>
      </c>
      <c r="D1077" t="s">
        <v>34</v>
      </c>
      <c r="E1077" t="s">
        <v>52</v>
      </c>
      <c r="F1077">
        <v>10</v>
      </c>
      <c r="G1077" t="s">
        <v>53</v>
      </c>
      <c r="H1077">
        <v>3</v>
      </c>
      <c r="I1077" t="s">
        <v>42</v>
      </c>
      <c r="J1077" t="s">
        <v>54</v>
      </c>
      <c r="K1077">
        <v>3</v>
      </c>
      <c r="L1077" t="s">
        <v>39</v>
      </c>
      <c r="M1077">
        <v>3</v>
      </c>
      <c r="N1077" t="s">
        <v>68</v>
      </c>
      <c r="O1077" t="s">
        <v>73</v>
      </c>
      <c r="P1077">
        <v>4</v>
      </c>
      <c r="Q1077" t="s">
        <v>42</v>
      </c>
      <c r="R1077" t="s">
        <v>43</v>
      </c>
      <c r="S1077">
        <v>2</v>
      </c>
      <c r="T1077" t="s">
        <v>44</v>
      </c>
      <c r="U1077" t="s">
        <v>59</v>
      </c>
      <c r="V1077">
        <v>25</v>
      </c>
      <c r="W1077" t="s">
        <v>60</v>
      </c>
      <c r="X1077">
        <v>10</v>
      </c>
      <c r="Y1077">
        <v>4</v>
      </c>
      <c r="Z1077" t="s">
        <v>61</v>
      </c>
      <c r="AA1077">
        <v>5</v>
      </c>
      <c r="AB1077" t="s">
        <v>47</v>
      </c>
      <c r="AC1077">
        <v>2</v>
      </c>
      <c r="AD1077" t="s">
        <v>48</v>
      </c>
      <c r="AE1077">
        <v>0</v>
      </c>
      <c r="AF1077" t="s">
        <v>49</v>
      </c>
    </row>
    <row r="1078" spans="1:32" x14ac:dyDescent="0.25">
      <c r="A1078">
        <v>54</v>
      </c>
      <c r="B1078" t="s">
        <v>64</v>
      </c>
      <c r="C1078" t="s">
        <v>50</v>
      </c>
      <c r="D1078" t="s">
        <v>51</v>
      </c>
      <c r="E1078" t="s">
        <v>52</v>
      </c>
      <c r="F1078">
        <v>11</v>
      </c>
      <c r="G1078" t="s">
        <v>53</v>
      </c>
      <c r="H1078">
        <v>2</v>
      </c>
      <c r="I1078" t="s">
        <v>37</v>
      </c>
      <c r="J1078" t="s">
        <v>38</v>
      </c>
      <c r="K1078">
        <v>3</v>
      </c>
      <c r="L1078" t="s">
        <v>39</v>
      </c>
      <c r="M1078">
        <v>4</v>
      </c>
      <c r="N1078" t="s">
        <v>72</v>
      </c>
      <c r="O1078" t="s">
        <v>73</v>
      </c>
      <c r="P1078">
        <v>4</v>
      </c>
      <c r="Q1078" t="s">
        <v>42</v>
      </c>
      <c r="R1078" t="s">
        <v>67</v>
      </c>
      <c r="S1078">
        <v>3</v>
      </c>
      <c r="T1078" t="s">
        <v>44</v>
      </c>
      <c r="U1078" t="s">
        <v>59</v>
      </c>
      <c r="V1078">
        <v>20</v>
      </c>
      <c r="W1078" t="s">
        <v>60</v>
      </c>
      <c r="X1078">
        <v>26</v>
      </c>
      <c r="Y1078">
        <v>3</v>
      </c>
      <c r="Z1078" t="s">
        <v>61</v>
      </c>
      <c r="AA1078">
        <v>14</v>
      </c>
      <c r="AB1078" t="s">
        <v>74</v>
      </c>
      <c r="AC1078">
        <v>9</v>
      </c>
      <c r="AD1078" t="s">
        <v>47</v>
      </c>
      <c r="AE1078">
        <v>1</v>
      </c>
      <c r="AF1078" t="s">
        <v>49</v>
      </c>
    </row>
    <row r="1079" spans="1:32" x14ac:dyDescent="0.25">
      <c r="A1079">
        <v>29</v>
      </c>
      <c r="B1079" t="s">
        <v>63</v>
      </c>
      <c r="C1079" t="s">
        <v>33</v>
      </c>
      <c r="D1079" t="s">
        <v>34</v>
      </c>
      <c r="E1079" t="s">
        <v>52</v>
      </c>
      <c r="F1079">
        <v>1</v>
      </c>
      <c r="G1079" t="s">
        <v>36</v>
      </c>
      <c r="H1079">
        <v>1</v>
      </c>
      <c r="I1079" t="s">
        <v>37</v>
      </c>
      <c r="J1079" t="s">
        <v>54</v>
      </c>
      <c r="K1079">
        <v>2</v>
      </c>
      <c r="L1079" t="s">
        <v>55</v>
      </c>
      <c r="M1079">
        <v>1</v>
      </c>
      <c r="N1079" t="s">
        <v>40</v>
      </c>
      <c r="O1079" t="s">
        <v>56</v>
      </c>
      <c r="P1079">
        <v>1</v>
      </c>
      <c r="Q1079" t="s">
        <v>57</v>
      </c>
      <c r="R1079" t="s">
        <v>43</v>
      </c>
      <c r="S1079">
        <v>6</v>
      </c>
      <c r="T1079" t="s">
        <v>44</v>
      </c>
      <c r="U1079" t="s">
        <v>59</v>
      </c>
      <c r="V1079">
        <v>13</v>
      </c>
      <c r="W1079" t="s">
        <v>45</v>
      </c>
      <c r="X1079">
        <v>11</v>
      </c>
      <c r="Y1079">
        <v>1</v>
      </c>
      <c r="Z1079" t="s">
        <v>46</v>
      </c>
      <c r="AA1079">
        <v>9</v>
      </c>
      <c r="AB1079" t="s">
        <v>47</v>
      </c>
      <c r="AC1079">
        <v>7</v>
      </c>
      <c r="AD1079" t="s">
        <v>47</v>
      </c>
      <c r="AE1079">
        <v>0</v>
      </c>
      <c r="AF1079" t="s">
        <v>49</v>
      </c>
    </row>
    <row r="1080" spans="1:32" x14ac:dyDescent="0.25">
      <c r="A1080">
        <v>44</v>
      </c>
      <c r="B1080" t="s">
        <v>32</v>
      </c>
      <c r="C1080" t="s">
        <v>50</v>
      </c>
      <c r="D1080" t="s">
        <v>34</v>
      </c>
      <c r="E1080" t="s">
        <v>52</v>
      </c>
      <c r="F1080">
        <v>28</v>
      </c>
      <c r="G1080" t="s">
        <v>66</v>
      </c>
      <c r="H1080">
        <v>4</v>
      </c>
      <c r="I1080" t="s">
        <v>42</v>
      </c>
      <c r="J1080" t="s">
        <v>54</v>
      </c>
      <c r="K1080">
        <v>3</v>
      </c>
      <c r="L1080" t="s">
        <v>39</v>
      </c>
      <c r="M1080">
        <v>4</v>
      </c>
      <c r="N1080" t="s">
        <v>72</v>
      </c>
      <c r="O1080" t="s">
        <v>76</v>
      </c>
      <c r="P1080">
        <v>1</v>
      </c>
      <c r="Q1080" t="s">
        <v>57</v>
      </c>
      <c r="R1080" t="s">
        <v>58</v>
      </c>
      <c r="S1080">
        <v>3</v>
      </c>
      <c r="T1080" t="s">
        <v>44</v>
      </c>
      <c r="U1080" t="s">
        <v>59</v>
      </c>
      <c r="V1080">
        <v>13</v>
      </c>
      <c r="W1080" t="s">
        <v>45</v>
      </c>
      <c r="X1080">
        <v>24</v>
      </c>
      <c r="Y1080">
        <v>4</v>
      </c>
      <c r="Z1080" t="s">
        <v>61</v>
      </c>
      <c r="AA1080">
        <v>20</v>
      </c>
      <c r="AB1080" t="s">
        <v>74</v>
      </c>
      <c r="AC1080">
        <v>6</v>
      </c>
      <c r="AD1080" t="s">
        <v>47</v>
      </c>
      <c r="AE1080">
        <v>14</v>
      </c>
      <c r="AF1080" t="s">
        <v>71</v>
      </c>
    </row>
    <row r="1081" spans="1:32" x14ac:dyDescent="0.25">
      <c r="A1081">
        <v>39</v>
      </c>
      <c r="B1081" t="s">
        <v>32</v>
      </c>
      <c r="C1081" t="s">
        <v>50</v>
      </c>
      <c r="D1081" t="s">
        <v>34</v>
      </c>
      <c r="E1081" t="s">
        <v>52</v>
      </c>
      <c r="F1081">
        <v>6</v>
      </c>
      <c r="G1081" t="s">
        <v>53</v>
      </c>
      <c r="H1081">
        <v>2</v>
      </c>
      <c r="I1081" t="s">
        <v>37</v>
      </c>
      <c r="J1081" t="s">
        <v>38</v>
      </c>
      <c r="K1081">
        <v>3</v>
      </c>
      <c r="L1081" t="s">
        <v>39</v>
      </c>
      <c r="M1081">
        <v>3</v>
      </c>
      <c r="N1081" t="s">
        <v>68</v>
      </c>
      <c r="O1081" t="s">
        <v>69</v>
      </c>
      <c r="P1081">
        <v>2</v>
      </c>
      <c r="Q1081" t="s">
        <v>57</v>
      </c>
      <c r="R1081" t="s">
        <v>43</v>
      </c>
      <c r="S1081">
        <v>4</v>
      </c>
      <c r="T1081" t="s">
        <v>44</v>
      </c>
      <c r="U1081" t="s">
        <v>59</v>
      </c>
      <c r="V1081">
        <v>18</v>
      </c>
      <c r="W1081" t="s">
        <v>45</v>
      </c>
      <c r="X1081">
        <v>9</v>
      </c>
      <c r="Y1081">
        <v>3</v>
      </c>
      <c r="Z1081" t="s">
        <v>61</v>
      </c>
      <c r="AA1081">
        <v>2</v>
      </c>
      <c r="AB1081" t="s">
        <v>48</v>
      </c>
      <c r="AC1081">
        <v>0</v>
      </c>
      <c r="AD1081" t="s">
        <v>48</v>
      </c>
      <c r="AE1081">
        <v>2</v>
      </c>
      <c r="AF1081" t="s">
        <v>49</v>
      </c>
    </row>
    <row r="1082" spans="1:32" x14ac:dyDescent="0.25">
      <c r="A1082">
        <v>46</v>
      </c>
      <c r="B1082" t="s">
        <v>32</v>
      </c>
      <c r="C1082" t="s">
        <v>50</v>
      </c>
      <c r="D1082" t="s">
        <v>34</v>
      </c>
      <c r="E1082" t="s">
        <v>35</v>
      </c>
      <c r="F1082">
        <v>3</v>
      </c>
      <c r="G1082" t="s">
        <v>36</v>
      </c>
      <c r="H1082">
        <v>3</v>
      </c>
      <c r="I1082" t="s">
        <v>42</v>
      </c>
      <c r="J1082" t="s">
        <v>38</v>
      </c>
      <c r="K1082">
        <v>3</v>
      </c>
      <c r="L1082" t="s">
        <v>39</v>
      </c>
      <c r="M1082">
        <v>4</v>
      </c>
      <c r="N1082" t="s">
        <v>72</v>
      </c>
      <c r="O1082" t="s">
        <v>73</v>
      </c>
      <c r="P1082">
        <v>2</v>
      </c>
      <c r="Q1082" t="s">
        <v>57</v>
      </c>
      <c r="R1082" t="s">
        <v>58</v>
      </c>
      <c r="S1082">
        <v>8</v>
      </c>
      <c r="T1082" t="s">
        <v>44</v>
      </c>
      <c r="U1082" t="s">
        <v>59</v>
      </c>
      <c r="V1082">
        <v>12</v>
      </c>
      <c r="W1082" t="s">
        <v>45</v>
      </c>
      <c r="X1082">
        <v>23</v>
      </c>
      <c r="Y1082">
        <v>4</v>
      </c>
      <c r="Z1082" t="s">
        <v>61</v>
      </c>
      <c r="AA1082">
        <v>13</v>
      </c>
      <c r="AB1082" t="s">
        <v>74</v>
      </c>
      <c r="AC1082">
        <v>12</v>
      </c>
      <c r="AD1082" t="s">
        <v>74</v>
      </c>
      <c r="AE1082">
        <v>5</v>
      </c>
      <c r="AF1082" t="s">
        <v>71</v>
      </c>
    </row>
    <row r="1083" spans="1:32" x14ac:dyDescent="0.25">
      <c r="A1083">
        <v>35</v>
      </c>
      <c r="B1083" t="s">
        <v>32</v>
      </c>
      <c r="C1083" t="s">
        <v>50</v>
      </c>
      <c r="D1083" t="s">
        <v>34</v>
      </c>
      <c r="E1083" t="s">
        <v>52</v>
      </c>
      <c r="F1083">
        <v>16</v>
      </c>
      <c r="G1083" t="s">
        <v>66</v>
      </c>
      <c r="H1083">
        <v>4</v>
      </c>
      <c r="I1083" t="s">
        <v>42</v>
      </c>
      <c r="J1083" t="s">
        <v>38</v>
      </c>
      <c r="K1083">
        <v>2</v>
      </c>
      <c r="L1083" t="s">
        <v>55</v>
      </c>
      <c r="M1083">
        <v>3</v>
      </c>
      <c r="N1083" t="s">
        <v>68</v>
      </c>
      <c r="O1083" t="s">
        <v>70</v>
      </c>
      <c r="P1083">
        <v>2</v>
      </c>
      <c r="Q1083" t="s">
        <v>57</v>
      </c>
      <c r="R1083" t="s">
        <v>43</v>
      </c>
      <c r="S1083">
        <v>1</v>
      </c>
      <c r="T1083" t="s">
        <v>44</v>
      </c>
      <c r="U1083" t="s">
        <v>59</v>
      </c>
      <c r="V1083">
        <v>19</v>
      </c>
      <c r="W1083" t="s">
        <v>45</v>
      </c>
      <c r="X1083">
        <v>11</v>
      </c>
      <c r="Y1083">
        <v>1</v>
      </c>
      <c r="Z1083" t="s">
        <v>46</v>
      </c>
      <c r="AA1083">
        <v>11</v>
      </c>
      <c r="AB1083" t="s">
        <v>74</v>
      </c>
      <c r="AC1083">
        <v>8</v>
      </c>
      <c r="AD1083" t="s">
        <v>47</v>
      </c>
      <c r="AE1083">
        <v>3</v>
      </c>
      <c r="AF1083" t="s">
        <v>49</v>
      </c>
    </row>
    <row r="1084" spans="1:32" x14ac:dyDescent="0.25">
      <c r="A1084">
        <v>23</v>
      </c>
      <c r="B1084" t="s">
        <v>63</v>
      </c>
      <c r="C1084" t="s">
        <v>50</v>
      </c>
      <c r="D1084" t="s">
        <v>34</v>
      </c>
      <c r="E1084" t="s">
        <v>52</v>
      </c>
      <c r="F1084">
        <v>20</v>
      </c>
      <c r="G1084" t="s">
        <v>66</v>
      </c>
      <c r="H1084">
        <v>1</v>
      </c>
      <c r="I1084" t="s">
        <v>37</v>
      </c>
      <c r="J1084" t="s">
        <v>54</v>
      </c>
      <c r="K1084">
        <v>3</v>
      </c>
      <c r="L1084" t="s">
        <v>39</v>
      </c>
      <c r="M1084">
        <v>2</v>
      </c>
      <c r="N1084" t="s">
        <v>40</v>
      </c>
      <c r="O1084" t="s">
        <v>62</v>
      </c>
      <c r="P1084">
        <v>3</v>
      </c>
      <c r="Q1084" t="s">
        <v>42</v>
      </c>
      <c r="R1084" t="s">
        <v>43</v>
      </c>
      <c r="S1084">
        <v>0</v>
      </c>
      <c r="T1084" t="s">
        <v>44</v>
      </c>
      <c r="U1084" t="s">
        <v>59</v>
      </c>
      <c r="V1084">
        <v>14</v>
      </c>
      <c r="W1084" t="s">
        <v>45</v>
      </c>
      <c r="X1084">
        <v>5</v>
      </c>
      <c r="Y1084">
        <v>3</v>
      </c>
      <c r="Z1084" t="s">
        <v>61</v>
      </c>
      <c r="AA1084">
        <v>4</v>
      </c>
      <c r="AB1084" t="s">
        <v>48</v>
      </c>
      <c r="AC1084">
        <v>3</v>
      </c>
      <c r="AD1084" t="s">
        <v>48</v>
      </c>
      <c r="AE1084">
        <v>1</v>
      </c>
      <c r="AF1084" t="s">
        <v>49</v>
      </c>
    </row>
    <row r="1085" spans="1:32" x14ac:dyDescent="0.25">
      <c r="A1085">
        <v>40</v>
      </c>
      <c r="B1085" t="s">
        <v>32</v>
      </c>
      <c r="C1085" t="s">
        <v>33</v>
      </c>
      <c r="D1085" t="s">
        <v>34</v>
      </c>
      <c r="E1085" t="s">
        <v>52</v>
      </c>
      <c r="F1085">
        <v>9</v>
      </c>
      <c r="G1085" t="s">
        <v>53</v>
      </c>
      <c r="H1085">
        <v>4</v>
      </c>
      <c r="I1085" t="s">
        <v>42</v>
      </c>
      <c r="J1085" t="s">
        <v>54</v>
      </c>
      <c r="K1085">
        <v>3</v>
      </c>
      <c r="L1085" t="s">
        <v>39</v>
      </c>
      <c r="M1085">
        <v>1</v>
      </c>
      <c r="N1085" t="s">
        <v>40</v>
      </c>
      <c r="O1085" t="s">
        <v>62</v>
      </c>
      <c r="P1085">
        <v>1</v>
      </c>
      <c r="Q1085" t="s">
        <v>57</v>
      </c>
      <c r="R1085" t="s">
        <v>43</v>
      </c>
      <c r="S1085">
        <v>3</v>
      </c>
      <c r="T1085" t="s">
        <v>44</v>
      </c>
      <c r="U1085" t="s">
        <v>59</v>
      </c>
      <c r="V1085">
        <v>14</v>
      </c>
      <c r="W1085" t="s">
        <v>45</v>
      </c>
      <c r="X1085">
        <v>15</v>
      </c>
      <c r="Y1085">
        <v>1</v>
      </c>
      <c r="Z1085" t="s">
        <v>46</v>
      </c>
      <c r="AA1085">
        <v>5</v>
      </c>
      <c r="AB1085" t="s">
        <v>47</v>
      </c>
      <c r="AC1085">
        <v>4</v>
      </c>
      <c r="AD1085" t="s">
        <v>48</v>
      </c>
      <c r="AE1085">
        <v>1</v>
      </c>
      <c r="AF1085" t="s">
        <v>49</v>
      </c>
    </row>
    <row r="1086" spans="1:32" x14ac:dyDescent="0.25">
      <c r="A1086">
        <v>34</v>
      </c>
      <c r="B1086" t="s">
        <v>32</v>
      </c>
      <c r="C1086" t="s">
        <v>50</v>
      </c>
      <c r="D1086" t="s">
        <v>34</v>
      </c>
      <c r="E1086" t="s">
        <v>35</v>
      </c>
      <c r="F1086">
        <v>1</v>
      </c>
      <c r="G1086" t="s">
        <v>36</v>
      </c>
      <c r="H1086">
        <v>4</v>
      </c>
      <c r="I1086" t="s">
        <v>42</v>
      </c>
      <c r="J1086" t="s">
        <v>54</v>
      </c>
      <c r="K1086">
        <v>2</v>
      </c>
      <c r="L1086" t="s">
        <v>55</v>
      </c>
      <c r="M1086">
        <v>3</v>
      </c>
      <c r="N1086" t="s">
        <v>68</v>
      </c>
      <c r="O1086" t="s">
        <v>41</v>
      </c>
      <c r="P1086">
        <v>3</v>
      </c>
      <c r="Q1086" t="s">
        <v>42</v>
      </c>
      <c r="R1086" t="s">
        <v>58</v>
      </c>
      <c r="S1086">
        <v>1</v>
      </c>
      <c r="T1086" t="s">
        <v>44</v>
      </c>
      <c r="U1086" t="s">
        <v>44</v>
      </c>
      <c r="V1086">
        <v>14</v>
      </c>
      <c r="W1086" t="s">
        <v>45</v>
      </c>
      <c r="X1086">
        <v>10</v>
      </c>
      <c r="Y1086">
        <v>3</v>
      </c>
      <c r="Z1086" t="s">
        <v>61</v>
      </c>
      <c r="AA1086">
        <v>10</v>
      </c>
      <c r="AB1086" t="s">
        <v>47</v>
      </c>
      <c r="AC1086">
        <v>9</v>
      </c>
      <c r="AD1086" t="s">
        <v>47</v>
      </c>
      <c r="AE1086">
        <v>8</v>
      </c>
      <c r="AF1086" t="s">
        <v>71</v>
      </c>
    </row>
    <row r="1087" spans="1:32" x14ac:dyDescent="0.25">
      <c r="A1087">
        <v>31</v>
      </c>
      <c r="B1087" t="s">
        <v>32</v>
      </c>
      <c r="C1087" t="s">
        <v>33</v>
      </c>
      <c r="D1087" t="s">
        <v>51</v>
      </c>
      <c r="E1087" t="s">
        <v>52</v>
      </c>
      <c r="F1087">
        <v>3</v>
      </c>
      <c r="G1087" t="s">
        <v>36</v>
      </c>
      <c r="H1087">
        <v>4</v>
      </c>
      <c r="I1087" t="s">
        <v>42</v>
      </c>
      <c r="J1087" t="s">
        <v>38</v>
      </c>
      <c r="K1087">
        <v>3</v>
      </c>
      <c r="L1087" t="s">
        <v>39</v>
      </c>
      <c r="M1087">
        <v>1</v>
      </c>
      <c r="N1087" t="s">
        <v>40</v>
      </c>
      <c r="O1087" t="s">
        <v>56</v>
      </c>
      <c r="P1087">
        <v>3</v>
      </c>
      <c r="Q1087" t="s">
        <v>42</v>
      </c>
      <c r="R1087" t="s">
        <v>43</v>
      </c>
      <c r="S1087">
        <v>1</v>
      </c>
      <c r="T1087" t="s">
        <v>44</v>
      </c>
      <c r="U1087" t="s">
        <v>59</v>
      </c>
      <c r="V1087">
        <v>12</v>
      </c>
      <c r="W1087" t="s">
        <v>45</v>
      </c>
      <c r="X1087">
        <v>7</v>
      </c>
      <c r="Y1087">
        <v>1</v>
      </c>
      <c r="Z1087" t="s">
        <v>46</v>
      </c>
      <c r="AA1087">
        <v>7</v>
      </c>
      <c r="AB1087" t="s">
        <v>47</v>
      </c>
      <c r="AC1087">
        <v>2</v>
      </c>
      <c r="AD1087" t="s">
        <v>48</v>
      </c>
      <c r="AE1087">
        <v>7</v>
      </c>
      <c r="AF1087" t="s">
        <v>71</v>
      </c>
    </row>
    <row r="1088" spans="1:32" x14ac:dyDescent="0.25">
      <c r="A1088">
        <v>50</v>
      </c>
      <c r="B1088" t="s">
        <v>32</v>
      </c>
      <c r="C1088" t="s">
        <v>50</v>
      </c>
      <c r="D1088" t="s">
        <v>51</v>
      </c>
      <c r="E1088" t="s">
        <v>52</v>
      </c>
      <c r="F1088">
        <v>22</v>
      </c>
      <c r="G1088" t="s">
        <v>66</v>
      </c>
      <c r="H1088">
        <v>3</v>
      </c>
      <c r="I1088" t="s">
        <v>42</v>
      </c>
      <c r="J1088" t="s">
        <v>54</v>
      </c>
      <c r="K1088">
        <v>1</v>
      </c>
      <c r="L1088" t="s">
        <v>55</v>
      </c>
      <c r="M1088">
        <v>4</v>
      </c>
      <c r="N1088" t="s">
        <v>72</v>
      </c>
      <c r="O1088" t="s">
        <v>76</v>
      </c>
      <c r="P1088">
        <v>4</v>
      </c>
      <c r="Q1088" t="s">
        <v>42</v>
      </c>
      <c r="R1088" t="s">
        <v>43</v>
      </c>
      <c r="S1088">
        <v>1</v>
      </c>
      <c r="T1088" t="s">
        <v>44</v>
      </c>
      <c r="U1088" t="s">
        <v>44</v>
      </c>
      <c r="V1088">
        <v>13</v>
      </c>
      <c r="W1088" t="s">
        <v>45</v>
      </c>
      <c r="X1088">
        <v>32</v>
      </c>
      <c r="Y1088">
        <v>3</v>
      </c>
      <c r="Z1088" t="s">
        <v>61</v>
      </c>
      <c r="AA1088">
        <v>32</v>
      </c>
      <c r="AB1088" t="s">
        <v>74</v>
      </c>
      <c r="AC1088">
        <v>6</v>
      </c>
      <c r="AD1088" t="s">
        <v>47</v>
      </c>
      <c r="AE1088">
        <v>13</v>
      </c>
      <c r="AF1088" t="s">
        <v>71</v>
      </c>
    </row>
    <row r="1089" spans="1:32" x14ac:dyDescent="0.25">
      <c r="A1089">
        <v>34</v>
      </c>
      <c r="B1089" t="s">
        <v>32</v>
      </c>
      <c r="C1089" t="s">
        <v>50</v>
      </c>
      <c r="D1089" t="s">
        <v>34</v>
      </c>
      <c r="E1089" t="s">
        <v>35</v>
      </c>
      <c r="F1089">
        <v>7</v>
      </c>
      <c r="G1089" t="s">
        <v>53</v>
      </c>
      <c r="H1089">
        <v>2</v>
      </c>
      <c r="I1089" t="s">
        <v>37</v>
      </c>
      <c r="J1089" t="s">
        <v>54</v>
      </c>
      <c r="K1089">
        <v>3</v>
      </c>
      <c r="L1089" t="s">
        <v>39</v>
      </c>
      <c r="M1089">
        <v>1</v>
      </c>
      <c r="N1089" t="s">
        <v>40</v>
      </c>
      <c r="O1089" t="s">
        <v>75</v>
      </c>
      <c r="P1089">
        <v>3</v>
      </c>
      <c r="Q1089" t="s">
        <v>42</v>
      </c>
      <c r="R1089" t="s">
        <v>58</v>
      </c>
      <c r="S1089">
        <v>0</v>
      </c>
      <c r="T1089" t="s">
        <v>44</v>
      </c>
      <c r="U1089" t="s">
        <v>44</v>
      </c>
      <c r="V1089">
        <v>25</v>
      </c>
      <c r="W1089" t="s">
        <v>60</v>
      </c>
      <c r="X1089">
        <v>12</v>
      </c>
      <c r="Y1089">
        <v>3</v>
      </c>
      <c r="Z1089" t="s">
        <v>61</v>
      </c>
      <c r="AA1089">
        <v>11</v>
      </c>
      <c r="AB1089" t="s">
        <v>74</v>
      </c>
      <c r="AC1089">
        <v>10</v>
      </c>
      <c r="AD1089" t="s">
        <v>47</v>
      </c>
      <c r="AE1089">
        <v>5</v>
      </c>
      <c r="AF1089" t="s">
        <v>71</v>
      </c>
    </row>
    <row r="1090" spans="1:32" x14ac:dyDescent="0.25">
      <c r="A1090">
        <v>42</v>
      </c>
      <c r="B1090" t="s">
        <v>32</v>
      </c>
      <c r="C1090" t="s">
        <v>50</v>
      </c>
      <c r="D1090" t="s">
        <v>34</v>
      </c>
      <c r="E1090" t="s">
        <v>52</v>
      </c>
      <c r="F1090">
        <v>2</v>
      </c>
      <c r="G1090" t="s">
        <v>36</v>
      </c>
      <c r="H1090">
        <v>3</v>
      </c>
      <c r="I1090" t="s">
        <v>42</v>
      </c>
      <c r="J1090" t="s">
        <v>54</v>
      </c>
      <c r="K1090">
        <v>2</v>
      </c>
      <c r="L1090" t="s">
        <v>55</v>
      </c>
      <c r="M1090">
        <v>1</v>
      </c>
      <c r="N1090" t="s">
        <v>40</v>
      </c>
      <c r="O1090" t="s">
        <v>62</v>
      </c>
      <c r="P1090">
        <v>2</v>
      </c>
      <c r="Q1090" t="s">
        <v>57</v>
      </c>
      <c r="R1090" t="s">
        <v>58</v>
      </c>
      <c r="S1090">
        <v>4</v>
      </c>
      <c r="T1090" t="s">
        <v>44</v>
      </c>
      <c r="U1090" t="s">
        <v>59</v>
      </c>
      <c r="V1090">
        <v>14</v>
      </c>
      <c r="W1090" t="s">
        <v>45</v>
      </c>
      <c r="X1090">
        <v>4</v>
      </c>
      <c r="Y1090">
        <v>3</v>
      </c>
      <c r="Z1090" t="s">
        <v>61</v>
      </c>
      <c r="AA1090">
        <v>1</v>
      </c>
      <c r="AB1090" t="s">
        <v>48</v>
      </c>
      <c r="AC1090">
        <v>0</v>
      </c>
      <c r="AD1090" t="s">
        <v>48</v>
      </c>
      <c r="AE1090">
        <v>0</v>
      </c>
      <c r="AF1090" t="s">
        <v>49</v>
      </c>
    </row>
    <row r="1091" spans="1:32" x14ac:dyDescent="0.25">
      <c r="A1091">
        <v>37</v>
      </c>
      <c r="B1091" t="s">
        <v>32</v>
      </c>
      <c r="C1091" t="s">
        <v>50</v>
      </c>
      <c r="D1091" t="s">
        <v>34</v>
      </c>
      <c r="E1091" t="s">
        <v>52</v>
      </c>
      <c r="F1091">
        <v>13</v>
      </c>
      <c r="G1091" t="s">
        <v>53</v>
      </c>
      <c r="H1091">
        <v>1</v>
      </c>
      <c r="I1091" t="s">
        <v>37</v>
      </c>
      <c r="J1091" t="s">
        <v>54</v>
      </c>
      <c r="K1091">
        <v>3</v>
      </c>
      <c r="L1091" t="s">
        <v>39</v>
      </c>
      <c r="M1091">
        <v>2</v>
      </c>
      <c r="N1091" t="s">
        <v>40</v>
      </c>
      <c r="O1091" t="s">
        <v>56</v>
      </c>
      <c r="P1091">
        <v>4</v>
      </c>
      <c r="Q1091" t="s">
        <v>42</v>
      </c>
      <c r="R1091" t="s">
        <v>58</v>
      </c>
      <c r="S1091">
        <v>1</v>
      </c>
      <c r="T1091" t="s">
        <v>44</v>
      </c>
      <c r="U1091" t="s">
        <v>59</v>
      </c>
      <c r="V1091">
        <v>17</v>
      </c>
      <c r="W1091" t="s">
        <v>45</v>
      </c>
      <c r="X1091">
        <v>10</v>
      </c>
      <c r="Y1091">
        <v>3</v>
      </c>
      <c r="Z1091" t="s">
        <v>61</v>
      </c>
      <c r="AA1091">
        <v>10</v>
      </c>
      <c r="AB1091" t="s">
        <v>47</v>
      </c>
      <c r="AC1091">
        <v>8</v>
      </c>
      <c r="AD1091" t="s">
        <v>47</v>
      </c>
      <c r="AE1091">
        <v>3</v>
      </c>
      <c r="AF1091" t="s">
        <v>49</v>
      </c>
    </row>
    <row r="1092" spans="1:32" x14ac:dyDescent="0.25">
      <c r="A1092">
        <v>29</v>
      </c>
      <c r="B1092" t="s">
        <v>63</v>
      </c>
      <c r="C1092" t="s">
        <v>50</v>
      </c>
      <c r="D1092" t="s">
        <v>34</v>
      </c>
      <c r="E1092" t="s">
        <v>52</v>
      </c>
      <c r="F1092">
        <v>8</v>
      </c>
      <c r="G1092" t="s">
        <v>53</v>
      </c>
      <c r="H1092">
        <v>3</v>
      </c>
      <c r="I1092" t="s">
        <v>42</v>
      </c>
      <c r="J1092" t="s">
        <v>38</v>
      </c>
      <c r="K1092">
        <v>1</v>
      </c>
      <c r="L1092" t="s">
        <v>55</v>
      </c>
      <c r="M1092">
        <v>2</v>
      </c>
      <c r="N1092" t="s">
        <v>40</v>
      </c>
      <c r="O1092" t="s">
        <v>70</v>
      </c>
      <c r="P1092">
        <v>1</v>
      </c>
      <c r="Q1092" t="s">
        <v>57</v>
      </c>
      <c r="R1092" t="s">
        <v>58</v>
      </c>
      <c r="S1092">
        <v>3</v>
      </c>
      <c r="T1092" t="s">
        <v>44</v>
      </c>
      <c r="U1092" t="s">
        <v>59</v>
      </c>
      <c r="V1092">
        <v>13</v>
      </c>
      <c r="W1092" t="s">
        <v>45</v>
      </c>
      <c r="X1092">
        <v>9</v>
      </c>
      <c r="Y1092">
        <v>3</v>
      </c>
      <c r="Z1092" t="s">
        <v>61</v>
      </c>
      <c r="AA1092">
        <v>7</v>
      </c>
      <c r="AB1092" t="s">
        <v>47</v>
      </c>
      <c r="AC1092">
        <v>7</v>
      </c>
      <c r="AD1092" t="s">
        <v>47</v>
      </c>
      <c r="AE1092">
        <v>0</v>
      </c>
      <c r="AF1092" t="s">
        <v>49</v>
      </c>
    </row>
    <row r="1093" spans="1:32" x14ac:dyDescent="0.25">
      <c r="A1093">
        <v>33</v>
      </c>
      <c r="B1093" t="s">
        <v>32</v>
      </c>
      <c r="C1093" t="s">
        <v>50</v>
      </c>
      <c r="D1093" t="s">
        <v>34</v>
      </c>
      <c r="E1093" t="s">
        <v>52</v>
      </c>
      <c r="F1093">
        <v>25</v>
      </c>
      <c r="G1093" t="s">
        <v>66</v>
      </c>
      <c r="H1093">
        <v>4</v>
      </c>
      <c r="I1093" t="s">
        <v>42</v>
      </c>
      <c r="J1093" t="s">
        <v>54</v>
      </c>
      <c r="K1093">
        <v>2</v>
      </c>
      <c r="L1093" t="s">
        <v>55</v>
      </c>
      <c r="M1093">
        <v>2</v>
      </c>
      <c r="N1093" t="s">
        <v>40</v>
      </c>
      <c r="O1093" t="s">
        <v>69</v>
      </c>
      <c r="P1093">
        <v>2</v>
      </c>
      <c r="Q1093" t="s">
        <v>57</v>
      </c>
      <c r="R1093" t="s">
        <v>43</v>
      </c>
      <c r="S1093">
        <v>1</v>
      </c>
      <c r="T1093" t="s">
        <v>44</v>
      </c>
      <c r="U1093" t="s">
        <v>59</v>
      </c>
      <c r="V1093">
        <v>13</v>
      </c>
      <c r="W1093" t="s">
        <v>45</v>
      </c>
      <c r="X1093">
        <v>5</v>
      </c>
      <c r="Y1093">
        <v>3</v>
      </c>
      <c r="Z1093" t="s">
        <v>61</v>
      </c>
      <c r="AA1093">
        <v>5</v>
      </c>
      <c r="AB1093" t="s">
        <v>47</v>
      </c>
      <c r="AC1093">
        <v>3</v>
      </c>
      <c r="AD1093" t="s">
        <v>48</v>
      </c>
      <c r="AE1093">
        <v>0</v>
      </c>
      <c r="AF1093" t="s">
        <v>49</v>
      </c>
    </row>
    <row r="1094" spans="1:32" x14ac:dyDescent="0.25">
      <c r="A1094">
        <v>45</v>
      </c>
      <c r="B1094" t="s">
        <v>32</v>
      </c>
      <c r="C1094" t="s">
        <v>50</v>
      </c>
      <c r="D1094" t="s">
        <v>34</v>
      </c>
      <c r="E1094" t="s">
        <v>52</v>
      </c>
      <c r="F1094">
        <v>28</v>
      </c>
      <c r="G1094" t="s">
        <v>66</v>
      </c>
      <c r="H1094">
        <v>4</v>
      </c>
      <c r="I1094" t="s">
        <v>42</v>
      </c>
      <c r="J1094" t="s">
        <v>54</v>
      </c>
      <c r="K1094">
        <v>3</v>
      </c>
      <c r="L1094" t="s">
        <v>39</v>
      </c>
      <c r="M1094">
        <v>1</v>
      </c>
      <c r="N1094" t="s">
        <v>40</v>
      </c>
      <c r="O1094" t="s">
        <v>56</v>
      </c>
      <c r="P1094">
        <v>4</v>
      </c>
      <c r="Q1094" t="s">
        <v>42</v>
      </c>
      <c r="R1094" t="s">
        <v>58</v>
      </c>
      <c r="S1094">
        <v>4</v>
      </c>
      <c r="T1094" t="s">
        <v>44</v>
      </c>
      <c r="U1094" t="s">
        <v>59</v>
      </c>
      <c r="V1094">
        <v>20</v>
      </c>
      <c r="W1094" t="s">
        <v>60</v>
      </c>
      <c r="X1094">
        <v>8</v>
      </c>
      <c r="Y1094">
        <v>3</v>
      </c>
      <c r="Z1094" t="s">
        <v>61</v>
      </c>
      <c r="AA1094">
        <v>5</v>
      </c>
      <c r="AB1094" t="s">
        <v>47</v>
      </c>
      <c r="AC1094">
        <v>4</v>
      </c>
      <c r="AD1094" t="s">
        <v>48</v>
      </c>
      <c r="AE1094">
        <v>0</v>
      </c>
      <c r="AF1094" t="s">
        <v>49</v>
      </c>
    </row>
    <row r="1095" spans="1:32" x14ac:dyDescent="0.25">
      <c r="A1095">
        <v>42</v>
      </c>
      <c r="B1095" t="s">
        <v>32</v>
      </c>
      <c r="C1095" t="s">
        <v>50</v>
      </c>
      <c r="D1095" t="s">
        <v>51</v>
      </c>
      <c r="E1095" t="s">
        <v>52</v>
      </c>
      <c r="F1095">
        <v>2</v>
      </c>
      <c r="G1095" t="s">
        <v>36</v>
      </c>
      <c r="H1095">
        <v>4</v>
      </c>
      <c r="I1095" t="s">
        <v>42</v>
      </c>
      <c r="J1095" t="s">
        <v>54</v>
      </c>
      <c r="K1095">
        <v>3</v>
      </c>
      <c r="L1095" t="s">
        <v>39</v>
      </c>
      <c r="M1095">
        <v>3</v>
      </c>
      <c r="N1095" t="s">
        <v>68</v>
      </c>
      <c r="O1095" t="s">
        <v>70</v>
      </c>
      <c r="P1095">
        <v>4</v>
      </c>
      <c r="Q1095" t="s">
        <v>42</v>
      </c>
      <c r="R1095" t="s">
        <v>58</v>
      </c>
      <c r="S1095">
        <v>2</v>
      </c>
      <c r="T1095" t="s">
        <v>44</v>
      </c>
      <c r="U1095" t="s">
        <v>44</v>
      </c>
      <c r="V1095">
        <v>14</v>
      </c>
      <c r="W1095" t="s">
        <v>45</v>
      </c>
      <c r="X1095">
        <v>24</v>
      </c>
      <c r="Y1095">
        <v>1</v>
      </c>
      <c r="Z1095" t="s">
        <v>46</v>
      </c>
      <c r="AA1095">
        <v>20</v>
      </c>
      <c r="AB1095" t="s">
        <v>74</v>
      </c>
      <c r="AC1095">
        <v>8</v>
      </c>
      <c r="AD1095" t="s">
        <v>47</v>
      </c>
      <c r="AE1095">
        <v>13</v>
      </c>
      <c r="AF1095" t="s">
        <v>71</v>
      </c>
    </row>
    <row r="1096" spans="1:32" x14ac:dyDescent="0.25">
      <c r="A1096">
        <v>40</v>
      </c>
      <c r="B1096" t="s">
        <v>32</v>
      </c>
      <c r="C1096" t="s">
        <v>50</v>
      </c>
      <c r="D1096" t="s">
        <v>34</v>
      </c>
      <c r="E1096" t="s">
        <v>35</v>
      </c>
      <c r="F1096">
        <v>9</v>
      </c>
      <c r="G1096" t="s">
        <v>53</v>
      </c>
      <c r="H1096">
        <v>1</v>
      </c>
      <c r="I1096" t="s">
        <v>37</v>
      </c>
      <c r="J1096" t="s">
        <v>54</v>
      </c>
      <c r="K1096">
        <v>3</v>
      </c>
      <c r="L1096" t="s">
        <v>39</v>
      </c>
      <c r="M1096">
        <v>2</v>
      </c>
      <c r="N1096" t="s">
        <v>40</v>
      </c>
      <c r="O1096" t="s">
        <v>41</v>
      </c>
      <c r="P1096">
        <v>1</v>
      </c>
      <c r="Q1096" t="s">
        <v>57</v>
      </c>
      <c r="R1096" t="s">
        <v>58</v>
      </c>
      <c r="S1096">
        <v>0</v>
      </c>
      <c r="T1096" t="s">
        <v>44</v>
      </c>
      <c r="U1096" t="s">
        <v>59</v>
      </c>
      <c r="V1096">
        <v>12</v>
      </c>
      <c r="W1096" t="s">
        <v>45</v>
      </c>
      <c r="X1096">
        <v>9</v>
      </c>
      <c r="Y1096">
        <v>4</v>
      </c>
      <c r="Z1096" t="s">
        <v>61</v>
      </c>
      <c r="AA1096">
        <v>8</v>
      </c>
      <c r="AB1096" t="s">
        <v>47</v>
      </c>
      <c r="AC1096">
        <v>4</v>
      </c>
      <c r="AD1096" t="s">
        <v>48</v>
      </c>
      <c r="AE1096">
        <v>7</v>
      </c>
      <c r="AF1096" t="s">
        <v>71</v>
      </c>
    </row>
    <row r="1097" spans="1:32" x14ac:dyDescent="0.25">
      <c r="A1097">
        <v>33</v>
      </c>
      <c r="B1097" t="s">
        <v>32</v>
      </c>
      <c r="C1097" t="s">
        <v>50</v>
      </c>
      <c r="D1097" t="s">
        <v>34</v>
      </c>
      <c r="E1097" t="s">
        <v>52</v>
      </c>
      <c r="F1097">
        <v>28</v>
      </c>
      <c r="G1097" t="s">
        <v>66</v>
      </c>
      <c r="H1097">
        <v>2</v>
      </c>
      <c r="I1097" t="s">
        <v>37</v>
      </c>
      <c r="J1097" t="s">
        <v>54</v>
      </c>
      <c r="K1097">
        <v>3</v>
      </c>
      <c r="L1097" t="s">
        <v>39</v>
      </c>
      <c r="M1097">
        <v>2</v>
      </c>
      <c r="N1097" t="s">
        <v>40</v>
      </c>
      <c r="O1097" t="s">
        <v>62</v>
      </c>
      <c r="P1097">
        <v>3</v>
      </c>
      <c r="Q1097" t="s">
        <v>42</v>
      </c>
      <c r="R1097" t="s">
        <v>58</v>
      </c>
      <c r="S1097">
        <v>1</v>
      </c>
      <c r="T1097" t="s">
        <v>44</v>
      </c>
      <c r="U1097" t="s">
        <v>44</v>
      </c>
      <c r="V1097">
        <v>12</v>
      </c>
      <c r="W1097" t="s">
        <v>45</v>
      </c>
      <c r="X1097">
        <v>15</v>
      </c>
      <c r="Y1097">
        <v>3</v>
      </c>
      <c r="Z1097" t="s">
        <v>61</v>
      </c>
      <c r="AA1097">
        <v>15</v>
      </c>
      <c r="AB1097" t="s">
        <v>74</v>
      </c>
      <c r="AC1097">
        <v>14</v>
      </c>
      <c r="AD1097" t="s">
        <v>74</v>
      </c>
      <c r="AE1097">
        <v>5</v>
      </c>
      <c r="AF1097" t="s">
        <v>71</v>
      </c>
    </row>
    <row r="1098" spans="1:32" x14ac:dyDescent="0.25">
      <c r="A1098">
        <v>40</v>
      </c>
      <c r="B1098" t="s">
        <v>32</v>
      </c>
      <c r="C1098" t="s">
        <v>50</v>
      </c>
      <c r="D1098" t="s">
        <v>34</v>
      </c>
      <c r="E1098" t="s">
        <v>77</v>
      </c>
      <c r="F1098">
        <v>6</v>
      </c>
      <c r="G1098" t="s">
        <v>53</v>
      </c>
      <c r="H1098">
        <v>3</v>
      </c>
      <c r="I1098" t="s">
        <v>42</v>
      </c>
      <c r="J1098" t="s">
        <v>54</v>
      </c>
      <c r="K1098">
        <v>3</v>
      </c>
      <c r="L1098" t="s">
        <v>39</v>
      </c>
      <c r="M1098">
        <v>4</v>
      </c>
      <c r="N1098" t="s">
        <v>72</v>
      </c>
      <c r="O1098" t="s">
        <v>73</v>
      </c>
      <c r="P1098">
        <v>4</v>
      </c>
      <c r="Q1098" t="s">
        <v>42</v>
      </c>
      <c r="R1098" t="s">
        <v>43</v>
      </c>
      <c r="S1098">
        <v>1</v>
      </c>
      <c r="T1098" t="s">
        <v>44</v>
      </c>
      <c r="U1098" t="s">
        <v>44</v>
      </c>
      <c r="V1098">
        <v>21</v>
      </c>
      <c r="W1098" t="s">
        <v>60</v>
      </c>
      <c r="X1098">
        <v>21</v>
      </c>
      <c r="Y1098">
        <v>3</v>
      </c>
      <c r="Z1098" t="s">
        <v>61</v>
      </c>
      <c r="AA1098">
        <v>21</v>
      </c>
      <c r="AB1098" t="s">
        <v>74</v>
      </c>
      <c r="AC1098">
        <v>7</v>
      </c>
      <c r="AD1098" t="s">
        <v>47</v>
      </c>
      <c r="AE1098">
        <v>7</v>
      </c>
      <c r="AF1098" t="s">
        <v>71</v>
      </c>
    </row>
    <row r="1099" spans="1:32" x14ac:dyDescent="0.25">
      <c r="A1099">
        <v>24</v>
      </c>
      <c r="B1099" t="s">
        <v>63</v>
      </c>
      <c r="C1099" t="s">
        <v>50</v>
      </c>
      <c r="D1099" t="s">
        <v>34</v>
      </c>
      <c r="E1099" t="s">
        <v>52</v>
      </c>
      <c r="F1099">
        <v>21</v>
      </c>
      <c r="G1099" t="s">
        <v>66</v>
      </c>
      <c r="H1099">
        <v>3</v>
      </c>
      <c r="I1099" t="s">
        <v>42</v>
      </c>
      <c r="J1099" t="s">
        <v>54</v>
      </c>
      <c r="K1099">
        <v>2</v>
      </c>
      <c r="L1099" t="s">
        <v>55</v>
      </c>
      <c r="M1099">
        <v>1</v>
      </c>
      <c r="N1099" t="s">
        <v>40</v>
      </c>
      <c r="O1099" t="s">
        <v>62</v>
      </c>
      <c r="P1099">
        <v>1</v>
      </c>
      <c r="Q1099" t="s">
        <v>57</v>
      </c>
      <c r="R1099" t="s">
        <v>67</v>
      </c>
      <c r="S1099">
        <v>0</v>
      </c>
      <c r="T1099" t="s">
        <v>44</v>
      </c>
      <c r="U1099" t="s">
        <v>59</v>
      </c>
      <c r="V1099">
        <v>14</v>
      </c>
      <c r="W1099" t="s">
        <v>45</v>
      </c>
      <c r="X1099">
        <v>2</v>
      </c>
      <c r="Y1099">
        <v>3</v>
      </c>
      <c r="Z1099" t="s">
        <v>61</v>
      </c>
      <c r="AA1099">
        <v>1</v>
      </c>
      <c r="AB1099" t="s">
        <v>48</v>
      </c>
      <c r="AC1099">
        <v>1</v>
      </c>
      <c r="AD1099" t="s">
        <v>48</v>
      </c>
      <c r="AE1099">
        <v>0</v>
      </c>
      <c r="AF1099" t="s">
        <v>49</v>
      </c>
    </row>
    <row r="1100" spans="1:32" x14ac:dyDescent="0.25">
      <c r="A1100">
        <v>40</v>
      </c>
      <c r="B1100" t="s">
        <v>32</v>
      </c>
      <c r="C1100" t="s">
        <v>50</v>
      </c>
      <c r="D1100" t="s">
        <v>34</v>
      </c>
      <c r="E1100" t="s">
        <v>52</v>
      </c>
      <c r="F1100">
        <v>8</v>
      </c>
      <c r="G1100" t="s">
        <v>53</v>
      </c>
      <c r="H1100">
        <v>4</v>
      </c>
      <c r="I1100" t="s">
        <v>42</v>
      </c>
      <c r="J1100" t="s">
        <v>54</v>
      </c>
      <c r="K1100">
        <v>3</v>
      </c>
      <c r="L1100" t="s">
        <v>39</v>
      </c>
      <c r="M1100">
        <v>2</v>
      </c>
      <c r="N1100" t="s">
        <v>40</v>
      </c>
      <c r="O1100" t="s">
        <v>70</v>
      </c>
      <c r="P1100">
        <v>4</v>
      </c>
      <c r="Q1100" t="s">
        <v>42</v>
      </c>
      <c r="R1100" t="s">
        <v>67</v>
      </c>
      <c r="S1100">
        <v>3</v>
      </c>
      <c r="T1100" t="s">
        <v>44</v>
      </c>
      <c r="U1100" t="s">
        <v>44</v>
      </c>
      <c r="V1100">
        <v>18</v>
      </c>
      <c r="W1100" t="s">
        <v>45</v>
      </c>
      <c r="X1100">
        <v>8</v>
      </c>
      <c r="Y1100">
        <v>3</v>
      </c>
      <c r="Z1100" t="s">
        <v>61</v>
      </c>
      <c r="AA1100">
        <v>2</v>
      </c>
      <c r="AB1100" t="s">
        <v>48</v>
      </c>
      <c r="AC1100">
        <v>2</v>
      </c>
      <c r="AD1100" t="s">
        <v>48</v>
      </c>
      <c r="AE1100">
        <v>2</v>
      </c>
      <c r="AF1100" t="s">
        <v>49</v>
      </c>
    </row>
    <row r="1101" spans="1:32" x14ac:dyDescent="0.25">
      <c r="A1101">
        <v>45</v>
      </c>
      <c r="B1101" t="s">
        <v>32</v>
      </c>
      <c r="C1101" t="s">
        <v>50</v>
      </c>
      <c r="D1101" t="s">
        <v>34</v>
      </c>
      <c r="E1101" t="s">
        <v>52</v>
      </c>
      <c r="F1101">
        <v>1</v>
      </c>
      <c r="G1101" t="s">
        <v>36</v>
      </c>
      <c r="H1101">
        <v>1</v>
      </c>
      <c r="I1101" t="s">
        <v>37</v>
      </c>
      <c r="J1101" t="s">
        <v>54</v>
      </c>
      <c r="K1101">
        <v>3</v>
      </c>
      <c r="L1101" t="s">
        <v>39</v>
      </c>
      <c r="M1101">
        <v>3</v>
      </c>
      <c r="N1101" t="s">
        <v>68</v>
      </c>
      <c r="O1101" t="s">
        <v>70</v>
      </c>
      <c r="P1101">
        <v>2</v>
      </c>
      <c r="Q1101" t="s">
        <v>57</v>
      </c>
      <c r="R1101" t="s">
        <v>67</v>
      </c>
      <c r="S1101">
        <v>1</v>
      </c>
      <c r="T1101" t="s">
        <v>44</v>
      </c>
      <c r="U1101" t="s">
        <v>59</v>
      </c>
      <c r="V1101">
        <v>12</v>
      </c>
      <c r="W1101" t="s">
        <v>45</v>
      </c>
      <c r="X1101">
        <v>10</v>
      </c>
      <c r="Y1101">
        <v>3</v>
      </c>
      <c r="Z1101" t="s">
        <v>61</v>
      </c>
      <c r="AA1101">
        <v>10</v>
      </c>
      <c r="AB1101" t="s">
        <v>47</v>
      </c>
      <c r="AC1101">
        <v>8</v>
      </c>
      <c r="AD1101" t="s">
        <v>47</v>
      </c>
      <c r="AE1101">
        <v>7</v>
      </c>
      <c r="AF1101" t="s">
        <v>71</v>
      </c>
    </row>
    <row r="1102" spans="1:32" x14ac:dyDescent="0.25">
      <c r="A1102">
        <v>35</v>
      </c>
      <c r="B1102" t="s">
        <v>32</v>
      </c>
      <c r="C1102" t="s">
        <v>50</v>
      </c>
      <c r="D1102" t="s">
        <v>34</v>
      </c>
      <c r="E1102" t="s">
        <v>35</v>
      </c>
      <c r="F1102">
        <v>28</v>
      </c>
      <c r="G1102" t="s">
        <v>66</v>
      </c>
      <c r="H1102">
        <v>2</v>
      </c>
      <c r="I1102" t="s">
        <v>37</v>
      </c>
      <c r="J1102" t="s">
        <v>38</v>
      </c>
      <c r="K1102">
        <v>2</v>
      </c>
      <c r="L1102" t="s">
        <v>55</v>
      </c>
      <c r="M1102">
        <v>1</v>
      </c>
      <c r="N1102" t="s">
        <v>40</v>
      </c>
      <c r="O1102" t="s">
        <v>75</v>
      </c>
      <c r="P1102">
        <v>3</v>
      </c>
      <c r="Q1102" t="s">
        <v>42</v>
      </c>
      <c r="R1102" t="s">
        <v>58</v>
      </c>
      <c r="S1102">
        <v>0</v>
      </c>
      <c r="T1102" t="s">
        <v>44</v>
      </c>
      <c r="U1102" t="s">
        <v>59</v>
      </c>
      <c r="V1102">
        <v>23</v>
      </c>
      <c r="W1102" t="s">
        <v>60</v>
      </c>
      <c r="X1102">
        <v>6</v>
      </c>
      <c r="Y1102">
        <v>3</v>
      </c>
      <c r="Z1102" t="s">
        <v>61</v>
      </c>
      <c r="AA1102">
        <v>5</v>
      </c>
      <c r="AB1102" t="s">
        <v>47</v>
      </c>
      <c r="AC1102">
        <v>3</v>
      </c>
      <c r="AD1102" t="s">
        <v>48</v>
      </c>
      <c r="AE1102">
        <v>4</v>
      </c>
      <c r="AF1102" t="s">
        <v>71</v>
      </c>
    </row>
    <row r="1103" spans="1:32" x14ac:dyDescent="0.25">
      <c r="A1103">
        <v>32</v>
      </c>
      <c r="B1103" t="s">
        <v>32</v>
      </c>
      <c r="C1103" t="s">
        <v>50</v>
      </c>
      <c r="D1103" t="s">
        <v>34</v>
      </c>
      <c r="E1103" t="s">
        <v>52</v>
      </c>
      <c r="F1103">
        <v>5</v>
      </c>
      <c r="G1103" t="s">
        <v>36</v>
      </c>
      <c r="H1103">
        <v>4</v>
      </c>
      <c r="I1103" t="s">
        <v>42</v>
      </c>
      <c r="J1103" t="s">
        <v>38</v>
      </c>
      <c r="K1103">
        <v>2</v>
      </c>
      <c r="L1103" t="s">
        <v>55</v>
      </c>
      <c r="M1103">
        <v>2</v>
      </c>
      <c r="N1103" t="s">
        <v>40</v>
      </c>
      <c r="O1103" t="s">
        <v>56</v>
      </c>
      <c r="P1103">
        <v>2</v>
      </c>
      <c r="Q1103" t="s">
        <v>57</v>
      </c>
      <c r="R1103" t="s">
        <v>58</v>
      </c>
      <c r="S1103">
        <v>3</v>
      </c>
      <c r="T1103" t="s">
        <v>44</v>
      </c>
      <c r="U1103" t="s">
        <v>59</v>
      </c>
      <c r="V1103">
        <v>12</v>
      </c>
      <c r="W1103" t="s">
        <v>45</v>
      </c>
      <c r="X1103">
        <v>12</v>
      </c>
      <c r="Y1103">
        <v>3</v>
      </c>
      <c r="Z1103" t="s">
        <v>61</v>
      </c>
      <c r="AA1103">
        <v>7</v>
      </c>
      <c r="AB1103" t="s">
        <v>47</v>
      </c>
      <c r="AC1103">
        <v>1</v>
      </c>
      <c r="AD1103" t="s">
        <v>48</v>
      </c>
      <c r="AE1103">
        <v>2</v>
      </c>
      <c r="AF1103" t="s">
        <v>49</v>
      </c>
    </row>
    <row r="1104" spans="1:32" x14ac:dyDescent="0.25">
      <c r="A1104">
        <v>36</v>
      </c>
      <c r="B1104" t="s">
        <v>32</v>
      </c>
      <c r="C1104" t="s">
        <v>50</v>
      </c>
      <c r="D1104" t="s">
        <v>34</v>
      </c>
      <c r="E1104" t="s">
        <v>35</v>
      </c>
      <c r="F1104">
        <v>2</v>
      </c>
      <c r="G1104" t="s">
        <v>36</v>
      </c>
      <c r="H1104">
        <v>3</v>
      </c>
      <c r="I1104" t="s">
        <v>42</v>
      </c>
      <c r="J1104" t="s">
        <v>54</v>
      </c>
      <c r="K1104">
        <v>3</v>
      </c>
      <c r="L1104" t="s">
        <v>39</v>
      </c>
      <c r="M1104">
        <v>1</v>
      </c>
      <c r="N1104" t="s">
        <v>40</v>
      </c>
      <c r="O1104" t="s">
        <v>75</v>
      </c>
      <c r="P1104">
        <v>4</v>
      </c>
      <c r="Q1104" t="s">
        <v>42</v>
      </c>
      <c r="R1104" t="s">
        <v>43</v>
      </c>
      <c r="S1104">
        <v>3</v>
      </c>
      <c r="T1104" t="s">
        <v>44</v>
      </c>
      <c r="U1104" t="s">
        <v>44</v>
      </c>
      <c r="V1104">
        <v>21</v>
      </c>
      <c r="W1104" t="s">
        <v>60</v>
      </c>
      <c r="X1104">
        <v>7</v>
      </c>
      <c r="Y1104">
        <v>2</v>
      </c>
      <c r="Z1104" t="s">
        <v>46</v>
      </c>
      <c r="AA1104">
        <v>3</v>
      </c>
      <c r="AB1104" t="s">
        <v>48</v>
      </c>
      <c r="AC1104">
        <v>2</v>
      </c>
      <c r="AD1104" t="s">
        <v>48</v>
      </c>
      <c r="AE1104">
        <v>1</v>
      </c>
      <c r="AF1104" t="s">
        <v>49</v>
      </c>
    </row>
    <row r="1105" spans="1:32" x14ac:dyDescent="0.25">
      <c r="A1105">
        <v>48</v>
      </c>
      <c r="B1105" t="s">
        <v>32</v>
      </c>
      <c r="C1105" t="s">
        <v>50</v>
      </c>
      <c r="D1105" t="s">
        <v>34</v>
      </c>
      <c r="E1105" t="s">
        <v>35</v>
      </c>
      <c r="F1105">
        <v>16</v>
      </c>
      <c r="G1105" t="s">
        <v>66</v>
      </c>
      <c r="H1105">
        <v>3</v>
      </c>
      <c r="I1105" t="s">
        <v>42</v>
      </c>
      <c r="J1105" t="s">
        <v>38</v>
      </c>
      <c r="K1105">
        <v>3</v>
      </c>
      <c r="L1105" t="s">
        <v>39</v>
      </c>
      <c r="M1105">
        <v>2</v>
      </c>
      <c r="N1105" t="s">
        <v>40</v>
      </c>
      <c r="O1105" t="s">
        <v>41</v>
      </c>
      <c r="P1105">
        <v>3</v>
      </c>
      <c r="Q1105" t="s">
        <v>42</v>
      </c>
      <c r="R1105" t="s">
        <v>67</v>
      </c>
      <c r="S1105">
        <v>8</v>
      </c>
      <c r="T1105" t="s">
        <v>44</v>
      </c>
      <c r="U1105" t="s">
        <v>59</v>
      </c>
      <c r="V1105">
        <v>14</v>
      </c>
      <c r="W1105" t="s">
        <v>45</v>
      </c>
      <c r="X1105">
        <v>18</v>
      </c>
      <c r="Y1105">
        <v>3</v>
      </c>
      <c r="Z1105" t="s">
        <v>61</v>
      </c>
      <c r="AA1105">
        <v>8</v>
      </c>
      <c r="AB1105" t="s">
        <v>47</v>
      </c>
      <c r="AC1105">
        <v>7</v>
      </c>
      <c r="AD1105" t="s">
        <v>47</v>
      </c>
      <c r="AE1105">
        <v>7</v>
      </c>
      <c r="AF1105" t="s">
        <v>71</v>
      </c>
    </row>
    <row r="1106" spans="1:32" x14ac:dyDescent="0.25">
      <c r="A1106">
        <v>29</v>
      </c>
      <c r="B1106" t="s">
        <v>63</v>
      </c>
      <c r="C1106" t="s">
        <v>50</v>
      </c>
      <c r="D1106" t="s">
        <v>34</v>
      </c>
      <c r="E1106" t="s">
        <v>52</v>
      </c>
      <c r="F1106">
        <v>9</v>
      </c>
      <c r="G1106" t="s">
        <v>53</v>
      </c>
      <c r="H1106">
        <v>3</v>
      </c>
      <c r="I1106" t="s">
        <v>42</v>
      </c>
      <c r="J1106" t="s">
        <v>54</v>
      </c>
      <c r="K1106">
        <v>4</v>
      </c>
      <c r="L1106" t="s">
        <v>65</v>
      </c>
      <c r="M1106">
        <v>1</v>
      </c>
      <c r="N1106" t="s">
        <v>40</v>
      </c>
      <c r="O1106" t="s">
        <v>56</v>
      </c>
      <c r="P1106">
        <v>3</v>
      </c>
      <c r="Q1106" t="s">
        <v>42</v>
      </c>
      <c r="R1106" t="s">
        <v>58</v>
      </c>
      <c r="S1106">
        <v>6</v>
      </c>
      <c r="T1106" t="s">
        <v>44</v>
      </c>
      <c r="U1106" t="s">
        <v>59</v>
      </c>
      <c r="V1106">
        <v>18</v>
      </c>
      <c r="W1106" t="s">
        <v>45</v>
      </c>
      <c r="X1106">
        <v>5</v>
      </c>
      <c r="Y1106">
        <v>2</v>
      </c>
      <c r="Z1106" t="s">
        <v>46</v>
      </c>
      <c r="AA1106">
        <v>1</v>
      </c>
      <c r="AB1106" t="s">
        <v>48</v>
      </c>
      <c r="AC1106">
        <v>0</v>
      </c>
      <c r="AD1106" t="s">
        <v>48</v>
      </c>
      <c r="AE1106">
        <v>0</v>
      </c>
      <c r="AF1106" t="s">
        <v>49</v>
      </c>
    </row>
    <row r="1107" spans="1:32" x14ac:dyDescent="0.25">
      <c r="A1107">
        <v>33</v>
      </c>
      <c r="B1107" t="s">
        <v>32</v>
      </c>
      <c r="C1107" t="s">
        <v>50</v>
      </c>
      <c r="D1107" t="s">
        <v>34</v>
      </c>
      <c r="E1107" t="s">
        <v>35</v>
      </c>
      <c r="F1107">
        <v>8</v>
      </c>
      <c r="G1107" t="s">
        <v>53</v>
      </c>
      <c r="H1107">
        <v>1</v>
      </c>
      <c r="I1107" t="s">
        <v>37</v>
      </c>
      <c r="J1107" t="s">
        <v>54</v>
      </c>
      <c r="K1107">
        <v>3</v>
      </c>
      <c r="L1107" t="s">
        <v>39</v>
      </c>
      <c r="M1107">
        <v>2</v>
      </c>
      <c r="N1107" t="s">
        <v>40</v>
      </c>
      <c r="O1107" t="s">
        <v>41</v>
      </c>
      <c r="P1107">
        <v>1</v>
      </c>
      <c r="Q1107" t="s">
        <v>57</v>
      </c>
      <c r="R1107" t="s">
        <v>58</v>
      </c>
      <c r="S1107">
        <v>2</v>
      </c>
      <c r="T1107" t="s">
        <v>44</v>
      </c>
      <c r="U1107" t="s">
        <v>59</v>
      </c>
      <c r="V1107">
        <v>13</v>
      </c>
      <c r="W1107" t="s">
        <v>45</v>
      </c>
      <c r="X1107">
        <v>8</v>
      </c>
      <c r="Y1107">
        <v>1</v>
      </c>
      <c r="Z1107" t="s">
        <v>46</v>
      </c>
      <c r="AA1107">
        <v>2</v>
      </c>
      <c r="AB1107" t="s">
        <v>48</v>
      </c>
      <c r="AC1107">
        <v>2</v>
      </c>
      <c r="AD1107" t="s">
        <v>48</v>
      </c>
      <c r="AE1107">
        <v>2</v>
      </c>
      <c r="AF1107" t="s">
        <v>49</v>
      </c>
    </row>
    <row r="1108" spans="1:32" x14ac:dyDescent="0.25">
      <c r="A1108">
        <v>30</v>
      </c>
      <c r="B1108" t="s">
        <v>32</v>
      </c>
      <c r="C1108" t="s">
        <v>33</v>
      </c>
      <c r="D1108" t="s">
        <v>34</v>
      </c>
      <c r="E1108" t="s">
        <v>35</v>
      </c>
      <c r="F1108">
        <v>1</v>
      </c>
      <c r="G1108" t="s">
        <v>36</v>
      </c>
      <c r="H1108">
        <v>2</v>
      </c>
      <c r="I1108" t="s">
        <v>37</v>
      </c>
      <c r="J1108" t="s">
        <v>54</v>
      </c>
      <c r="K1108">
        <v>2</v>
      </c>
      <c r="L1108" t="s">
        <v>55</v>
      </c>
      <c r="M1108">
        <v>2</v>
      </c>
      <c r="N1108" t="s">
        <v>40</v>
      </c>
      <c r="O1108" t="s">
        <v>41</v>
      </c>
      <c r="P1108">
        <v>1</v>
      </c>
      <c r="Q1108" t="s">
        <v>57</v>
      </c>
      <c r="R1108" t="s">
        <v>58</v>
      </c>
      <c r="S1108">
        <v>1</v>
      </c>
      <c r="T1108" t="s">
        <v>44</v>
      </c>
      <c r="U1108" t="s">
        <v>59</v>
      </c>
      <c r="V1108">
        <v>11</v>
      </c>
      <c r="W1108" t="s">
        <v>45</v>
      </c>
      <c r="X1108">
        <v>10</v>
      </c>
      <c r="Y1108">
        <v>3</v>
      </c>
      <c r="Z1108" t="s">
        <v>61</v>
      </c>
      <c r="AA1108">
        <v>10</v>
      </c>
      <c r="AB1108" t="s">
        <v>47</v>
      </c>
      <c r="AC1108">
        <v>8</v>
      </c>
      <c r="AD1108" t="s">
        <v>47</v>
      </c>
      <c r="AE1108">
        <v>6</v>
      </c>
      <c r="AF1108" t="s">
        <v>71</v>
      </c>
    </row>
    <row r="1109" spans="1:32" x14ac:dyDescent="0.25">
      <c r="A1109">
        <v>38</v>
      </c>
      <c r="B1109" t="s">
        <v>32</v>
      </c>
      <c r="C1109" t="s">
        <v>50</v>
      </c>
      <c r="D1109" t="s">
        <v>51</v>
      </c>
      <c r="E1109" t="s">
        <v>77</v>
      </c>
      <c r="F1109">
        <v>10</v>
      </c>
      <c r="G1109" t="s">
        <v>53</v>
      </c>
      <c r="H1109">
        <v>3</v>
      </c>
      <c r="I1109" t="s">
        <v>42</v>
      </c>
      <c r="J1109" t="s">
        <v>54</v>
      </c>
      <c r="K1109">
        <v>3</v>
      </c>
      <c r="L1109" t="s">
        <v>39</v>
      </c>
      <c r="M1109">
        <v>2</v>
      </c>
      <c r="N1109" t="s">
        <v>40</v>
      </c>
      <c r="O1109" t="s">
        <v>77</v>
      </c>
      <c r="P1109">
        <v>3</v>
      </c>
      <c r="Q1109" t="s">
        <v>42</v>
      </c>
      <c r="R1109" t="s">
        <v>58</v>
      </c>
      <c r="S1109">
        <v>3</v>
      </c>
      <c r="T1109" t="s">
        <v>44</v>
      </c>
      <c r="U1109" t="s">
        <v>59</v>
      </c>
      <c r="V1109">
        <v>11</v>
      </c>
      <c r="W1109" t="s">
        <v>45</v>
      </c>
      <c r="X1109">
        <v>10</v>
      </c>
      <c r="Y1109">
        <v>3</v>
      </c>
      <c r="Z1109" t="s">
        <v>61</v>
      </c>
      <c r="AA1109">
        <v>6</v>
      </c>
      <c r="AB1109" t="s">
        <v>47</v>
      </c>
      <c r="AC1109">
        <v>3</v>
      </c>
      <c r="AD1109" t="s">
        <v>48</v>
      </c>
      <c r="AE1109">
        <v>1</v>
      </c>
      <c r="AF1109" t="s">
        <v>49</v>
      </c>
    </row>
    <row r="1110" spans="1:32" x14ac:dyDescent="0.25">
      <c r="A1110">
        <v>35</v>
      </c>
      <c r="B1110" t="s">
        <v>32</v>
      </c>
      <c r="C1110" t="s">
        <v>50</v>
      </c>
      <c r="D1110" t="s">
        <v>34</v>
      </c>
      <c r="E1110" t="s">
        <v>52</v>
      </c>
      <c r="F1110">
        <v>1</v>
      </c>
      <c r="G1110" t="s">
        <v>36</v>
      </c>
      <c r="H1110">
        <v>4</v>
      </c>
      <c r="I1110" t="s">
        <v>42</v>
      </c>
      <c r="J1110" t="s">
        <v>54</v>
      </c>
      <c r="K1110">
        <v>2</v>
      </c>
      <c r="L1110" t="s">
        <v>55</v>
      </c>
      <c r="M1110">
        <v>1</v>
      </c>
      <c r="N1110" t="s">
        <v>40</v>
      </c>
      <c r="O1110" t="s">
        <v>62</v>
      </c>
      <c r="P1110">
        <v>1</v>
      </c>
      <c r="Q1110" t="s">
        <v>57</v>
      </c>
      <c r="R1110" t="s">
        <v>43</v>
      </c>
      <c r="S1110">
        <v>1</v>
      </c>
      <c r="T1110" t="s">
        <v>44</v>
      </c>
      <c r="U1110" t="s">
        <v>59</v>
      </c>
      <c r="V1110">
        <v>19</v>
      </c>
      <c r="W1110" t="s">
        <v>45</v>
      </c>
      <c r="X1110">
        <v>3</v>
      </c>
      <c r="Y1110">
        <v>3</v>
      </c>
      <c r="Z1110" t="s">
        <v>61</v>
      </c>
      <c r="AA1110">
        <v>3</v>
      </c>
      <c r="AB1110" t="s">
        <v>48</v>
      </c>
      <c r="AC1110">
        <v>0</v>
      </c>
      <c r="AD1110" t="s">
        <v>48</v>
      </c>
      <c r="AE1110">
        <v>1</v>
      </c>
      <c r="AF1110" t="s">
        <v>49</v>
      </c>
    </row>
    <row r="1111" spans="1:32" x14ac:dyDescent="0.25">
      <c r="A1111">
        <v>30</v>
      </c>
      <c r="B1111" t="s">
        <v>32</v>
      </c>
      <c r="C1111" t="s">
        <v>50</v>
      </c>
      <c r="D1111" t="s">
        <v>34</v>
      </c>
      <c r="E1111" t="s">
        <v>35</v>
      </c>
      <c r="F1111">
        <v>29</v>
      </c>
      <c r="G1111" t="s">
        <v>66</v>
      </c>
      <c r="H1111">
        <v>3</v>
      </c>
      <c r="I1111" t="s">
        <v>42</v>
      </c>
      <c r="J1111" t="s">
        <v>54</v>
      </c>
      <c r="K1111">
        <v>3</v>
      </c>
      <c r="L1111" t="s">
        <v>39</v>
      </c>
      <c r="M1111">
        <v>3</v>
      </c>
      <c r="N1111" t="s">
        <v>68</v>
      </c>
      <c r="O1111" t="s">
        <v>41</v>
      </c>
      <c r="P1111">
        <v>2</v>
      </c>
      <c r="Q1111" t="s">
        <v>57</v>
      </c>
      <c r="R1111" t="s">
        <v>58</v>
      </c>
      <c r="S1111">
        <v>3</v>
      </c>
      <c r="T1111" t="s">
        <v>44</v>
      </c>
      <c r="U1111" t="s">
        <v>59</v>
      </c>
      <c r="V1111">
        <v>12</v>
      </c>
      <c r="W1111" t="s">
        <v>45</v>
      </c>
      <c r="X1111">
        <v>9</v>
      </c>
      <c r="Y1111">
        <v>3</v>
      </c>
      <c r="Z1111" t="s">
        <v>61</v>
      </c>
      <c r="AA1111">
        <v>4</v>
      </c>
      <c r="AB1111" t="s">
        <v>48</v>
      </c>
      <c r="AC1111">
        <v>2</v>
      </c>
      <c r="AD1111" t="s">
        <v>48</v>
      </c>
      <c r="AE1111">
        <v>1</v>
      </c>
      <c r="AF1111" t="s">
        <v>49</v>
      </c>
    </row>
    <row r="1112" spans="1:32" x14ac:dyDescent="0.25">
      <c r="A1112">
        <v>35</v>
      </c>
      <c r="B1112" t="s">
        <v>32</v>
      </c>
      <c r="C1112" t="s">
        <v>33</v>
      </c>
      <c r="D1112" t="s">
        <v>34</v>
      </c>
      <c r="E1112" t="s">
        <v>52</v>
      </c>
      <c r="F1112">
        <v>2</v>
      </c>
      <c r="G1112" t="s">
        <v>36</v>
      </c>
      <c r="H1112">
        <v>1</v>
      </c>
      <c r="I1112" t="s">
        <v>37</v>
      </c>
      <c r="J1112" t="s">
        <v>38</v>
      </c>
      <c r="K1112">
        <v>3</v>
      </c>
      <c r="L1112" t="s">
        <v>39</v>
      </c>
      <c r="M1112">
        <v>1</v>
      </c>
      <c r="N1112" t="s">
        <v>40</v>
      </c>
      <c r="O1112" t="s">
        <v>62</v>
      </c>
      <c r="P1112">
        <v>1</v>
      </c>
      <c r="Q1112" t="s">
        <v>57</v>
      </c>
      <c r="R1112" t="s">
        <v>67</v>
      </c>
      <c r="S1112">
        <v>1</v>
      </c>
      <c r="T1112" t="s">
        <v>44</v>
      </c>
      <c r="U1112" t="s">
        <v>44</v>
      </c>
      <c r="V1112">
        <v>12</v>
      </c>
      <c r="W1112" t="s">
        <v>45</v>
      </c>
      <c r="X1112">
        <v>1</v>
      </c>
      <c r="Y1112">
        <v>3</v>
      </c>
      <c r="Z1112" t="s">
        <v>61</v>
      </c>
      <c r="AA1112">
        <v>1</v>
      </c>
      <c r="AB1112" t="s">
        <v>48</v>
      </c>
      <c r="AC1112">
        <v>0</v>
      </c>
      <c r="AD1112" t="s">
        <v>48</v>
      </c>
      <c r="AE1112">
        <v>0</v>
      </c>
      <c r="AF1112" t="s">
        <v>49</v>
      </c>
    </row>
    <row r="1113" spans="1:32" x14ac:dyDescent="0.25">
      <c r="A1113">
        <v>53</v>
      </c>
      <c r="B1113" t="s">
        <v>64</v>
      </c>
      <c r="C1113" t="s">
        <v>33</v>
      </c>
      <c r="D1113" t="s">
        <v>34</v>
      </c>
      <c r="E1113" t="s">
        <v>52</v>
      </c>
      <c r="F1113">
        <v>2</v>
      </c>
      <c r="G1113" t="s">
        <v>36</v>
      </c>
      <c r="H1113">
        <v>3</v>
      </c>
      <c r="I1113" t="s">
        <v>42</v>
      </c>
      <c r="J1113" t="s">
        <v>38</v>
      </c>
      <c r="K1113">
        <v>2</v>
      </c>
      <c r="L1113" t="s">
        <v>55</v>
      </c>
      <c r="M1113">
        <v>3</v>
      </c>
      <c r="N1113" t="s">
        <v>68</v>
      </c>
      <c r="O1113" t="s">
        <v>69</v>
      </c>
      <c r="P1113">
        <v>4</v>
      </c>
      <c r="Q1113" t="s">
        <v>42</v>
      </c>
      <c r="R1113" t="s">
        <v>58</v>
      </c>
      <c r="S1113">
        <v>0</v>
      </c>
      <c r="T1113" t="s">
        <v>44</v>
      </c>
      <c r="U1113" t="s">
        <v>59</v>
      </c>
      <c r="V1113">
        <v>16</v>
      </c>
      <c r="W1113" t="s">
        <v>45</v>
      </c>
      <c r="X1113">
        <v>34</v>
      </c>
      <c r="Y1113">
        <v>3</v>
      </c>
      <c r="Z1113" t="s">
        <v>61</v>
      </c>
      <c r="AA1113">
        <v>33</v>
      </c>
      <c r="AB1113" t="s">
        <v>74</v>
      </c>
      <c r="AC1113">
        <v>7</v>
      </c>
      <c r="AD1113" t="s">
        <v>47</v>
      </c>
      <c r="AE1113">
        <v>1</v>
      </c>
      <c r="AF1113" t="s">
        <v>49</v>
      </c>
    </row>
    <row r="1114" spans="1:32" x14ac:dyDescent="0.25">
      <c r="A1114">
        <v>38</v>
      </c>
      <c r="B1114" t="s">
        <v>32</v>
      </c>
      <c r="C1114" t="s">
        <v>33</v>
      </c>
      <c r="D1114" t="s">
        <v>34</v>
      </c>
      <c r="E1114" t="s">
        <v>52</v>
      </c>
      <c r="F1114">
        <v>2</v>
      </c>
      <c r="G1114" t="s">
        <v>36</v>
      </c>
      <c r="H1114">
        <v>3</v>
      </c>
      <c r="I1114" t="s">
        <v>42</v>
      </c>
      <c r="J1114" t="s">
        <v>54</v>
      </c>
      <c r="K1114">
        <v>3</v>
      </c>
      <c r="L1114" t="s">
        <v>39</v>
      </c>
      <c r="M1114">
        <v>2</v>
      </c>
      <c r="N1114" t="s">
        <v>40</v>
      </c>
      <c r="O1114" t="s">
        <v>69</v>
      </c>
      <c r="P1114">
        <v>2</v>
      </c>
      <c r="Q1114" t="s">
        <v>57</v>
      </c>
      <c r="R1114" t="s">
        <v>58</v>
      </c>
      <c r="S1114">
        <v>4</v>
      </c>
      <c r="T1114" t="s">
        <v>44</v>
      </c>
      <c r="U1114" t="s">
        <v>59</v>
      </c>
      <c r="V1114">
        <v>11</v>
      </c>
      <c r="W1114" t="s">
        <v>45</v>
      </c>
      <c r="X1114">
        <v>7</v>
      </c>
      <c r="Y1114">
        <v>3</v>
      </c>
      <c r="Z1114" t="s">
        <v>61</v>
      </c>
      <c r="AA1114">
        <v>5</v>
      </c>
      <c r="AB1114" t="s">
        <v>47</v>
      </c>
      <c r="AC1114">
        <v>2</v>
      </c>
      <c r="AD1114" t="s">
        <v>48</v>
      </c>
      <c r="AE1114">
        <v>1</v>
      </c>
      <c r="AF1114" t="s">
        <v>49</v>
      </c>
    </row>
    <row r="1115" spans="1:32" x14ac:dyDescent="0.25">
      <c r="A1115">
        <v>32</v>
      </c>
      <c r="B1115" t="s">
        <v>32</v>
      </c>
      <c r="C1115" t="s">
        <v>50</v>
      </c>
      <c r="D1115" t="s">
        <v>34</v>
      </c>
      <c r="E1115" t="s">
        <v>52</v>
      </c>
      <c r="F1115">
        <v>1</v>
      </c>
      <c r="G1115" t="s">
        <v>36</v>
      </c>
      <c r="H1115">
        <v>4</v>
      </c>
      <c r="I1115" t="s">
        <v>42</v>
      </c>
      <c r="J1115" t="s">
        <v>54</v>
      </c>
      <c r="K1115">
        <v>3</v>
      </c>
      <c r="L1115" t="s">
        <v>39</v>
      </c>
      <c r="M1115">
        <v>2</v>
      </c>
      <c r="N1115" t="s">
        <v>40</v>
      </c>
      <c r="O1115" t="s">
        <v>56</v>
      </c>
      <c r="P1115">
        <v>1</v>
      </c>
      <c r="Q1115" t="s">
        <v>57</v>
      </c>
      <c r="R1115" t="s">
        <v>58</v>
      </c>
      <c r="S1115">
        <v>4</v>
      </c>
      <c r="T1115" t="s">
        <v>44</v>
      </c>
      <c r="U1115" t="s">
        <v>59</v>
      </c>
      <c r="V1115">
        <v>14</v>
      </c>
      <c r="W1115" t="s">
        <v>45</v>
      </c>
      <c r="X1115">
        <v>9</v>
      </c>
      <c r="Y1115">
        <v>2</v>
      </c>
      <c r="Z1115" t="s">
        <v>46</v>
      </c>
      <c r="AA1115">
        <v>6</v>
      </c>
      <c r="AB1115" t="s">
        <v>47</v>
      </c>
      <c r="AC1115">
        <v>5</v>
      </c>
      <c r="AD1115" t="s">
        <v>47</v>
      </c>
      <c r="AE1115">
        <v>1</v>
      </c>
      <c r="AF1115" t="s">
        <v>49</v>
      </c>
    </row>
    <row r="1116" spans="1:32" x14ac:dyDescent="0.25">
      <c r="A1116">
        <v>48</v>
      </c>
      <c r="B1116" t="s">
        <v>32</v>
      </c>
      <c r="C1116" t="s">
        <v>50</v>
      </c>
      <c r="D1116" t="s">
        <v>34</v>
      </c>
      <c r="E1116" t="s">
        <v>52</v>
      </c>
      <c r="F1116">
        <v>15</v>
      </c>
      <c r="G1116" t="s">
        <v>66</v>
      </c>
      <c r="H1116">
        <v>3</v>
      </c>
      <c r="I1116" t="s">
        <v>42</v>
      </c>
      <c r="J1116" t="s">
        <v>38</v>
      </c>
      <c r="K1116">
        <v>3</v>
      </c>
      <c r="L1116" t="s">
        <v>39</v>
      </c>
      <c r="M1116">
        <v>1</v>
      </c>
      <c r="N1116" t="s">
        <v>40</v>
      </c>
      <c r="O1116" t="s">
        <v>56</v>
      </c>
      <c r="P1116">
        <v>1</v>
      </c>
      <c r="Q1116" t="s">
        <v>57</v>
      </c>
      <c r="R1116" t="s">
        <v>58</v>
      </c>
      <c r="S1116">
        <v>8</v>
      </c>
      <c r="T1116" t="s">
        <v>44</v>
      </c>
      <c r="U1116" t="s">
        <v>59</v>
      </c>
      <c r="V1116">
        <v>12</v>
      </c>
      <c r="W1116" t="s">
        <v>45</v>
      </c>
      <c r="X1116">
        <v>10</v>
      </c>
      <c r="Y1116">
        <v>2</v>
      </c>
      <c r="Z1116" t="s">
        <v>46</v>
      </c>
      <c r="AA1116">
        <v>8</v>
      </c>
      <c r="AB1116" t="s">
        <v>47</v>
      </c>
      <c r="AC1116">
        <v>2</v>
      </c>
      <c r="AD1116" t="s">
        <v>48</v>
      </c>
      <c r="AE1116">
        <v>7</v>
      </c>
      <c r="AF1116" t="s">
        <v>71</v>
      </c>
    </row>
    <row r="1117" spans="1:32" x14ac:dyDescent="0.25">
      <c r="A1117">
        <v>34</v>
      </c>
      <c r="B1117" t="s">
        <v>32</v>
      </c>
      <c r="C1117" t="s">
        <v>50</v>
      </c>
      <c r="D1117" t="s">
        <v>34</v>
      </c>
      <c r="E1117" t="s">
        <v>52</v>
      </c>
      <c r="F1117">
        <v>7</v>
      </c>
      <c r="G1117" t="s">
        <v>53</v>
      </c>
      <c r="H1117">
        <v>1</v>
      </c>
      <c r="I1117" t="s">
        <v>37</v>
      </c>
      <c r="J1117" t="s">
        <v>54</v>
      </c>
      <c r="K1117">
        <v>3</v>
      </c>
      <c r="L1117" t="s">
        <v>39</v>
      </c>
      <c r="M1117">
        <v>1</v>
      </c>
      <c r="N1117" t="s">
        <v>40</v>
      </c>
      <c r="O1117" t="s">
        <v>56</v>
      </c>
      <c r="P1117">
        <v>4</v>
      </c>
      <c r="Q1117" t="s">
        <v>42</v>
      </c>
      <c r="R1117" t="s">
        <v>43</v>
      </c>
      <c r="S1117">
        <v>1</v>
      </c>
      <c r="T1117" t="s">
        <v>44</v>
      </c>
      <c r="U1117" t="s">
        <v>59</v>
      </c>
      <c r="V1117">
        <v>13</v>
      </c>
      <c r="W1117" t="s">
        <v>45</v>
      </c>
      <c r="X1117">
        <v>1</v>
      </c>
      <c r="Y1117">
        <v>1</v>
      </c>
      <c r="Z1117" t="s">
        <v>46</v>
      </c>
      <c r="AA1117">
        <v>1</v>
      </c>
      <c r="AB1117" t="s">
        <v>48</v>
      </c>
      <c r="AC1117">
        <v>0</v>
      </c>
      <c r="AD1117" t="s">
        <v>48</v>
      </c>
      <c r="AE1117">
        <v>0</v>
      </c>
      <c r="AF1117" t="s">
        <v>49</v>
      </c>
    </row>
    <row r="1118" spans="1:32" x14ac:dyDescent="0.25">
      <c r="A1118">
        <v>55</v>
      </c>
      <c r="B1118" t="s">
        <v>64</v>
      </c>
      <c r="C1118" t="s">
        <v>50</v>
      </c>
      <c r="D1118" t="s">
        <v>34</v>
      </c>
      <c r="E1118" t="s">
        <v>35</v>
      </c>
      <c r="F1118">
        <v>26</v>
      </c>
      <c r="G1118" t="s">
        <v>66</v>
      </c>
      <c r="H1118">
        <v>3</v>
      </c>
      <c r="I1118" t="s">
        <v>42</v>
      </c>
      <c r="J1118" t="s">
        <v>54</v>
      </c>
      <c r="K1118">
        <v>2</v>
      </c>
      <c r="L1118" t="s">
        <v>55</v>
      </c>
      <c r="M1118">
        <v>5</v>
      </c>
      <c r="N1118" t="s">
        <v>72</v>
      </c>
      <c r="O1118" t="s">
        <v>73</v>
      </c>
      <c r="P1118">
        <v>4</v>
      </c>
      <c r="Q1118" t="s">
        <v>42</v>
      </c>
      <c r="R1118" t="s">
        <v>58</v>
      </c>
      <c r="S1118">
        <v>1</v>
      </c>
      <c r="T1118" t="s">
        <v>44</v>
      </c>
      <c r="U1118" t="s">
        <v>59</v>
      </c>
      <c r="V1118">
        <v>21</v>
      </c>
      <c r="W1118" t="s">
        <v>60</v>
      </c>
      <c r="X1118">
        <v>36</v>
      </c>
      <c r="Y1118">
        <v>3</v>
      </c>
      <c r="Z1118" t="s">
        <v>61</v>
      </c>
      <c r="AA1118">
        <v>36</v>
      </c>
      <c r="AB1118" t="s">
        <v>74</v>
      </c>
      <c r="AC1118">
        <v>6</v>
      </c>
      <c r="AD1118" t="s">
        <v>47</v>
      </c>
      <c r="AE1118">
        <v>2</v>
      </c>
      <c r="AF1118" t="s">
        <v>49</v>
      </c>
    </row>
    <row r="1119" spans="1:32" x14ac:dyDescent="0.25">
      <c r="A1119">
        <v>34</v>
      </c>
      <c r="B1119" t="s">
        <v>32</v>
      </c>
      <c r="C1119" t="s">
        <v>50</v>
      </c>
      <c r="D1119" t="s">
        <v>34</v>
      </c>
      <c r="E1119" t="s">
        <v>52</v>
      </c>
      <c r="F1119">
        <v>1</v>
      </c>
      <c r="G1119" t="s">
        <v>36</v>
      </c>
      <c r="H1119">
        <v>2</v>
      </c>
      <c r="I1119" t="s">
        <v>37</v>
      </c>
      <c r="J1119" t="s">
        <v>54</v>
      </c>
      <c r="K1119">
        <v>3</v>
      </c>
      <c r="L1119" t="s">
        <v>39</v>
      </c>
      <c r="M1119">
        <v>2</v>
      </c>
      <c r="N1119" t="s">
        <v>40</v>
      </c>
      <c r="O1119" t="s">
        <v>56</v>
      </c>
      <c r="P1119">
        <v>4</v>
      </c>
      <c r="Q1119" t="s">
        <v>42</v>
      </c>
      <c r="R1119" t="s">
        <v>58</v>
      </c>
      <c r="S1119">
        <v>9</v>
      </c>
      <c r="T1119" t="s">
        <v>44</v>
      </c>
      <c r="U1119" t="s">
        <v>59</v>
      </c>
      <c r="V1119">
        <v>17</v>
      </c>
      <c r="W1119" t="s">
        <v>45</v>
      </c>
      <c r="X1119">
        <v>9</v>
      </c>
      <c r="Y1119">
        <v>2</v>
      </c>
      <c r="Z1119" t="s">
        <v>46</v>
      </c>
      <c r="AA1119">
        <v>2</v>
      </c>
      <c r="AB1119" t="s">
        <v>48</v>
      </c>
      <c r="AC1119">
        <v>2</v>
      </c>
      <c r="AD1119" t="s">
        <v>48</v>
      </c>
      <c r="AE1119">
        <v>2</v>
      </c>
      <c r="AF1119" t="s">
        <v>49</v>
      </c>
    </row>
    <row r="1120" spans="1:32" x14ac:dyDescent="0.25">
      <c r="A1120">
        <v>26</v>
      </c>
      <c r="B1120" t="s">
        <v>63</v>
      </c>
      <c r="C1120" t="s">
        <v>50</v>
      </c>
      <c r="D1120" t="s">
        <v>34</v>
      </c>
      <c r="E1120" t="s">
        <v>52</v>
      </c>
      <c r="F1120">
        <v>3</v>
      </c>
      <c r="G1120" t="s">
        <v>36</v>
      </c>
      <c r="H1120">
        <v>1</v>
      </c>
      <c r="I1120" t="s">
        <v>37</v>
      </c>
      <c r="J1120" t="s">
        <v>38</v>
      </c>
      <c r="K1120">
        <v>3</v>
      </c>
      <c r="L1120" t="s">
        <v>39</v>
      </c>
      <c r="M1120">
        <v>1</v>
      </c>
      <c r="N1120" t="s">
        <v>40</v>
      </c>
      <c r="O1120" t="s">
        <v>56</v>
      </c>
      <c r="P1120">
        <v>4</v>
      </c>
      <c r="Q1120" t="s">
        <v>42</v>
      </c>
      <c r="R1120" t="s">
        <v>58</v>
      </c>
      <c r="S1120">
        <v>1</v>
      </c>
      <c r="T1120" t="s">
        <v>44</v>
      </c>
      <c r="U1120" t="s">
        <v>59</v>
      </c>
      <c r="V1120">
        <v>21</v>
      </c>
      <c r="W1120" t="s">
        <v>60</v>
      </c>
      <c r="X1120">
        <v>1</v>
      </c>
      <c r="Y1120">
        <v>3</v>
      </c>
      <c r="Z1120" t="s">
        <v>61</v>
      </c>
      <c r="AA1120">
        <v>1</v>
      </c>
      <c r="AB1120" t="s">
        <v>48</v>
      </c>
      <c r="AC1120">
        <v>0</v>
      </c>
      <c r="AD1120" t="s">
        <v>48</v>
      </c>
      <c r="AE1120">
        <v>0</v>
      </c>
      <c r="AF1120" t="s">
        <v>49</v>
      </c>
    </row>
    <row r="1121" spans="1:32" x14ac:dyDescent="0.25">
      <c r="A1121">
        <v>38</v>
      </c>
      <c r="B1121" t="s">
        <v>32</v>
      </c>
      <c r="C1121" t="s">
        <v>50</v>
      </c>
      <c r="D1121" t="s">
        <v>34</v>
      </c>
      <c r="E1121" t="s">
        <v>35</v>
      </c>
      <c r="F1121">
        <v>14</v>
      </c>
      <c r="G1121" t="s">
        <v>53</v>
      </c>
      <c r="H1121">
        <v>3</v>
      </c>
      <c r="I1121" t="s">
        <v>42</v>
      </c>
      <c r="J1121" t="s">
        <v>54</v>
      </c>
      <c r="K1121">
        <v>3</v>
      </c>
      <c r="L1121" t="s">
        <v>39</v>
      </c>
      <c r="M1121">
        <v>2</v>
      </c>
      <c r="N1121" t="s">
        <v>40</v>
      </c>
      <c r="O1121" t="s">
        <v>41</v>
      </c>
      <c r="P1121">
        <v>2</v>
      </c>
      <c r="Q1121" t="s">
        <v>57</v>
      </c>
      <c r="R1121" t="s">
        <v>58</v>
      </c>
      <c r="S1121">
        <v>0</v>
      </c>
      <c r="T1121" t="s">
        <v>44</v>
      </c>
      <c r="U1121" t="s">
        <v>59</v>
      </c>
      <c r="V1121">
        <v>11</v>
      </c>
      <c r="W1121" t="s">
        <v>45</v>
      </c>
      <c r="X1121">
        <v>10</v>
      </c>
      <c r="Y1121">
        <v>3</v>
      </c>
      <c r="Z1121" t="s">
        <v>61</v>
      </c>
      <c r="AA1121">
        <v>9</v>
      </c>
      <c r="AB1121" t="s">
        <v>47</v>
      </c>
      <c r="AC1121">
        <v>8</v>
      </c>
      <c r="AD1121" t="s">
        <v>47</v>
      </c>
      <c r="AE1121">
        <v>7</v>
      </c>
      <c r="AF1121" t="s">
        <v>71</v>
      </c>
    </row>
    <row r="1122" spans="1:32" x14ac:dyDescent="0.25">
      <c r="A1122">
        <v>38</v>
      </c>
      <c r="B1122" t="s">
        <v>32</v>
      </c>
      <c r="C1122" t="s">
        <v>50</v>
      </c>
      <c r="D1122" t="s">
        <v>34</v>
      </c>
      <c r="E1122" t="s">
        <v>35</v>
      </c>
      <c r="F1122">
        <v>16</v>
      </c>
      <c r="G1122" t="s">
        <v>66</v>
      </c>
      <c r="H1122">
        <v>2</v>
      </c>
      <c r="I1122" t="s">
        <v>37</v>
      </c>
      <c r="J1122" t="s">
        <v>38</v>
      </c>
      <c r="K1122">
        <v>3</v>
      </c>
      <c r="L1122" t="s">
        <v>39</v>
      </c>
      <c r="M1122">
        <v>2</v>
      </c>
      <c r="N1122" t="s">
        <v>40</v>
      </c>
      <c r="O1122" t="s">
        <v>41</v>
      </c>
      <c r="P1122">
        <v>2</v>
      </c>
      <c r="Q1122" t="s">
        <v>57</v>
      </c>
      <c r="R1122" t="s">
        <v>43</v>
      </c>
      <c r="S1122">
        <v>2</v>
      </c>
      <c r="T1122" t="s">
        <v>44</v>
      </c>
      <c r="U1122" t="s">
        <v>59</v>
      </c>
      <c r="V1122">
        <v>12</v>
      </c>
      <c r="W1122" t="s">
        <v>45</v>
      </c>
      <c r="X1122">
        <v>8</v>
      </c>
      <c r="Y1122">
        <v>4</v>
      </c>
      <c r="Z1122" t="s">
        <v>61</v>
      </c>
      <c r="AA1122">
        <v>3</v>
      </c>
      <c r="AB1122" t="s">
        <v>48</v>
      </c>
      <c r="AC1122">
        <v>2</v>
      </c>
      <c r="AD1122" t="s">
        <v>48</v>
      </c>
      <c r="AE1122">
        <v>1</v>
      </c>
      <c r="AF1122" t="s">
        <v>49</v>
      </c>
    </row>
    <row r="1123" spans="1:32" x14ac:dyDescent="0.25">
      <c r="A1123">
        <v>36</v>
      </c>
      <c r="B1123" t="s">
        <v>32</v>
      </c>
      <c r="C1123" t="s">
        <v>50</v>
      </c>
      <c r="D1123" t="s">
        <v>34</v>
      </c>
      <c r="E1123" t="s">
        <v>35</v>
      </c>
      <c r="F1123">
        <v>1</v>
      </c>
      <c r="G1123" t="s">
        <v>36</v>
      </c>
      <c r="H1123">
        <v>2</v>
      </c>
      <c r="I1123" t="s">
        <v>37</v>
      </c>
      <c r="J1123" t="s">
        <v>38</v>
      </c>
      <c r="K1123">
        <v>3</v>
      </c>
      <c r="L1123" t="s">
        <v>39</v>
      </c>
      <c r="M1123">
        <v>2</v>
      </c>
      <c r="N1123" t="s">
        <v>40</v>
      </c>
      <c r="O1123" t="s">
        <v>41</v>
      </c>
      <c r="P1123">
        <v>3</v>
      </c>
      <c r="Q1123" t="s">
        <v>42</v>
      </c>
      <c r="R1123" t="s">
        <v>43</v>
      </c>
      <c r="S1123">
        <v>6</v>
      </c>
      <c r="T1123" t="s">
        <v>44</v>
      </c>
      <c r="U1123" t="s">
        <v>59</v>
      </c>
      <c r="V1123">
        <v>13</v>
      </c>
      <c r="W1123" t="s">
        <v>45</v>
      </c>
      <c r="X1123">
        <v>15</v>
      </c>
      <c r="Y1123">
        <v>3</v>
      </c>
      <c r="Z1123" t="s">
        <v>61</v>
      </c>
      <c r="AA1123">
        <v>1</v>
      </c>
      <c r="AB1123" t="s">
        <v>48</v>
      </c>
      <c r="AC1123">
        <v>0</v>
      </c>
      <c r="AD1123" t="s">
        <v>48</v>
      </c>
      <c r="AE1123">
        <v>0</v>
      </c>
      <c r="AF1123" t="s">
        <v>49</v>
      </c>
    </row>
    <row r="1124" spans="1:32" x14ac:dyDescent="0.25">
      <c r="A1124">
        <v>29</v>
      </c>
      <c r="B1124" t="s">
        <v>63</v>
      </c>
      <c r="C1124" t="s">
        <v>50</v>
      </c>
      <c r="D1124" t="s">
        <v>34</v>
      </c>
      <c r="E1124" t="s">
        <v>52</v>
      </c>
      <c r="F1124">
        <v>3</v>
      </c>
      <c r="G1124" t="s">
        <v>36</v>
      </c>
      <c r="H1124">
        <v>2</v>
      </c>
      <c r="I1124" t="s">
        <v>37</v>
      </c>
      <c r="J1124" t="s">
        <v>54</v>
      </c>
      <c r="K1124">
        <v>3</v>
      </c>
      <c r="L1124" t="s">
        <v>39</v>
      </c>
      <c r="M1124">
        <v>1</v>
      </c>
      <c r="N1124" t="s">
        <v>40</v>
      </c>
      <c r="O1124" t="s">
        <v>62</v>
      </c>
      <c r="P1124">
        <v>1</v>
      </c>
      <c r="Q1124" t="s">
        <v>57</v>
      </c>
      <c r="R1124" t="s">
        <v>43</v>
      </c>
      <c r="S1124">
        <v>1</v>
      </c>
      <c r="T1124" t="s">
        <v>44</v>
      </c>
      <c r="U1124" t="s">
        <v>44</v>
      </c>
      <c r="V1124">
        <v>18</v>
      </c>
      <c r="W1124" t="s">
        <v>45</v>
      </c>
      <c r="X1124">
        <v>10</v>
      </c>
      <c r="Y1124">
        <v>3</v>
      </c>
      <c r="Z1124" t="s">
        <v>61</v>
      </c>
      <c r="AA1124">
        <v>10</v>
      </c>
      <c r="AB1124" t="s">
        <v>47</v>
      </c>
      <c r="AC1124">
        <v>9</v>
      </c>
      <c r="AD1124" t="s">
        <v>47</v>
      </c>
      <c r="AE1124">
        <v>1</v>
      </c>
      <c r="AF1124" t="s">
        <v>49</v>
      </c>
    </row>
    <row r="1125" spans="1:32" x14ac:dyDescent="0.25">
      <c r="A1125">
        <v>35</v>
      </c>
      <c r="B1125" t="s">
        <v>32</v>
      </c>
      <c r="C1125" t="s">
        <v>50</v>
      </c>
      <c r="D1125" t="s">
        <v>34</v>
      </c>
      <c r="E1125" t="s">
        <v>52</v>
      </c>
      <c r="F1125">
        <v>10</v>
      </c>
      <c r="G1125" t="s">
        <v>53</v>
      </c>
      <c r="H1125">
        <v>1</v>
      </c>
      <c r="I1125" t="s">
        <v>37</v>
      </c>
      <c r="J1125" t="s">
        <v>38</v>
      </c>
      <c r="K1125">
        <v>3</v>
      </c>
      <c r="L1125" t="s">
        <v>39</v>
      </c>
      <c r="M1125">
        <v>2</v>
      </c>
      <c r="N1125" t="s">
        <v>40</v>
      </c>
      <c r="O1125" t="s">
        <v>70</v>
      </c>
      <c r="P1125">
        <v>3</v>
      </c>
      <c r="Q1125" t="s">
        <v>42</v>
      </c>
      <c r="R1125" t="s">
        <v>43</v>
      </c>
      <c r="S1125">
        <v>3</v>
      </c>
      <c r="T1125" t="s">
        <v>44</v>
      </c>
      <c r="U1125" t="s">
        <v>44</v>
      </c>
      <c r="V1125">
        <v>16</v>
      </c>
      <c r="W1125" t="s">
        <v>45</v>
      </c>
      <c r="X1125">
        <v>10</v>
      </c>
      <c r="Y1125">
        <v>3</v>
      </c>
      <c r="Z1125" t="s">
        <v>61</v>
      </c>
      <c r="AA1125">
        <v>5</v>
      </c>
      <c r="AB1125" t="s">
        <v>47</v>
      </c>
      <c r="AC1125">
        <v>2</v>
      </c>
      <c r="AD1125" t="s">
        <v>48</v>
      </c>
      <c r="AE1125">
        <v>0</v>
      </c>
      <c r="AF1125" t="s">
        <v>49</v>
      </c>
    </row>
    <row r="1126" spans="1:32" x14ac:dyDescent="0.25">
      <c r="A1126">
        <v>39</v>
      </c>
      <c r="B1126" t="s">
        <v>32</v>
      </c>
      <c r="C1126" t="s">
        <v>50</v>
      </c>
      <c r="D1126" t="s">
        <v>34</v>
      </c>
      <c r="E1126" t="s">
        <v>35</v>
      </c>
      <c r="F1126">
        <v>6</v>
      </c>
      <c r="G1126" t="s">
        <v>53</v>
      </c>
      <c r="H1126">
        <v>4</v>
      </c>
      <c r="I1126" t="s">
        <v>42</v>
      </c>
      <c r="J1126" t="s">
        <v>54</v>
      </c>
      <c r="K1126">
        <v>4</v>
      </c>
      <c r="L1126" t="s">
        <v>65</v>
      </c>
      <c r="M1126">
        <v>3</v>
      </c>
      <c r="N1126" t="s">
        <v>68</v>
      </c>
      <c r="O1126" t="s">
        <v>41</v>
      </c>
      <c r="P1126">
        <v>3</v>
      </c>
      <c r="Q1126" t="s">
        <v>42</v>
      </c>
      <c r="R1126" t="s">
        <v>58</v>
      </c>
      <c r="S1126">
        <v>2</v>
      </c>
      <c r="T1126" t="s">
        <v>44</v>
      </c>
      <c r="U1126" t="s">
        <v>59</v>
      </c>
      <c r="V1126">
        <v>11</v>
      </c>
      <c r="W1126" t="s">
        <v>45</v>
      </c>
      <c r="X1126">
        <v>11</v>
      </c>
      <c r="Y1126">
        <v>3</v>
      </c>
      <c r="Z1126" t="s">
        <v>61</v>
      </c>
      <c r="AA1126">
        <v>7</v>
      </c>
      <c r="AB1126" t="s">
        <v>47</v>
      </c>
      <c r="AC1126">
        <v>6</v>
      </c>
      <c r="AD1126" t="s">
        <v>47</v>
      </c>
      <c r="AE1126">
        <v>7</v>
      </c>
      <c r="AF1126" t="s">
        <v>71</v>
      </c>
    </row>
    <row r="1127" spans="1:32" x14ac:dyDescent="0.25">
      <c r="A1127">
        <v>29</v>
      </c>
      <c r="B1127" t="s">
        <v>63</v>
      </c>
      <c r="C1127" t="s">
        <v>50</v>
      </c>
      <c r="D1127" t="s">
        <v>51</v>
      </c>
      <c r="E1127" t="s">
        <v>52</v>
      </c>
      <c r="F1127">
        <v>2</v>
      </c>
      <c r="G1127" t="s">
        <v>36</v>
      </c>
      <c r="H1127">
        <v>1</v>
      </c>
      <c r="I1127" t="s">
        <v>37</v>
      </c>
      <c r="J1127" t="s">
        <v>54</v>
      </c>
      <c r="K1127">
        <v>3</v>
      </c>
      <c r="L1127" t="s">
        <v>39</v>
      </c>
      <c r="M1127">
        <v>2</v>
      </c>
      <c r="N1127" t="s">
        <v>40</v>
      </c>
      <c r="O1127" t="s">
        <v>70</v>
      </c>
      <c r="P1127">
        <v>4</v>
      </c>
      <c r="Q1127" t="s">
        <v>42</v>
      </c>
      <c r="R1127" t="s">
        <v>67</v>
      </c>
      <c r="S1127">
        <v>1</v>
      </c>
      <c r="T1127" t="s">
        <v>44</v>
      </c>
      <c r="U1127" t="s">
        <v>59</v>
      </c>
      <c r="V1127">
        <v>19</v>
      </c>
      <c r="W1127" t="s">
        <v>45</v>
      </c>
      <c r="X1127">
        <v>6</v>
      </c>
      <c r="Y1127">
        <v>4</v>
      </c>
      <c r="Z1127" t="s">
        <v>61</v>
      </c>
      <c r="AA1127">
        <v>6</v>
      </c>
      <c r="AB1127" t="s">
        <v>47</v>
      </c>
      <c r="AC1127">
        <v>4</v>
      </c>
      <c r="AD1127" t="s">
        <v>48</v>
      </c>
      <c r="AE1127">
        <v>1</v>
      </c>
      <c r="AF1127" t="s">
        <v>49</v>
      </c>
    </row>
    <row r="1128" spans="1:32" x14ac:dyDescent="0.25">
      <c r="A1128">
        <v>50</v>
      </c>
      <c r="B1128" t="s">
        <v>32</v>
      </c>
      <c r="C1128" t="s">
        <v>50</v>
      </c>
      <c r="D1128" t="s">
        <v>34</v>
      </c>
      <c r="E1128" t="s">
        <v>35</v>
      </c>
      <c r="F1128">
        <v>9</v>
      </c>
      <c r="G1128" t="s">
        <v>53</v>
      </c>
      <c r="H1128">
        <v>3</v>
      </c>
      <c r="I1128" t="s">
        <v>42</v>
      </c>
      <c r="J1128" t="s">
        <v>54</v>
      </c>
      <c r="K1128">
        <v>3</v>
      </c>
      <c r="L1128" t="s">
        <v>39</v>
      </c>
      <c r="M1128">
        <v>5</v>
      </c>
      <c r="N1128" t="s">
        <v>72</v>
      </c>
      <c r="O1128" t="s">
        <v>73</v>
      </c>
      <c r="P1128">
        <v>3</v>
      </c>
      <c r="Q1128" t="s">
        <v>42</v>
      </c>
      <c r="R1128" t="s">
        <v>58</v>
      </c>
      <c r="S1128">
        <v>4</v>
      </c>
      <c r="T1128" t="s">
        <v>44</v>
      </c>
      <c r="U1128" t="s">
        <v>44</v>
      </c>
      <c r="V1128">
        <v>16</v>
      </c>
      <c r="W1128" t="s">
        <v>45</v>
      </c>
      <c r="X1128">
        <v>27</v>
      </c>
      <c r="Y1128">
        <v>3</v>
      </c>
      <c r="Z1128" t="s">
        <v>61</v>
      </c>
      <c r="AA1128">
        <v>1</v>
      </c>
      <c r="AB1128" t="s">
        <v>48</v>
      </c>
      <c r="AC1128">
        <v>0</v>
      </c>
      <c r="AD1128" t="s">
        <v>48</v>
      </c>
      <c r="AE1128">
        <v>0</v>
      </c>
      <c r="AF1128" t="s">
        <v>49</v>
      </c>
    </row>
    <row r="1129" spans="1:32" x14ac:dyDescent="0.25">
      <c r="A1129">
        <v>23</v>
      </c>
      <c r="B1129" t="s">
        <v>63</v>
      </c>
      <c r="C1129" t="s">
        <v>50</v>
      </c>
      <c r="D1129" t="s">
        <v>34</v>
      </c>
      <c r="E1129" t="s">
        <v>52</v>
      </c>
      <c r="F1129">
        <v>10</v>
      </c>
      <c r="G1129" t="s">
        <v>53</v>
      </c>
      <c r="H1129">
        <v>4</v>
      </c>
      <c r="I1129" t="s">
        <v>42</v>
      </c>
      <c r="J1129" t="s">
        <v>54</v>
      </c>
      <c r="K1129">
        <v>4</v>
      </c>
      <c r="L1129" t="s">
        <v>65</v>
      </c>
      <c r="M1129">
        <v>1</v>
      </c>
      <c r="N1129" t="s">
        <v>40</v>
      </c>
      <c r="O1129" t="s">
        <v>56</v>
      </c>
      <c r="P1129">
        <v>3</v>
      </c>
      <c r="Q1129" t="s">
        <v>42</v>
      </c>
      <c r="R1129" t="s">
        <v>58</v>
      </c>
      <c r="S1129">
        <v>2</v>
      </c>
      <c r="T1129" t="s">
        <v>44</v>
      </c>
      <c r="U1129" t="s">
        <v>59</v>
      </c>
      <c r="V1129">
        <v>16</v>
      </c>
      <c r="W1129" t="s">
        <v>45</v>
      </c>
      <c r="X1129">
        <v>4</v>
      </c>
      <c r="Y1129">
        <v>3</v>
      </c>
      <c r="Z1129" t="s">
        <v>61</v>
      </c>
      <c r="AA1129">
        <v>2</v>
      </c>
      <c r="AB1129" t="s">
        <v>48</v>
      </c>
      <c r="AC1129">
        <v>2</v>
      </c>
      <c r="AD1129" t="s">
        <v>48</v>
      </c>
      <c r="AE1129">
        <v>2</v>
      </c>
      <c r="AF1129" t="s">
        <v>49</v>
      </c>
    </row>
    <row r="1130" spans="1:32" x14ac:dyDescent="0.25">
      <c r="A1130">
        <v>36</v>
      </c>
      <c r="B1130" t="s">
        <v>32</v>
      </c>
      <c r="C1130" t="s">
        <v>50</v>
      </c>
      <c r="D1130" t="s">
        <v>51</v>
      </c>
      <c r="E1130" t="s">
        <v>52</v>
      </c>
      <c r="F1130">
        <v>6</v>
      </c>
      <c r="G1130" t="s">
        <v>53</v>
      </c>
      <c r="H1130">
        <v>1</v>
      </c>
      <c r="I1130" t="s">
        <v>37</v>
      </c>
      <c r="J1130" t="s">
        <v>54</v>
      </c>
      <c r="K1130">
        <v>4</v>
      </c>
      <c r="L1130" t="s">
        <v>65</v>
      </c>
      <c r="M1130">
        <v>2</v>
      </c>
      <c r="N1130" t="s">
        <v>40</v>
      </c>
      <c r="O1130" t="s">
        <v>62</v>
      </c>
      <c r="P1130">
        <v>1</v>
      </c>
      <c r="Q1130" t="s">
        <v>57</v>
      </c>
      <c r="R1130" t="s">
        <v>58</v>
      </c>
      <c r="S1130">
        <v>3</v>
      </c>
      <c r="T1130" t="s">
        <v>44</v>
      </c>
      <c r="U1130" t="s">
        <v>44</v>
      </c>
      <c r="V1130">
        <v>13</v>
      </c>
      <c r="W1130" t="s">
        <v>45</v>
      </c>
      <c r="X1130">
        <v>9</v>
      </c>
      <c r="Y1130">
        <v>3</v>
      </c>
      <c r="Z1130" t="s">
        <v>61</v>
      </c>
      <c r="AA1130">
        <v>3</v>
      </c>
      <c r="AB1130" t="s">
        <v>48</v>
      </c>
      <c r="AC1130">
        <v>2</v>
      </c>
      <c r="AD1130" t="s">
        <v>48</v>
      </c>
      <c r="AE1130">
        <v>0</v>
      </c>
      <c r="AF1130" t="s">
        <v>49</v>
      </c>
    </row>
    <row r="1131" spans="1:32" x14ac:dyDescent="0.25">
      <c r="A1131">
        <v>42</v>
      </c>
      <c r="B1131" t="s">
        <v>32</v>
      </c>
      <c r="C1131" t="s">
        <v>50</v>
      </c>
      <c r="D1131" t="s">
        <v>34</v>
      </c>
      <c r="E1131" t="s">
        <v>52</v>
      </c>
      <c r="F1131">
        <v>9</v>
      </c>
      <c r="G1131" t="s">
        <v>53</v>
      </c>
      <c r="H1131">
        <v>4</v>
      </c>
      <c r="I1131" t="s">
        <v>42</v>
      </c>
      <c r="J1131" t="s">
        <v>54</v>
      </c>
      <c r="K1131">
        <v>2</v>
      </c>
      <c r="L1131" t="s">
        <v>55</v>
      </c>
      <c r="M1131">
        <v>5</v>
      </c>
      <c r="N1131" t="s">
        <v>72</v>
      </c>
      <c r="O1131" t="s">
        <v>73</v>
      </c>
      <c r="P1131">
        <v>4</v>
      </c>
      <c r="Q1131" t="s">
        <v>42</v>
      </c>
      <c r="R1131" t="s">
        <v>43</v>
      </c>
      <c r="S1131">
        <v>8</v>
      </c>
      <c r="T1131" t="s">
        <v>44</v>
      </c>
      <c r="U1131" t="s">
        <v>59</v>
      </c>
      <c r="V1131">
        <v>22</v>
      </c>
      <c r="W1131" t="s">
        <v>60</v>
      </c>
      <c r="X1131">
        <v>24</v>
      </c>
      <c r="Y1131">
        <v>3</v>
      </c>
      <c r="Z1131" t="s">
        <v>61</v>
      </c>
      <c r="AA1131">
        <v>1</v>
      </c>
      <c r="AB1131" t="s">
        <v>48</v>
      </c>
      <c r="AC1131">
        <v>0</v>
      </c>
      <c r="AD1131" t="s">
        <v>48</v>
      </c>
      <c r="AE1131">
        <v>0</v>
      </c>
      <c r="AF1131" t="s">
        <v>49</v>
      </c>
    </row>
    <row r="1132" spans="1:32" x14ac:dyDescent="0.25">
      <c r="A1132">
        <v>35</v>
      </c>
      <c r="B1132" t="s">
        <v>32</v>
      </c>
      <c r="C1132" t="s">
        <v>50</v>
      </c>
      <c r="D1132" t="s">
        <v>34</v>
      </c>
      <c r="E1132" t="s">
        <v>52</v>
      </c>
      <c r="F1132">
        <v>28</v>
      </c>
      <c r="G1132" t="s">
        <v>66</v>
      </c>
      <c r="H1132">
        <v>2</v>
      </c>
      <c r="I1132" t="s">
        <v>37</v>
      </c>
      <c r="J1132" t="s">
        <v>54</v>
      </c>
      <c r="K1132">
        <v>4</v>
      </c>
      <c r="L1132" t="s">
        <v>65</v>
      </c>
      <c r="M1132">
        <v>2</v>
      </c>
      <c r="N1132" t="s">
        <v>40</v>
      </c>
      <c r="O1132" t="s">
        <v>62</v>
      </c>
      <c r="P1132">
        <v>3</v>
      </c>
      <c r="Q1132" t="s">
        <v>42</v>
      </c>
      <c r="R1132" t="s">
        <v>58</v>
      </c>
      <c r="S1132">
        <v>1</v>
      </c>
      <c r="T1132" t="s">
        <v>44</v>
      </c>
      <c r="U1132" t="s">
        <v>59</v>
      </c>
      <c r="V1132">
        <v>17</v>
      </c>
      <c r="W1132" t="s">
        <v>45</v>
      </c>
      <c r="X1132">
        <v>10</v>
      </c>
      <c r="Y1132">
        <v>2</v>
      </c>
      <c r="Z1132" t="s">
        <v>46</v>
      </c>
      <c r="AA1132">
        <v>10</v>
      </c>
      <c r="AB1132" t="s">
        <v>47</v>
      </c>
      <c r="AC1132">
        <v>9</v>
      </c>
      <c r="AD1132" t="s">
        <v>47</v>
      </c>
      <c r="AE1132">
        <v>6</v>
      </c>
      <c r="AF1132" t="s">
        <v>71</v>
      </c>
    </row>
    <row r="1133" spans="1:32" x14ac:dyDescent="0.25">
      <c r="A1133">
        <v>34</v>
      </c>
      <c r="B1133" t="s">
        <v>32</v>
      </c>
      <c r="C1133" t="s">
        <v>50</v>
      </c>
      <c r="D1133" t="s">
        <v>51</v>
      </c>
      <c r="E1133" t="s">
        <v>52</v>
      </c>
      <c r="F1133">
        <v>10</v>
      </c>
      <c r="G1133" t="s">
        <v>53</v>
      </c>
      <c r="H1133">
        <v>4</v>
      </c>
      <c r="I1133" t="s">
        <v>42</v>
      </c>
      <c r="J1133" t="s">
        <v>54</v>
      </c>
      <c r="K1133">
        <v>2</v>
      </c>
      <c r="L1133" t="s">
        <v>55</v>
      </c>
      <c r="M1133">
        <v>2</v>
      </c>
      <c r="N1133" t="s">
        <v>40</v>
      </c>
      <c r="O1133" t="s">
        <v>70</v>
      </c>
      <c r="P1133">
        <v>3</v>
      </c>
      <c r="Q1133" t="s">
        <v>42</v>
      </c>
      <c r="R1133" t="s">
        <v>58</v>
      </c>
      <c r="S1133">
        <v>1</v>
      </c>
      <c r="T1133" t="s">
        <v>44</v>
      </c>
      <c r="U1133" t="s">
        <v>59</v>
      </c>
      <c r="V1133">
        <v>14</v>
      </c>
      <c r="W1133" t="s">
        <v>45</v>
      </c>
      <c r="X1133">
        <v>8</v>
      </c>
      <c r="Y1133">
        <v>2</v>
      </c>
      <c r="Z1133" t="s">
        <v>46</v>
      </c>
      <c r="AA1133">
        <v>8</v>
      </c>
      <c r="AB1133" t="s">
        <v>47</v>
      </c>
      <c r="AC1133">
        <v>2</v>
      </c>
      <c r="AD1133" t="s">
        <v>48</v>
      </c>
      <c r="AE1133">
        <v>7</v>
      </c>
      <c r="AF1133" t="s">
        <v>71</v>
      </c>
    </row>
    <row r="1134" spans="1:32" x14ac:dyDescent="0.25">
      <c r="A1134">
        <v>40</v>
      </c>
      <c r="B1134" t="s">
        <v>32</v>
      </c>
      <c r="C1134" t="s">
        <v>50</v>
      </c>
      <c r="D1134" t="s">
        <v>34</v>
      </c>
      <c r="E1134" t="s">
        <v>35</v>
      </c>
      <c r="F1134">
        <v>14</v>
      </c>
      <c r="G1134" t="s">
        <v>53</v>
      </c>
      <c r="H1134">
        <v>4</v>
      </c>
      <c r="I1134" t="s">
        <v>42</v>
      </c>
      <c r="J1134" t="s">
        <v>38</v>
      </c>
      <c r="K1134">
        <v>3</v>
      </c>
      <c r="L1134" t="s">
        <v>39</v>
      </c>
      <c r="M1134">
        <v>2</v>
      </c>
      <c r="N1134" t="s">
        <v>40</v>
      </c>
      <c r="O1134" t="s">
        <v>41</v>
      </c>
      <c r="P1134">
        <v>1</v>
      </c>
      <c r="Q1134" t="s">
        <v>57</v>
      </c>
      <c r="R1134" t="s">
        <v>58</v>
      </c>
      <c r="S1134">
        <v>1</v>
      </c>
      <c r="T1134" t="s">
        <v>44</v>
      </c>
      <c r="U1134" t="s">
        <v>59</v>
      </c>
      <c r="V1134">
        <v>15</v>
      </c>
      <c r="W1134" t="s">
        <v>45</v>
      </c>
      <c r="X1134">
        <v>5</v>
      </c>
      <c r="Y1134">
        <v>3</v>
      </c>
      <c r="Z1134" t="s">
        <v>61</v>
      </c>
      <c r="AA1134">
        <v>5</v>
      </c>
      <c r="AB1134" t="s">
        <v>47</v>
      </c>
      <c r="AC1134">
        <v>4</v>
      </c>
      <c r="AD1134" t="s">
        <v>48</v>
      </c>
      <c r="AE1134">
        <v>1</v>
      </c>
      <c r="AF1134" t="s">
        <v>49</v>
      </c>
    </row>
    <row r="1135" spans="1:32" x14ac:dyDescent="0.25">
      <c r="A1135">
        <v>43</v>
      </c>
      <c r="B1135" t="s">
        <v>32</v>
      </c>
      <c r="C1135" t="s">
        <v>50</v>
      </c>
      <c r="D1135" t="s">
        <v>34</v>
      </c>
      <c r="E1135" t="s">
        <v>52</v>
      </c>
      <c r="F1135">
        <v>27</v>
      </c>
      <c r="G1135" t="s">
        <v>66</v>
      </c>
      <c r="H1135">
        <v>4</v>
      </c>
      <c r="I1135" t="s">
        <v>42</v>
      </c>
      <c r="J1135" t="s">
        <v>54</v>
      </c>
      <c r="K1135">
        <v>4</v>
      </c>
      <c r="L1135" t="s">
        <v>65</v>
      </c>
      <c r="M1135">
        <v>1</v>
      </c>
      <c r="N1135" t="s">
        <v>40</v>
      </c>
      <c r="O1135" t="s">
        <v>62</v>
      </c>
      <c r="P1135">
        <v>2</v>
      </c>
      <c r="Q1135" t="s">
        <v>57</v>
      </c>
      <c r="R1135" t="s">
        <v>67</v>
      </c>
      <c r="S1135">
        <v>5</v>
      </c>
      <c r="T1135" t="s">
        <v>44</v>
      </c>
      <c r="U1135" t="s">
        <v>59</v>
      </c>
      <c r="V1135">
        <v>12</v>
      </c>
      <c r="W1135" t="s">
        <v>45</v>
      </c>
      <c r="X1135">
        <v>8</v>
      </c>
      <c r="Y1135">
        <v>3</v>
      </c>
      <c r="Z1135" t="s">
        <v>61</v>
      </c>
      <c r="AA1135">
        <v>6</v>
      </c>
      <c r="AB1135" t="s">
        <v>47</v>
      </c>
      <c r="AC1135">
        <v>4</v>
      </c>
      <c r="AD1135" t="s">
        <v>48</v>
      </c>
      <c r="AE1135">
        <v>0</v>
      </c>
      <c r="AF1135" t="s">
        <v>49</v>
      </c>
    </row>
    <row r="1136" spans="1:32" x14ac:dyDescent="0.25">
      <c r="A1136">
        <v>35</v>
      </c>
      <c r="B1136" t="s">
        <v>32</v>
      </c>
      <c r="C1136" t="s">
        <v>50</v>
      </c>
      <c r="D1136" t="s">
        <v>34</v>
      </c>
      <c r="E1136" t="s">
        <v>52</v>
      </c>
      <c r="F1136">
        <v>7</v>
      </c>
      <c r="G1136" t="s">
        <v>53</v>
      </c>
      <c r="H1136">
        <v>3</v>
      </c>
      <c r="I1136" t="s">
        <v>42</v>
      </c>
      <c r="J1136" t="s">
        <v>54</v>
      </c>
      <c r="K1136">
        <v>2</v>
      </c>
      <c r="L1136" t="s">
        <v>55</v>
      </c>
      <c r="M1136">
        <v>1</v>
      </c>
      <c r="N1136" t="s">
        <v>40</v>
      </c>
      <c r="O1136" t="s">
        <v>62</v>
      </c>
      <c r="P1136">
        <v>4</v>
      </c>
      <c r="Q1136" t="s">
        <v>42</v>
      </c>
      <c r="R1136" t="s">
        <v>58</v>
      </c>
      <c r="S1136">
        <v>1</v>
      </c>
      <c r="T1136" t="s">
        <v>44</v>
      </c>
      <c r="U1136" t="s">
        <v>59</v>
      </c>
      <c r="V1136">
        <v>18</v>
      </c>
      <c r="W1136" t="s">
        <v>45</v>
      </c>
      <c r="X1136">
        <v>1</v>
      </c>
      <c r="Y1136">
        <v>2</v>
      </c>
      <c r="Z1136" t="s">
        <v>46</v>
      </c>
      <c r="AA1136">
        <v>1</v>
      </c>
      <c r="AB1136" t="s">
        <v>48</v>
      </c>
      <c r="AC1136">
        <v>0</v>
      </c>
      <c r="AD1136" t="s">
        <v>48</v>
      </c>
      <c r="AE1136">
        <v>0</v>
      </c>
      <c r="AF1136" t="s">
        <v>49</v>
      </c>
    </row>
    <row r="1137" spans="1:32" x14ac:dyDescent="0.25">
      <c r="A1137">
        <v>46</v>
      </c>
      <c r="B1137" t="s">
        <v>32</v>
      </c>
      <c r="C1137" t="s">
        <v>50</v>
      </c>
      <c r="D1137" t="s">
        <v>34</v>
      </c>
      <c r="E1137" t="s">
        <v>35</v>
      </c>
      <c r="F1137">
        <v>1</v>
      </c>
      <c r="G1137" t="s">
        <v>36</v>
      </c>
      <c r="H1137">
        <v>4</v>
      </c>
      <c r="I1137" t="s">
        <v>42</v>
      </c>
      <c r="J1137" t="s">
        <v>54</v>
      </c>
      <c r="K1137">
        <v>4</v>
      </c>
      <c r="L1137" t="s">
        <v>65</v>
      </c>
      <c r="M1137">
        <v>4</v>
      </c>
      <c r="N1137" t="s">
        <v>72</v>
      </c>
      <c r="O1137" t="s">
        <v>73</v>
      </c>
      <c r="P1137">
        <v>1</v>
      </c>
      <c r="Q1137" t="s">
        <v>57</v>
      </c>
      <c r="R1137" t="s">
        <v>43</v>
      </c>
      <c r="S1137">
        <v>1</v>
      </c>
      <c r="T1137" t="s">
        <v>44</v>
      </c>
      <c r="U1137" t="s">
        <v>59</v>
      </c>
      <c r="V1137">
        <v>15</v>
      </c>
      <c r="W1137" t="s">
        <v>45</v>
      </c>
      <c r="X1137">
        <v>27</v>
      </c>
      <c r="Y1137">
        <v>1</v>
      </c>
      <c r="Z1137" t="s">
        <v>46</v>
      </c>
      <c r="AA1137">
        <v>26</v>
      </c>
      <c r="AB1137" t="s">
        <v>74</v>
      </c>
      <c r="AC1137">
        <v>0</v>
      </c>
      <c r="AD1137" t="s">
        <v>48</v>
      </c>
      <c r="AE1137">
        <v>0</v>
      </c>
      <c r="AF1137" t="s">
        <v>49</v>
      </c>
    </row>
    <row r="1138" spans="1:32" x14ac:dyDescent="0.25">
      <c r="A1138">
        <v>28</v>
      </c>
      <c r="B1138" t="s">
        <v>63</v>
      </c>
      <c r="C1138" t="s">
        <v>33</v>
      </c>
      <c r="D1138" t="s">
        <v>34</v>
      </c>
      <c r="E1138" t="s">
        <v>52</v>
      </c>
      <c r="F1138">
        <v>24</v>
      </c>
      <c r="G1138" t="s">
        <v>66</v>
      </c>
      <c r="H1138">
        <v>3</v>
      </c>
      <c r="I1138" t="s">
        <v>42</v>
      </c>
      <c r="J1138" t="s">
        <v>54</v>
      </c>
      <c r="K1138">
        <v>3</v>
      </c>
      <c r="L1138" t="s">
        <v>39</v>
      </c>
      <c r="M1138">
        <v>1</v>
      </c>
      <c r="N1138" t="s">
        <v>40</v>
      </c>
      <c r="O1138" t="s">
        <v>62</v>
      </c>
      <c r="P1138">
        <v>2</v>
      </c>
      <c r="Q1138" t="s">
        <v>57</v>
      </c>
      <c r="R1138" t="s">
        <v>58</v>
      </c>
      <c r="S1138">
        <v>1</v>
      </c>
      <c r="T1138" t="s">
        <v>44</v>
      </c>
      <c r="U1138" t="s">
        <v>44</v>
      </c>
      <c r="V1138">
        <v>17</v>
      </c>
      <c r="W1138" t="s">
        <v>45</v>
      </c>
      <c r="X1138">
        <v>1</v>
      </c>
      <c r="Y1138">
        <v>3</v>
      </c>
      <c r="Z1138" t="s">
        <v>61</v>
      </c>
      <c r="AA1138">
        <v>1</v>
      </c>
      <c r="AB1138" t="s">
        <v>48</v>
      </c>
      <c r="AC1138">
        <v>1</v>
      </c>
      <c r="AD1138" t="s">
        <v>48</v>
      </c>
      <c r="AE1138">
        <v>0</v>
      </c>
      <c r="AF1138" t="s">
        <v>49</v>
      </c>
    </row>
    <row r="1139" spans="1:32" x14ac:dyDescent="0.25">
      <c r="A1139">
        <v>22</v>
      </c>
      <c r="B1139" t="s">
        <v>63</v>
      </c>
      <c r="C1139" t="s">
        <v>50</v>
      </c>
      <c r="D1139" t="s">
        <v>34</v>
      </c>
      <c r="E1139" t="s">
        <v>52</v>
      </c>
      <c r="F1139">
        <v>26</v>
      </c>
      <c r="G1139" t="s">
        <v>66</v>
      </c>
      <c r="H1139">
        <v>2</v>
      </c>
      <c r="I1139" t="s">
        <v>37</v>
      </c>
      <c r="J1139" t="s">
        <v>38</v>
      </c>
      <c r="K1139">
        <v>2</v>
      </c>
      <c r="L1139" t="s">
        <v>55</v>
      </c>
      <c r="M1139">
        <v>1</v>
      </c>
      <c r="N1139" t="s">
        <v>40</v>
      </c>
      <c r="O1139" t="s">
        <v>56</v>
      </c>
      <c r="P1139">
        <v>3</v>
      </c>
      <c r="Q1139" t="s">
        <v>42</v>
      </c>
      <c r="R1139" t="s">
        <v>58</v>
      </c>
      <c r="S1139">
        <v>1</v>
      </c>
      <c r="T1139" t="s">
        <v>44</v>
      </c>
      <c r="U1139" t="s">
        <v>44</v>
      </c>
      <c r="V1139">
        <v>14</v>
      </c>
      <c r="W1139" t="s">
        <v>45</v>
      </c>
      <c r="X1139">
        <v>4</v>
      </c>
      <c r="Y1139">
        <v>2</v>
      </c>
      <c r="Z1139" t="s">
        <v>46</v>
      </c>
      <c r="AA1139">
        <v>4</v>
      </c>
      <c r="AB1139" t="s">
        <v>48</v>
      </c>
      <c r="AC1139">
        <v>2</v>
      </c>
      <c r="AD1139" t="s">
        <v>48</v>
      </c>
      <c r="AE1139">
        <v>1</v>
      </c>
      <c r="AF1139" t="s">
        <v>49</v>
      </c>
    </row>
    <row r="1140" spans="1:32" x14ac:dyDescent="0.25">
      <c r="A1140">
        <v>50</v>
      </c>
      <c r="B1140" t="s">
        <v>32</v>
      </c>
      <c r="C1140" t="s">
        <v>50</v>
      </c>
      <c r="D1140" t="s">
        <v>51</v>
      </c>
      <c r="E1140" t="s">
        <v>52</v>
      </c>
      <c r="F1140">
        <v>20</v>
      </c>
      <c r="G1140" t="s">
        <v>66</v>
      </c>
      <c r="H1140">
        <v>2</v>
      </c>
      <c r="I1140" t="s">
        <v>37</v>
      </c>
      <c r="J1140" t="s">
        <v>54</v>
      </c>
      <c r="K1140">
        <v>3</v>
      </c>
      <c r="L1140" t="s">
        <v>39</v>
      </c>
      <c r="M1140">
        <v>4</v>
      </c>
      <c r="N1140" t="s">
        <v>72</v>
      </c>
      <c r="O1140" t="s">
        <v>70</v>
      </c>
      <c r="P1140">
        <v>3</v>
      </c>
      <c r="Q1140" t="s">
        <v>42</v>
      </c>
      <c r="R1140" t="s">
        <v>58</v>
      </c>
      <c r="S1140">
        <v>2</v>
      </c>
      <c r="T1140" t="s">
        <v>44</v>
      </c>
      <c r="U1140" t="s">
        <v>44</v>
      </c>
      <c r="V1140">
        <v>15</v>
      </c>
      <c r="W1140" t="s">
        <v>45</v>
      </c>
      <c r="X1140">
        <v>32</v>
      </c>
      <c r="Y1140">
        <v>3</v>
      </c>
      <c r="Z1140" t="s">
        <v>61</v>
      </c>
      <c r="AA1140">
        <v>30</v>
      </c>
      <c r="AB1140" t="s">
        <v>74</v>
      </c>
      <c r="AC1140">
        <v>8</v>
      </c>
      <c r="AD1140" t="s">
        <v>47</v>
      </c>
      <c r="AE1140">
        <v>12</v>
      </c>
      <c r="AF1140" t="s">
        <v>71</v>
      </c>
    </row>
    <row r="1141" spans="1:32" x14ac:dyDescent="0.25">
      <c r="A1141">
        <v>32</v>
      </c>
      <c r="B1141" t="s">
        <v>32</v>
      </c>
      <c r="C1141" t="s">
        <v>50</v>
      </c>
      <c r="D1141" t="s">
        <v>34</v>
      </c>
      <c r="E1141" t="s">
        <v>52</v>
      </c>
      <c r="F1141">
        <v>5</v>
      </c>
      <c r="G1141" t="s">
        <v>36</v>
      </c>
      <c r="H1141">
        <v>2</v>
      </c>
      <c r="I1141" t="s">
        <v>37</v>
      </c>
      <c r="J1141" t="s">
        <v>38</v>
      </c>
      <c r="K1141">
        <v>4</v>
      </c>
      <c r="L1141" t="s">
        <v>65</v>
      </c>
      <c r="M1141">
        <v>1</v>
      </c>
      <c r="N1141" t="s">
        <v>40</v>
      </c>
      <c r="O1141" t="s">
        <v>56</v>
      </c>
      <c r="P1141">
        <v>4</v>
      </c>
      <c r="Q1141" t="s">
        <v>42</v>
      </c>
      <c r="R1141" t="s">
        <v>58</v>
      </c>
      <c r="S1141">
        <v>3</v>
      </c>
      <c r="T1141" t="s">
        <v>44</v>
      </c>
      <c r="U1141" t="s">
        <v>59</v>
      </c>
      <c r="V1141">
        <v>17</v>
      </c>
      <c r="W1141" t="s">
        <v>45</v>
      </c>
      <c r="X1141">
        <v>6</v>
      </c>
      <c r="Y1141">
        <v>3</v>
      </c>
      <c r="Z1141" t="s">
        <v>61</v>
      </c>
      <c r="AA1141">
        <v>3</v>
      </c>
      <c r="AB1141" t="s">
        <v>48</v>
      </c>
      <c r="AC1141">
        <v>2</v>
      </c>
      <c r="AD1141" t="s">
        <v>48</v>
      </c>
      <c r="AE1141">
        <v>0</v>
      </c>
      <c r="AF1141" t="s">
        <v>49</v>
      </c>
    </row>
    <row r="1142" spans="1:32" x14ac:dyDescent="0.25">
      <c r="A1142">
        <v>44</v>
      </c>
      <c r="B1142" t="s">
        <v>32</v>
      </c>
      <c r="C1142" t="s">
        <v>50</v>
      </c>
      <c r="D1142" t="s">
        <v>34</v>
      </c>
      <c r="E1142" t="s">
        <v>52</v>
      </c>
      <c r="F1142">
        <v>7</v>
      </c>
      <c r="G1142" t="s">
        <v>53</v>
      </c>
      <c r="H1142">
        <v>2</v>
      </c>
      <c r="I1142" t="s">
        <v>37</v>
      </c>
      <c r="J1142" t="s">
        <v>38</v>
      </c>
      <c r="K1142">
        <v>3</v>
      </c>
      <c r="L1142" t="s">
        <v>39</v>
      </c>
      <c r="M1142">
        <v>5</v>
      </c>
      <c r="N1142" t="s">
        <v>72</v>
      </c>
      <c r="O1142" t="s">
        <v>76</v>
      </c>
      <c r="P1142">
        <v>4</v>
      </c>
      <c r="Q1142" t="s">
        <v>42</v>
      </c>
      <c r="R1142" t="s">
        <v>67</v>
      </c>
      <c r="S1142">
        <v>0</v>
      </c>
      <c r="T1142" t="s">
        <v>44</v>
      </c>
      <c r="U1142" t="s">
        <v>44</v>
      </c>
      <c r="V1142">
        <v>14</v>
      </c>
      <c r="W1142" t="s">
        <v>45</v>
      </c>
      <c r="X1142">
        <v>23</v>
      </c>
      <c r="Y1142">
        <v>2</v>
      </c>
      <c r="Z1142" t="s">
        <v>46</v>
      </c>
      <c r="AA1142">
        <v>22</v>
      </c>
      <c r="AB1142" t="s">
        <v>74</v>
      </c>
      <c r="AC1142">
        <v>7</v>
      </c>
      <c r="AD1142" t="s">
        <v>47</v>
      </c>
      <c r="AE1142">
        <v>1</v>
      </c>
      <c r="AF1142" t="s">
        <v>49</v>
      </c>
    </row>
    <row r="1143" spans="1:32" x14ac:dyDescent="0.25">
      <c r="A1143">
        <v>30</v>
      </c>
      <c r="B1143" t="s">
        <v>32</v>
      </c>
      <c r="C1143" t="s">
        <v>50</v>
      </c>
      <c r="D1143" t="s">
        <v>34</v>
      </c>
      <c r="E1143" t="s">
        <v>52</v>
      </c>
      <c r="F1143">
        <v>7</v>
      </c>
      <c r="G1143" t="s">
        <v>53</v>
      </c>
      <c r="H1143">
        <v>2</v>
      </c>
      <c r="I1143" t="s">
        <v>37</v>
      </c>
      <c r="J1143" t="s">
        <v>54</v>
      </c>
      <c r="K1143">
        <v>2</v>
      </c>
      <c r="L1143" t="s">
        <v>55</v>
      </c>
      <c r="M1143">
        <v>1</v>
      </c>
      <c r="N1143" t="s">
        <v>40</v>
      </c>
      <c r="O1143" t="s">
        <v>56</v>
      </c>
      <c r="P1143">
        <v>2</v>
      </c>
      <c r="Q1143" t="s">
        <v>57</v>
      </c>
      <c r="R1143" t="s">
        <v>58</v>
      </c>
      <c r="S1143">
        <v>1</v>
      </c>
      <c r="T1143" t="s">
        <v>44</v>
      </c>
      <c r="U1143" t="s">
        <v>59</v>
      </c>
      <c r="V1143">
        <v>12</v>
      </c>
      <c r="W1143" t="s">
        <v>45</v>
      </c>
      <c r="X1143">
        <v>6</v>
      </c>
      <c r="Y1143">
        <v>2</v>
      </c>
      <c r="Z1143" t="s">
        <v>46</v>
      </c>
      <c r="AA1143">
        <v>6</v>
      </c>
      <c r="AB1143" t="s">
        <v>47</v>
      </c>
      <c r="AC1143">
        <v>4</v>
      </c>
      <c r="AD1143" t="s">
        <v>48</v>
      </c>
      <c r="AE1143">
        <v>1</v>
      </c>
      <c r="AF1143" t="s">
        <v>49</v>
      </c>
    </row>
    <row r="1144" spans="1:32" x14ac:dyDescent="0.25">
      <c r="A1144">
        <v>45</v>
      </c>
      <c r="B1144" t="s">
        <v>32</v>
      </c>
      <c r="C1144" t="s">
        <v>50</v>
      </c>
      <c r="D1144" t="s">
        <v>34</v>
      </c>
      <c r="E1144" t="s">
        <v>52</v>
      </c>
      <c r="F1144">
        <v>5</v>
      </c>
      <c r="G1144" t="s">
        <v>36</v>
      </c>
      <c r="H1144">
        <v>3</v>
      </c>
      <c r="I1144" t="s">
        <v>42</v>
      </c>
      <c r="J1144" t="s">
        <v>38</v>
      </c>
      <c r="K1144">
        <v>1</v>
      </c>
      <c r="L1144" t="s">
        <v>55</v>
      </c>
      <c r="M1144">
        <v>2</v>
      </c>
      <c r="N1144" t="s">
        <v>40</v>
      </c>
      <c r="O1144" t="s">
        <v>62</v>
      </c>
      <c r="P1144">
        <v>1</v>
      </c>
      <c r="Q1144" t="s">
        <v>57</v>
      </c>
      <c r="R1144" t="s">
        <v>43</v>
      </c>
      <c r="S1144">
        <v>1</v>
      </c>
      <c r="T1144" t="s">
        <v>44</v>
      </c>
      <c r="U1144" t="s">
        <v>44</v>
      </c>
      <c r="V1144">
        <v>14</v>
      </c>
      <c r="W1144" t="s">
        <v>45</v>
      </c>
      <c r="X1144">
        <v>10</v>
      </c>
      <c r="Y1144">
        <v>3</v>
      </c>
      <c r="Z1144" t="s">
        <v>61</v>
      </c>
      <c r="AA1144">
        <v>10</v>
      </c>
      <c r="AB1144" t="s">
        <v>47</v>
      </c>
      <c r="AC1144">
        <v>7</v>
      </c>
      <c r="AD1144" t="s">
        <v>47</v>
      </c>
      <c r="AE1144">
        <v>1</v>
      </c>
      <c r="AF1144" t="s">
        <v>49</v>
      </c>
    </row>
    <row r="1145" spans="1:32" x14ac:dyDescent="0.25">
      <c r="A1145">
        <v>45</v>
      </c>
      <c r="B1145" t="s">
        <v>32</v>
      </c>
      <c r="C1145" t="s">
        <v>50</v>
      </c>
      <c r="D1145" t="s">
        <v>34</v>
      </c>
      <c r="E1145" t="s">
        <v>35</v>
      </c>
      <c r="F1145">
        <v>26</v>
      </c>
      <c r="G1145" t="s">
        <v>66</v>
      </c>
      <c r="H1145">
        <v>1</v>
      </c>
      <c r="I1145" t="s">
        <v>37</v>
      </c>
      <c r="J1145" t="s">
        <v>54</v>
      </c>
      <c r="K1145">
        <v>2</v>
      </c>
      <c r="L1145" t="s">
        <v>55</v>
      </c>
      <c r="M1145">
        <v>2</v>
      </c>
      <c r="N1145" t="s">
        <v>40</v>
      </c>
      <c r="O1145" t="s">
        <v>41</v>
      </c>
      <c r="P1145">
        <v>1</v>
      </c>
      <c r="Q1145" t="s">
        <v>57</v>
      </c>
      <c r="R1145" t="s">
        <v>58</v>
      </c>
      <c r="S1145">
        <v>1</v>
      </c>
      <c r="T1145" t="s">
        <v>44</v>
      </c>
      <c r="U1145" t="s">
        <v>59</v>
      </c>
      <c r="V1145">
        <v>15</v>
      </c>
      <c r="W1145" t="s">
        <v>45</v>
      </c>
      <c r="X1145">
        <v>10</v>
      </c>
      <c r="Y1145">
        <v>3</v>
      </c>
      <c r="Z1145" t="s">
        <v>61</v>
      </c>
      <c r="AA1145">
        <v>10</v>
      </c>
      <c r="AB1145" t="s">
        <v>47</v>
      </c>
      <c r="AC1145">
        <v>7</v>
      </c>
      <c r="AD1145" t="s">
        <v>47</v>
      </c>
      <c r="AE1145">
        <v>4</v>
      </c>
      <c r="AF1145" t="s">
        <v>71</v>
      </c>
    </row>
    <row r="1146" spans="1:32" x14ac:dyDescent="0.25">
      <c r="A1146">
        <v>31</v>
      </c>
      <c r="B1146" t="s">
        <v>32</v>
      </c>
      <c r="C1146" t="s">
        <v>50</v>
      </c>
      <c r="D1146" t="s">
        <v>51</v>
      </c>
      <c r="E1146" t="s">
        <v>35</v>
      </c>
      <c r="F1146">
        <v>2</v>
      </c>
      <c r="G1146" t="s">
        <v>36</v>
      </c>
      <c r="H1146">
        <v>4</v>
      </c>
      <c r="I1146" t="s">
        <v>42</v>
      </c>
      <c r="J1146" t="s">
        <v>54</v>
      </c>
      <c r="K1146">
        <v>3</v>
      </c>
      <c r="L1146" t="s">
        <v>39</v>
      </c>
      <c r="M1146">
        <v>2</v>
      </c>
      <c r="N1146" t="s">
        <v>40</v>
      </c>
      <c r="O1146" t="s">
        <v>41</v>
      </c>
      <c r="P1146">
        <v>1</v>
      </c>
      <c r="Q1146" t="s">
        <v>57</v>
      </c>
      <c r="R1146" t="s">
        <v>43</v>
      </c>
      <c r="S1146">
        <v>7</v>
      </c>
      <c r="T1146" t="s">
        <v>44</v>
      </c>
      <c r="U1146" t="s">
        <v>59</v>
      </c>
      <c r="V1146">
        <v>13</v>
      </c>
      <c r="W1146" t="s">
        <v>45</v>
      </c>
      <c r="X1146">
        <v>10</v>
      </c>
      <c r="Y1146">
        <v>3</v>
      </c>
      <c r="Z1146" t="s">
        <v>61</v>
      </c>
      <c r="AA1146">
        <v>5</v>
      </c>
      <c r="AB1146" t="s">
        <v>47</v>
      </c>
      <c r="AC1146">
        <v>2</v>
      </c>
      <c r="AD1146" t="s">
        <v>48</v>
      </c>
      <c r="AE1146">
        <v>0</v>
      </c>
      <c r="AF1146" t="s">
        <v>49</v>
      </c>
    </row>
    <row r="1147" spans="1:32" x14ac:dyDescent="0.25">
      <c r="A1147">
        <v>36</v>
      </c>
      <c r="B1147" t="s">
        <v>32</v>
      </c>
      <c r="C1147" t="s">
        <v>50</v>
      </c>
      <c r="D1147" t="s">
        <v>34</v>
      </c>
      <c r="E1147" t="s">
        <v>52</v>
      </c>
      <c r="F1147">
        <v>12</v>
      </c>
      <c r="G1147" t="s">
        <v>53</v>
      </c>
      <c r="H1147">
        <v>3</v>
      </c>
      <c r="I1147" t="s">
        <v>42</v>
      </c>
      <c r="J1147" t="s">
        <v>38</v>
      </c>
      <c r="K1147">
        <v>3</v>
      </c>
      <c r="L1147" t="s">
        <v>39</v>
      </c>
      <c r="M1147">
        <v>2</v>
      </c>
      <c r="N1147" t="s">
        <v>40</v>
      </c>
      <c r="O1147" t="s">
        <v>69</v>
      </c>
      <c r="P1147">
        <v>3</v>
      </c>
      <c r="Q1147" t="s">
        <v>42</v>
      </c>
      <c r="R1147" t="s">
        <v>58</v>
      </c>
      <c r="S1147">
        <v>9</v>
      </c>
      <c r="T1147" t="s">
        <v>44</v>
      </c>
      <c r="U1147" t="s">
        <v>44</v>
      </c>
      <c r="V1147">
        <v>12</v>
      </c>
      <c r="W1147" t="s">
        <v>45</v>
      </c>
      <c r="X1147">
        <v>7</v>
      </c>
      <c r="Y1147">
        <v>3</v>
      </c>
      <c r="Z1147" t="s">
        <v>61</v>
      </c>
      <c r="AA1147">
        <v>3</v>
      </c>
      <c r="AB1147" t="s">
        <v>48</v>
      </c>
      <c r="AC1147">
        <v>2</v>
      </c>
      <c r="AD1147" t="s">
        <v>48</v>
      </c>
      <c r="AE1147">
        <v>1</v>
      </c>
      <c r="AF1147" t="s">
        <v>49</v>
      </c>
    </row>
    <row r="1148" spans="1:32" x14ac:dyDescent="0.25">
      <c r="A1148">
        <v>34</v>
      </c>
      <c r="B1148" t="s">
        <v>32</v>
      </c>
      <c r="C1148" t="s">
        <v>50</v>
      </c>
      <c r="D1148" t="s">
        <v>51</v>
      </c>
      <c r="E1148" t="s">
        <v>52</v>
      </c>
      <c r="F1148">
        <v>10</v>
      </c>
      <c r="G1148" t="s">
        <v>53</v>
      </c>
      <c r="H1148">
        <v>3</v>
      </c>
      <c r="I1148" t="s">
        <v>42</v>
      </c>
      <c r="J1148" t="s">
        <v>54</v>
      </c>
      <c r="K1148">
        <v>4</v>
      </c>
      <c r="L1148" t="s">
        <v>65</v>
      </c>
      <c r="M1148">
        <v>2</v>
      </c>
      <c r="N1148" t="s">
        <v>40</v>
      </c>
      <c r="O1148" t="s">
        <v>69</v>
      </c>
      <c r="P1148">
        <v>4</v>
      </c>
      <c r="Q1148" t="s">
        <v>42</v>
      </c>
      <c r="R1148" t="s">
        <v>67</v>
      </c>
      <c r="S1148">
        <v>1</v>
      </c>
      <c r="T1148" t="s">
        <v>44</v>
      </c>
      <c r="U1148" t="s">
        <v>59</v>
      </c>
      <c r="V1148">
        <v>13</v>
      </c>
      <c r="W1148" t="s">
        <v>45</v>
      </c>
      <c r="X1148">
        <v>9</v>
      </c>
      <c r="Y1148">
        <v>3</v>
      </c>
      <c r="Z1148" t="s">
        <v>61</v>
      </c>
      <c r="AA1148">
        <v>9</v>
      </c>
      <c r="AB1148" t="s">
        <v>47</v>
      </c>
      <c r="AC1148">
        <v>7</v>
      </c>
      <c r="AD1148" t="s">
        <v>47</v>
      </c>
      <c r="AE1148">
        <v>7</v>
      </c>
      <c r="AF1148" t="s">
        <v>71</v>
      </c>
    </row>
    <row r="1149" spans="1:32" x14ac:dyDescent="0.25">
      <c r="A1149">
        <v>49</v>
      </c>
      <c r="B1149" t="s">
        <v>32</v>
      </c>
      <c r="C1149" t="s">
        <v>50</v>
      </c>
      <c r="D1149" t="s">
        <v>34</v>
      </c>
      <c r="E1149" t="s">
        <v>52</v>
      </c>
      <c r="F1149">
        <v>25</v>
      </c>
      <c r="G1149" t="s">
        <v>66</v>
      </c>
      <c r="H1149">
        <v>3</v>
      </c>
      <c r="I1149" t="s">
        <v>42</v>
      </c>
      <c r="J1149" t="s">
        <v>38</v>
      </c>
      <c r="K1149">
        <v>3</v>
      </c>
      <c r="L1149" t="s">
        <v>39</v>
      </c>
      <c r="M1149">
        <v>1</v>
      </c>
      <c r="N1149" t="s">
        <v>40</v>
      </c>
      <c r="O1149" t="s">
        <v>62</v>
      </c>
      <c r="P1149">
        <v>1</v>
      </c>
      <c r="Q1149" t="s">
        <v>57</v>
      </c>
      <c r="R1149" t="s">
        <v>58</v>
      </c>
      <c r="S1149">
        <v>1</v>
      </c>
      <c r="T1149" t="s">
        <v>44</v>
      </c>
      <c r="U1149" t="s">
        <v>59</v>
      </c>
      <c r="V1149">
        <v>14</v>
      </c>
      <c r="W1149" t="s">
        <v>45</v>
      </c>
      <c r="X1149">
        <v>10</v>
      </c>
      <c r="Y1149">
        <v>2</v>
      </c>
      <c r="Z1149" t="s">
        <v>46</v>
      </c>
      <c r="AA1149">
        <v>9</v>
      </c>
      <c r="AB1149" t="s">
        <v>47</v>
      </c>
      <c r="AC1149">
        <v>6</v>
      </c>
      <c r="AD1149" t="s">
        <v>47</v>
      </c>
      <c r="AE1149">
        <v>1</v>
      </c>
      <c r="AF1149" t="s">
        <v>49</v>
      </c>
    </row>
    <row r="1150" spans="1:32" x14ac:dyDescent="0.25">
      <c r="A1150">
        <v>39</v>
      </c>
      <c r="B1150" t="s">
        <v>32</v>
      </c>
      <c r="C1150" t="s">
        <v>50</v>
      </c>
      <c r="D1150" t="s">
        <v>34</v>
      </c>
      <c r="E1150" t="s">
        <v>52</v>
      </c>
      <c r="F1150">
        <v>10</v>
      </c>
      <c r="G1150" t="s">
        <v>53</v>
      </c>
      <c r="H1150">
        <v>2</v>
      </c>
      <c r="I1150" t="s">
        <v>37</v>
      </c>
      <c r="J1150" t="s">
        <v>54</v>
      </c>
      <c r="K1150">
        <v>3</v>
      </c>
      <c r="L1150" t="s">
        <v>39</v>
      </c>
      <c r="M1150">
        <v>2</v>
      </c>
      <c r="N1150" t="s">
        <v>40</v>
      </c>
      <c r="O1150" t="s">
        <v>69</v>
      </c>
      <c r="P1150">
        <v>1</v>
      </c>
      <c r="Q1150" t="s">
        <v>57</v>
      </c>
      <c r="R1150" t="s">
        <v>58</v>
      </c>
      <c r="S1150">
        <v>2</v>
      </c>
      <c r="T1150" t="s">
        <v>44</v>
      </c>
      <c r="U1150" t="s">
        <v>59</v>
      </c>
      <c r="V1150">
        <v>13</v>
      </c>
      <c r="W1150" t="s">
        <v>45</v>
      </c>
      <c r="X1150">
        <v>10</v>
      </c>
      <c r="Y1150">
        <v>3</v>
      </c>
      <c r="Z1150" t="s">
        <v>61</v>
      </c>
      <c r="AA1150">
        <v>7</v>
      </c>
      <c r="AB1150" t="s">
        <v>47</v>
      </c>
      <c r="AC1150">
        <v>7</v>
      </c>
      <c r="AD1150" t="s">
        <v>47</v>
      </c>
      <c r="AE1150">
        <v>7</v>
      </c>
      <c r="AF1150" t="s">
        <v>71</v>
      </c>
    </row>
    <row r="1151" spans="1:32" x14ac:dyDescent="0.25">
      <c r="A1151">
        <v>27</v>
      </c>
      <c r="B1151" t="s">
        <v>63</v>
      </c>
      <c r="C1151" t="s">
        <v>50</v>
      </c>
      <c r="D1151" t="s">
        <v>34</v>
      </c>
      <c r="E1151" t="s">
        <v>52</v>
      </c>
      <c r="F1151">
        <v>19</v>
      </c>
      <c r="G1151" t="s">
        <v>66</v>
      </c>
      <c r="H1151">
        <v>4</v>
      </c>
      <c r="I1151" t="s">
        <v>42</v>
      </c>
      <c r="J1151" t="s">
        <v>54</v>
      </c>
      <c r="K1151">
        <v>2</v>
      </c>
      <c r="L1151" t="s">
        <v>55</v>
      </c>
      <c r="M1151">
        <v>1</v>
      </c>
      <c r="N1151" t="s">
        <v>40</v>
      </c>
      <c r="O1151" t="s">
        <v>62</v>
      </c>
      <c r="P1151">
        <v>1</v>
      </c>
      <c r="Q1151" t="s">
        <v>57</v>
      </c>
      <c r="R1151" t="s">
        <v>67</v>
      </c>
      <c r="S1151">
        <v>1</v>
      </c>
      <c r="T1151" t="s">
        <v>44</v>
      </c>
      <c r="U1151" t="s">
        <v>59</v>
      </c>
      <c r="V1151">
        <v>11</v>
      </c>
      <c r="W1151" t="s">
        <v>45</v>
      </c>
      <c r="X1151">
        <v>7</v>
      </c>
      <c r="Y1151">
        <v>3</v>
      </c>
      <c r="Z1151" t="s">
        <v>61</v>
      </c>
      <c r="AA1151">
        <v>7</v>
      </c>
      <c r="AB1151" t="s">
        <v>47</v>
      </c>
      <c r="AC1151">
        <v>7</v>
      </c>
      <c r="AD1151" t="s">
        <v>47</v>
      </c>
      <c r="AE1151">
        <v>0</v>
      </c>
      <c r="AF1151" t="s">
        <v>49</v>
      </c>
    </row>
    <row r="1152" spans="1:32" x14ac:dyDescent="0.25">
      <c r="A1152">
        <v>35</v>
      </c>
      <c r="B1152" t="s">
        <v>32</v>
      </c>
      <c r="C1152" t="s">
        <v>50</v>
      </c>
      <c r="D1152" t="s">
        <v>34</v>
      </c>
      <c r="E1152" t="s">
        <v>52</v>
      </c>
      <c r="F1152">
        <v>18</v>
      </c>
      <c r="G1152" t="s">
        <v>66</v>
      </c>
      <c r="H1152">
        <v>2</v>
      </c>
      <c r="I1152" t="s">
        <v>37</v>
      </c>
      <c r="J1152" t="s">
        <v>54</v>
      </c>
      <c r="K1152">
        <v>4</v>
      </c>
      <c r="L1152" t="s">
        <v>65</v>
      </c>
      <c r="M1152">
        <v>2</v>
      </c>
      <c r="N1152" t="s">
        <v>40</v>
      </c>
      <c r="O1152" t="s">
        <v>56</v>
      </c>
      <c r="P1152">
        <v>1</v>
      </c>
      <c r="Q1152" t="s">
        <v>57</v>
      </c>
      <c r="R1152" t="s">
        <v>58</v>
      </c>
      <c r="S1152">
        <v>1</v>
      </c>
      <c r="T1152" t="s">
        <v>44</v>
      </c>
      <c r="U1152" t="s">
        <v>59</v>
      </c>
      <c r="V1152">
        <v>11</v>
      </c>
      <c r="W1152" t="s">
        <v>45</v>
      </c>
      <c r="X1152">
        <v>16</v>
      </c>
      <c r="Y1152">
        <v>3</v>
      </c>
      <c r="Z1152" t="s">
        <v>61</v>
      </c>
      <c r="AA1152">
        <v>16</v>
      </c>
      <c r="AB1152" t="s">
        <v>74</v>
      </c>
      <c r="AC1152">
        <v>15</v>
      </c>
      <c r="AD1152" t="s">
        <v>74</v>
      </c>
      <c r="AE1152">
        <v>1</v>
      </c>
      <c r="AF1152" t="s">
        <v>49</v>
      </c>
    </row>
    <row r="1153" spans="1:32" x14ac:dyDescent="0.25">
      <c r="A1153">
        <v>28</v>
      </c>
      <c r="B1153" t="s">
        <v>63</v>
      </c>
      <c r="C1153" t="s">
        <v>50</v>
      </c>
      <c r="D1153" t="s">
        <v>34</v>
      </c>
      <c r="E1153" t="s">
        <v>52</v>
      </c>
      <c r="F1153">
        <v>27</v>
      </c>
      <c r="G1153" t="s">
        <v>66</v>
      </c>
      <c r="H1153">
        <v>2</v>
      </c>
      <c r="I1153" t="s">
        <v>37</v>
      </c>
      <c r="J1153" t="s">
        <v>38</v>
      </c>
      <c r="K1153">
        <v>1</v>
      </c>
      <c r="L1153" t="s">
        <v>55</v>
      </c>
      <c r="M1153">
        <v>2</v>
      </c>
      <c r="N1153" t="s">
        <v>40</v>
      </c>
      <c r="O1153" t="s">
        <v>69</v>
      </c>
      <c r="P1153">
        <v>1</v>
      </c>
      <c r="Q1153" t="s">
        <v>57</v>
      </c>
      <c r="R1153" t="s">
        <v>67</v>
      </c>
      <c r="S1153">
        <v>0</v>
      </c>
      <c r="T1153" t="s">
        <v>44</v>
      </c>
      <c r="U1153" t="s">
        <v>59</v>
      </c>
      <c r="V1153">
        <v>21</v>
      </c>
      <c r="W1153" t="s">
        <v>60</v>
      </c>
      <c r="X1153">
        <v>6</v>
      </c>
      <c r="Y1153">
        <v>2</v>
      </c>
      <c r="Z1153" t="s">
        <v>46</v>
      </c>
      <c r="AA1153">
        <v>5</v>
      </c>
      <c r="AB1153" t="s">
        <v>47</v>
      </c>
      <c r="AC1153">
        <v>3</v>
      </c>
      <c r="AD1153" t="s">
        <v>48</v>
      </c>
      <c r="AE1153">
        <v>0</v>
      </c>
      <c r="AF1153" t="s">
        <v>49</v>
      </c>
    </row>
    <row r="1154" spans="1:32" x14ac:dyDescent="0.25">
      <c r="A1154">
        <v>21</v>
      </c>
      <c r="B1154" t="s">
        <v>63</v>
      </c>
      <c r="C1154" t="s">
        <v>50</v>
      </c>
      <c r="D1154" t="s">
        <v>34</v>
      </c>
      <c r="E1154" t="s">
        <v>52</v>
      </c>
      <c r="F1154">
        <v>5</v>
      </c>
      <c r="G1154" t="s">
        <v>36</v>
      </c>
      <c r="H1154">
        <v>3</v>
      </c>
      <c r="I1154" t="s">
        <v>42</v>
      </c>
      <c r="J1154" t="s">
        <v>54</v>
      </c>
      <c r="K1154">
        <v>3</v>
      </c>
      <c r="L1154" t="s">
        <v>39</v>
      </c>
      <c r="M1154">
        <v>1</v>
      </c>
      <c r="N1154" t="s">
        <v>40</v>
      </c>
      <c r="O1154" t="s">
        <v>56</v>
      </c>
      <c r="P1154">
        <v>4</v>
      </c>
      <c r="Q1154" t="s">
        <v>42</v>
      </c>
      <c r="R1154" t="s">
        <v>43</v>
      </c>
      <c r="S1154">
        <v>1</v>
      </c>
      <c r="T1154" t="s">
        <v>44</v>
      </c>
      <c r="U1154" t="s">
        <v>59</v>
      </c>
      <c r="V1154">
        <v>18</v>
      </c>
      <c r="W1154" t="s">
        <v>45</v>
      </c>
      <c r="X1154">
        <v>3</v>
      </c>
      <c r="Y1154">
        <v>3</v>
      </c>
      <c r="Z1154" t="s">
        <v>61</v>
      </c>
      <c r="AA1154">
        <v>2</v>
      </c>
      <c r="AB1154" t="s">
        <v>48</v>
      </c>
      <c r="AC1154">
        <v>2</v>
      </c>
      <c r="AD1154" t="s">
        <v>48</v>
      </c>
      <c r="AE1154">
        <v>2</v>
      </c>
      <c r="AF1154" t="s">
        <v>49</v>
      </c>
    </row>
    <row r="1155" spans="1:32" x14ac:dyDescent="0.25">
      <c r="A1155">
        <v>18</v>
      </c>
      <c r="B1155" t="s">
        <v>63</v>
      </c>
      <c r="C1155" t="s">
        <v>33</v>
      </c>
      <c r="D1155" t="s">
        <v>51</v>
      </c>
      <c r="E1155" t="s">
        <v>35</v>
      </c>
      <c r="F1155">
        <v>3</v>
      </c>
      <c r="G1155" t="s">
        <v>36</v>
      </c>
      <c r="H1155">
        <v>2</v>
      </c>
      <c r="I1155" t="s">
        <v>37</v>
      </c>
      <c r="J1155" t="s">
        <v>38</v>
      </c>
      <c r="K1155">
        <v>3</v>
      </c>
      <c r="L1155" t="s">
        <v>39</v>
      </c>
      <c r="M1155">
        <v>1</v>
      </c>
      <c r="N1155" t="s">
        <v>40</v>
      </c>
      <c r="O1155" t="s">
        <v>75</v>
      </c>
      <c r="P1155">
        <v>4</v>
      </c>
      <c r="Q1155" t="s">
        <v>42</v>
      </c>
      <c r="R1155" t="s">
        <v>43</v>
      </c>
      <c r="S1155">
        <v>1</v>
      </c>
      <c r="T1155" t="s">
        <v>44</v>
      </c>
      <c r="U1155" t="s">
        <v>44</v>
      </c>
      <c r="V1155">
        <v>12</v>
      </c>
      <c r="W1155" t="s">
        <v>45</v>
      </c>
      <c r="X1155">
        <v>0</v>
      </c>
      <c r="Y1155">
        <v>4</v>
      </c>
      <c r="Z1155" t="s">
        <v>61</v>
      </c>
      <c r="AA1155">
        <v>0</v>
      </c>
      <c r="AB1155" t="s">
        <v>48</v>
      </c>
      <c r="AC1155">
        <v>0</v>
      </c>
      <c r="AD1155" t="s">
        <v>48</v>
      </c>
      <c r="AE1155">
        <v>0</v>
      </c>
      <c r="AF1155" t="s">
        <v>49</v>
      </c>
    </row>
    <row r="1156" spans="1:32" x14ac:dyDescent="0.25">
      <c r="A1156">
        <v>47</v>
      </c>
      <c r="B1156" t="s">
        <v>32</v>
      </c>
      <c r="C1156" t="s">
        <v>50</v>
      </c>
      <c r="D1156" t="s">
        <v>34</v>
      </c>
      <c r="E1156" t="s">
        <v>77</v>
      </c>
      <c r="F1156">
        <v>26</v>
      </c>
      <c r="G1156" t="s">
        <v>66</v>
      </c>
      <c r="H1156">
        <v>4</v>
      </c>
      <c r="I1156" t="s">
        <v>42</v>
      </c>
      <c r="J1156" t="s">
        <v>38</v>
      </c>
      <c r="K1156">
        <v>3</v>
      </c>
      <c r="L1156" t="s">
        <v>39</v>
      </c>
      <c r="M1156">
        <v>5</v>
      </c>
      <c r="N1156" t="s">
        <v>72</v>
      </c>
      <c r="O1156" t="s">
        <v>73</v>
      </c>
      <c r="P1156">
        <v>3</v>
      </c>
      <c r="Q1156" t="s">
        <v>42</v>
      </c>
      <c r="R1156" t="s">
        <v>58</v>
      </c>
      <c r="S1156">
        <v>3</v>
      </c>
      <c r="T1156" t="s">
        <v>44</v>
      </c>
      <c r="U1156" t="s">
        <v>59</v>
      </c>
      <c r="V1156">
        <v>11</v>
      </c>
      <c r="W1156" t="s">
        <v>45</v>
      </c>
      <c r="X1156">
        <v>27</v>
      </c>
      <c r="Y1156">
        <v>3</v>
      </c>
      <c r="Z1156" t="s">
        <v>61</v>
      </c>
      <c r="AA1156">
        <v>5</v>
      </c>
      <c r="AB1156" t="s">
        <v>47</v>
      </c>
      <c r="AC1156">
        <v>2</v>
      </c>
      <c r="AD1156" t="s">
        <v>48</v>
      </c>
      <c r="AE1156">
        <v>1</v>
      </c>
      <c r="AF1156" t="s">
        <v>49</v>
      </c>
    </row>
    <row r="1157" spans="1:32" x14ac:dyDescent="0.25">
      <c r="A1157">
        <v>39</v>
      </c>
      <c r="B1157" t="s">
        <v>32</v>
      </c>
      <c r="C1157" t="s">
        <v>50</v>
      </c>
      <c r="D1157" t="s">
        <v>34</v>
      </c>
      <c r="E1157" t="s">
        <v>52</v>
      </c>
      <c r="F1157">
        <v>3</v>
      </c>
      <c r="G1157" t="s">
        <v>36</v>
      </c>
      <c r="H1157">
        <v>3</v>
      </c>
      <c r="I1157" t="s">
        <v>42</v>
      </c>
      <c r="J1157" t="s">
        <v>54</v>
      </c>
      <c r="K1157">
        <v>2</v>
      </c>
      <c r="L1157" t="s">
        <v>55</v>
      </c>
      <c r="M1157">
        <v>2</v>
      </c>
      <c r="N1157" t="s">
        <v>40</v>
      </c>
      <c r="O1157" t="s">
        <v>62</v>
      </c>
      <c r="P1157">
        <v>3</v>
      </c>
      <c r="Q1157" t="s">
        <v>42</v>
      </c>
      <c r="R1157" t="s">
        <v>67</v>
      </c>
      <c r="S1157">
        <v>0</v>
      </c>
      <c r="T1157" t="s">
        <v>44</v>
      </c>
      <c r="U1157" t="s">
        <v>59</v>
      </c>
      <c r="V1157">
        <v>15</v>
      </c>
      <c r="W1157" t="s">
        <v>45</v>
      </c>
      <c r="X1157">
        <v>11</v>
      </c>
      <c r="Y1157">
        <v>3</v>
      </c>
      <c r="Z1157" t="s">
        <v>61</v>
      </c>
      <c r="AA1157">
        <v>10</v>
      </c>
      <c r="AB1157" t="s">
        <v>47</v>
      </c>
      <c r="AC1157">
        <v>8</v>
      </c>
      <c r="AD1157" t="s">
        <v>47</v>
      </c>
      <c r="AE1157">
        <v>0</v>
      </c>
      <c r="AF1157" t="s">
        <v>49</v>
      </c>
    </row>
    <row r="1158" spans="1:32" x14ac:dyDescent="0.25">
      <c r="A1158">
        <v>40</v>
      </c>
      <c r="B1158" t="s">
        <v>32</v>
      </c>
      <c r="C1158" t="s">
        <v>50</v>
      </c>
      <c r="D1158" t="s">
        <v>34</v>
      </c>
      <c r="E1158" t="s">
        <v>52</v>
      </c>
      <c r="F1158">
        <v>15</v>
      </c>
      <c r="G1158" t="s">
        <v>66</v>
      </c>
      <c r="H1158">
        <v>1</v>
      </c>
      <c r="I1158" t="s">
        <v>37</v>
      </c>
      <c r="J1158" t="s">
        <v>38</v>
      </c>
      <c r="K1158">
        <v>2</v>
      </c>
      <c r="L1158" t="s">
        <v>55</v>
      </c>
      <c r="M1158">
        <v>3</v>
      </c>
      <c r="N1158" t="s">
        <v>68</v>
      </c>
      <c r="O1158" t="s">
        <v>69</v>
      </c>
      <c r="P1158">
        <v>3</v>
      </c>
      <c r="Q1158" t="s">
        <v>42</v>
      </c>
      <c r="R1158" t="s">
        <v>58</v>
      </c>
      <c r="S1158">
        <v>1</v>
      </c>
      <c r="T1158" t="s">
        <v>44</v>
      </c>
      <c r="U1158" t="s">
        <v>59</v>
      </c>
      <c r="V1158">
        <v>13</v>
      </c>
      <c r="W1158" t="s">
        <v>45</v>
      </c>
      <c r="X1158">
        <v>18</v>
      </c>
      <c r="Y1158">
        <v>3</v>
      </c>
      <c r="Z1158" t="s">
        <v>61</v>
      </c>
      <c r="AA1158">
        <v>18</v>
      </c>
      <c r="AB1158" t="s">
        <v>74</v>
      </c>
      <c r="AC1158">
        <v>15</v>
      </c>
      <c r="AD1158" t="s">
        <v>74</v>
      </c>
      <c r="AE1158">
        <v>14</v>
      </c>
      <c r="AF1158" t="s">
        <v>71</v>
      </c>
    </row>
    <row r="1159" spans="1:32" x14ac:dyDescent="0.25">
      <c r="A1159">
        <v>35</v>
      </c>
      <c r="B1159" t="s">
        <v>32</v>
      </c>
      <c r="C1159" t="s">
        <v>50</v>
      </c>
      <c r="D1159" t="s">
        <v>34</v>
      </c>
      <c r="E1159" t="s">
        <v>52</v>
      </c>
      <c r="F1159">
        <v>8</v>
      </c>
      <c r="G1159" t="s">
        <v>53</v>
      </c>
      <c r="H1159">
        <v>3</v>
      </c>
      <c r="I1159" t="s">
        <v>42</v>
      </c>
      <c r="J1159" t="s">
        <v>38</v>
      </c>
      <c r="K1159">
        <v>3</v>
      </c>
      <c r="L1159" t="s">
        <v>39</v>
      </c>
      <c r="M1159">
        <v>2</v>
      </c>
      <c r="N1159" t="s">
        <v>40</v>
      </c>
      <c r="O1159" t="s">
        <v>70</v>
      </c>
      <c r="P1159">
        <v>3</v>
      </c>
      <c r="Q1159" t="s">
        <v>42</v>
      </c>
      <c r="R1159" t="s">
        <v>58</v>
      </c>
      <c r="S1159">
        <v>1</v>
      </c>
      <c r="T1159" t="s">
        <v>44</v>
      </c>
      <c r="U1159" t="s">
        <v>59</v>
      </c>
      <c r="V1159">
        <v>12</v>
      </c>
      <c r="W1159" t="s">
        <v>45</v>
      </c>
      <c r="X1159">
        <v>15</v>
      </c>
      <c r="Y1159">
        <v>3</v>
      </c>
      <c r="Z1159" t="s">
        <v>61</v>
      </c>
      <c r="AA1159">
        <v>14</v>
      </c>
      <c r="AB1159" t="s">
        <v>74</v>
      </c>
      <c r="AC1159">
        <v>11</v>
      </c>
      <c r="AD1159" t="s">
        <v>74</v>
      </c>
      <c r="AE1159">
        <v>2</v>
      </c>
      <c r="AF1159" t="s">
        <v>49</v>
      </c>
    </row>
    <row r="1160" spans="1:32" x14ac:dyDescent="0.25">
      <c r="A1160">
        <v>37</v>
      </c>
      <c r="B1160" t="s">
        <v>32</v>
      </c>
      <c r="C1160" t="s">
        <v>50</v>
      </c>
      <c r="D1160" t="s">
        <v>34</v>
      </c>
      <c r="E1160" t="s">
        <v>52</v>
      </c>
      <c r="F1160">
        <v>19</v>
      </c>
      <c r="G1160" t="s">
        <v>66</v>
      </c>
      <c r="H1160">
        <v>3</v>
      </c>
      <c r="I1160" t="s">
        <v>42</v>
      </c>
      <c r="J1160" t="s">
        <v>54</v>
      </c>
      <c r="K1160">
        <v>3</v>
      </c>
      <c r="L1160" t="s">
        <v>39</v>
      </c>
      <c r="M1160">
        <v>2</v>
      </c>
      <c r="N1160" t="s">
        <v>40</v>
      </c>
      <c r="O1160" t="s">
        <v>69</v>
      </c>
      <c r="P1160">
        <v>3</v>
      </c>
      <c r="Q1160" t="s">
        <v>42</v>
      </c>
      <c r="R1160" t="s">
        <v>58</v>
      </c>
      <c r="S1160">
        <v>3</v>
      </c>
      <c r="T1160" t="s">
        <v>44</v>
      </c>
      <c r="U1160" t="s">
        <v>59</v>
      </c>
      <c r="V1160">
        <v>17</v>
      </c>
      <c r="W1160" t="s">
        <v>45</v>
      </c>
      <c r="X1160">
        <v>9</v>
      </c>
      <c r="Y1160">
        <v>2</v>
      </c>
      <c r="Z1160" t="s">
        <v>46</v>
      </c>
      <c r="AA1160">
        <v>4</v>
      </c>
      <c r="AB1160" t="s">
        <v>48</v>
      </c>
      <c r="AC1160">
        <v>3</v>
      </c>
      <c r="AD1160" t="s">
        <v>48</v>
      </c>
      <c r="AE1160">
        <v>0</v>
      </c>
      <c r="AF1160" t="s">
        <v>49</v>
      </c>
    </row>
    <row r="1161" spans="1:32" x14ac:dyDescent="0.25">
      <c r="A1161">
        <v>39</v>
      </c>
      <c r="B1161" t="s">
        <v>32</v>
      </c>
      <c r="C1161" t="s">
        <v>50</v>
      </c>
      <c r="D1161" t="s">
        <v>51</v>
      </c>
      <c r="E1161" t="s">
        <v>52</v>
      </c>
      <c r="F1161">
        <v>4</v>
      </c>
      <c r="G1161" t="s">
        <v>36</v>
      </c>
      <c r="H1161">
        <v>1</v>
      </c>
      <c r="I1161" t="s">
        <v>37</v>
      </c>
      <c r="J1161" t="s">
        <v>38</v>
      </c>
      <c r="K1161">
        <v>3</v>
      </c>
      <c r="L1161" t="s">
        <v>39</v>
      </c>
      <c r="M1161">
        <v>2</v>
      </c>
      <c r="N1161" t="s">
        <v>40</v>
      </c>
      <c r="O1161" t="s">
        <v>69</v>
      </c>
      <c r="P1161">
        <v>3</v>
      </c>
      <c r="Q1161" t="s">
        <v>42</v>
      </c>
      <c r="R1161" t="s">
        <v>43</v>
      </c>
      <c r="S1161">
        <v>0</v>
      </c>
      <c r="T1161" t="s">
        <v>44</v>
      </c>
      <c r="U1161" t="s">
        <v>59</v>
      </c>
      <c r="V1161">
        <v>13</v>
      </c>
      <c r="W1161" t="s">
        <v>45</v>
      </c>
      <c r="X1161">
        <v>10</v>
      </c>
      <c r="Y1161">
        <v>1</v>
      </c>
      <c r="Z1161" t="s">
        <v>46</v>
      </c>
      <c r="AA1161">
        <v>9</v>
      </c>
      <c r="AB1161" t="s">
        <v>47</v>
      </c>
      <c r="AC1161">
        <v>2</v>
      </c>
      <c r="AD1161" t="s">
        <v>48</v>
      </c>
      <c r="AE1161">
        <v>3</v>
      </c>
      <c r="AF1161" t="s">
        <v>49</v>
      </c>
    </row>
    <row r="1162" spans="1:32" x14ac:dyDescent="0.25">
      <c r="A1162">
        <v>45</v>
      </c>
      <c r="B1162" t="s">
        <v>32</v>
      </c>
      <c r="C1162" t="s">
        <v>50</v>
      </c>
      <c r="D1162" t="s">
        <v>34</v>
      </c>
      <c r="E1162" t="s">
        <v>52</v>
      </c>
      <c r="F1162">
        <v>2</v>
      </c>
      <c r="G1162" t="s">
        <v>36</v>
      </c>
      <c r="H1162">
        <v>4</v>
      </c>
      <c r="I1162" t="s">
        <v>42</v>
      </c>
      <c r="J1162" t="s">
        <v>38</v>
      </c>
      <c r="K1162">
        <v>2</v>
      </c>
      <c r="L1162" t="s">
        <v>55</v>
      </c>
      <c r="M1162">
        <v>2</v>
      </c>
      <c r="N1162" t="s">
        <v>40</v>
      </c>
      <c r="O1162" t="s">
        <v>69</v>
      </c>
      <c r="P1162">
        <v>4</v>
      </c>
      <c r="Q1162" t="s">
        <v>42</v>
      </c>
      <c r="R1162" t="s">
        <v>67</v>
      </c>
      <c r="S1162">
        <v>1</v>
      </c>
      <c r="T1162" t="s">
        <v>44</v>
      </c>
      <c r="U1162" t="s">
        <v>59</v>
      </c>
      <c r="V1162">
        <v>19</v>
      </c>
      <c r="W1162" t="s">
        <v>45</v>
      </c>
      <c r="X1162">
        <v>10</v>
      </c>
      <c r="Y1162">
        <v>3</v>
      </c>
      <c r="Z1162" t="s">
        <v>61</v>
      </c>
      <c r="AA1162">
        <v>10</v>
      </c>
      <c r="AB1162" t="s">
        <v>47</v>
      </c>
      <c r="AC1162">
        <v>7</v>
      </c>
      <c r="AD1162" t="s">
        <v>47</v>
      </c>
      <c r="AE1162">
        <v>3</v>
      </c>
      <c r="AF1162" t="s">
        <v>49</v>
      </c>
    </row>
    <row r="1163" spans="1:32" x14ac:dyDescent="0.25">
      <c r="A1163">
        <v>38</v>
      </c>
      <c r="B1163" t="s">
        <v>32</v>
      </c>
      <c r="C1163" t="s">
        <v>50</v>
      </c>
      <c r="D1163" t="s">
        <v>34</v>
      </c>
      <c r="E1163" t="s">
        <v>52</v>
      </c>
      <c r="F1163">
        <v>2</v>
      </c>
      <c r="G1163" t="s">
        <v>36</v>
      </c>
      <c r="H1163">
        <v>4</v>
      </c>
      <c r="I1163" t="s">
        <v>42</v>
      </c>
      <c r="J1163" t="s">
        <v>38</v>
      </c>
      <c r="K1163">
        <v>2</v>
      </c>
      <c r="L1163" t="s">
        <v>55</v>
      </c>
      <c r="M1163">
        <v>3</v>
      </c>
      <c r="N1163" t="s">
        <v>68</v>
      </c>
      <c r="O1163" t="s">
        <v>69</v>
      </c>
      <c r="P1163">
        <v>3</v>
      </c>
      <c r="Q1163" t="s">
        <v>42</v>
      </c>
      <c r="R1163" t="s">
        <v>58</v>
      </c>
      <c r="S1163">
        <v>3</v>
      </c>
      <c r="T1163" t="s">
        <v>44</v>
      </c>
      <c r="U1163" t="s">
        <v>44</v>
      </c>
      <c r="V1163">
        <v>19</v>
      </c>
      <c r="W1163" t="s">
        <v>45</v>
      </c>
      <c r="X1163">
        <v>10</v>
      </c>
      <c r="Y1163">
        <v>4</v>
      </c>
      <c r="Z1163" t="s">
        <v>61</v>
      </c>
      <c r="AA1163">
        <v>5</v>
      </c>
      <c r="AB1163" t="s">
        <v>47</v>
      </c>
      <c r="AC1163">
        <v>4</v>
      </c>
      <c r="AD1163" t="s">
        <v>48</v>
      </c>
      <c r="AE1163">
        <v>0</v>
      </c>
      <c r="AF1163" t="s">
        <v>49</v>
      </c>
    </row>
    <row r="1164" spans="1:32" x14ac:dyDescent="0.25">
      <c r="A1164">
        <v>35</v>
      </c>
      <c r="B1164" t="s">
        <v>32</v>
      </c>
      <c r="C1164" t="s">
        <v>33</v>
      </c>
      <c r="D1164" t="s">
        <v>34</v>
      </c>
      <c r="E1164" t="s">
        <v>35</v>
      </c>
      <c r="F1164">
        <v>10</v>
      </c>
      <c r="G1164" t="s">
        <v>53</v>
      </c>
      <c r="H1164">
        <v>4</v>
      </c>
      <c r="I1164" t="s">
        <v>42</v>
      </c>
      <c r="J1164" t="s">
        <v>54</v>
      </c>
      <c r="K1164">
        <v>2</v>
      </c>
      <c r="L1164" t="s">
        <v>55</v>
      </c>
      <c r="M1164">
        <v>3</v>
      </c>
      <c r="N1164" t="s">
        <v>68</v>
      </c>
      <c r="O1164" t="s">
        <v>41</v>
      </c>
      <c r="P1164">
        <v>1</v>
      </c>
      <c r="Q1164" t="s">
        <v>57</v>
      </c>
      <c r="R1164" t="s">
        <v>58</v>
      </c>
      <c r="S1164">
        <v>9</v>
      </c>
      <c r="T1164" t="s">
        <v>44</v>
      </c>
      <c r="U1164" t="s">
        <v>59</v>
      </c>
      <c r="V1164">
        <v>17</v>
      </c>
      <c r="W1164" t="s">
        <v>45</v>
      </c>
      <c r="X1164">
        <v>15</v>
      </c>
      <c r="Y1164">
        <v>3</v>
      </c>
      <c r="Z1164" t="s">
        <v>61</v>
      </c>
      <c r="AA1164">
        <v>13</v>
      </c>
      <c r="AB1164" t="s">
        <v>74</v>
      </c>
      <c r="AC1164">
        <v>12</v>
      </c>
      <c r="AD1164" t="s">
        <v>74</v>
      </c>
      <c r="AE1164">
        <v>6</v>
      </c>
      <c r="AF1164" t="s">
        <v>71</v>
      </c>
    </row>
    <row r="1165" spans="1:32" x14ac:dyDescent="0.25">
      <c r="A1165">
        <v>37</v>
      </c>
      <c r="B1165" t="s">
        <v>32</v>
      </c>
      <c r="C1165" t="s">
        <v>50</v>
      </c>
      <c r="D1165" t="s">
        <v>34</v>
      </c>
      <c r="E1165" t="s">
        <v>52</v>
      </c>
      <c r="F1165">
        <v>10</v>
      </c>
      <c r="G1165" t="s">
        <v>53</v>
      </c>
      <c r="H1165">
        <v>2</v>
      </c>
      <c r="I1165" t="s">
        <v>37</v>
      </c>
      <c r="J1165" t="s">
        <v>38</v>
      </c>
      <c r="K1165">
        <v>3</v>
      </c>
      <c r="L1165" t="s">
        <v>39</v>
      </c>
      <c r="M1165">
        <v>1</v>
      </c>
      <c r="N1165" t="s">
        <v>40</v>
      </c>
      <c r="O1165" t="s">
        <v>56</v>
      </c>
      <c r="P1165">
        <v>2</v>
      </c>
      <c r="Q1165" t="s">
        <v>57</v>
      </c>
      <c r="R1165" t="s">
        <v>58</v>
      </c>
      <c r="S1165">
        <v>1</v>
      </c>
      <c r="T1165" t="s">
        <v>44</v>
      </c>
      <c r="U1165" t="s">
        <v>59</v>
      </c>
      <c r="V1165">
        <v>11</v>
      </c>
      <c r="W1165" t="s">
        <v>45</v>
      </c>
      <c r="X1165">
        <v>8</v>
      </c>
      <c r="Y1165">
        <v>1</v>
      </c>
      <c r="Z1165" t="s">
        <v>46</v>
      </c>
      <c r="AA1165">
        <v>8</v>
      </c>
      <c r="AB1165" t="s">
        <v>47</v>
      </c>
      <c r="AC1165">
        <v>4</v>
      </c>
      <c r="AD1165" t="s">
        <v>48</v>
      </c>
      <c r="AE1165">
        <v>7</v>
      </c>
      <c r="AF1165" t="s">
        <v>71</v>
      </c>
    </row>
    <row r="1166" spans="1:32" x14ac:dyDescent="0.25">
      <c r="A1166">
        <v>40</v>
      </c>
      <c r="B1166" t="s">
        <v>32</v>
      </c>
      <c r="C1166" t="s">
        <v>50</v>
      </c>
      <c r="D1166" t="s">
        <v>34</v>
      </c>
      <c r="E1166" t="s">
        <v>52</v>
      </c>
      <c r="F1166">
        <v>16</v>
      </c>
      <c r="G1166" t="s">
        <v>66</v>
      </c>
      <c r="H1166">
        <v>3</v>
      </c>
      <c r="I1166" t="s">
        <v>42</v>
      </c>
      <c r="J1166" t="s">
        <v>38</v>
      </c>
      <c r="K1166">
        <v>3</v>
      </c>
      <c r="L1166" t="s">
        <v>39</v>
      </c>
      <c r="M1166">
        <v>3</v>
      </c>
      <c r="N1166" t="s">
        <v>68</v>
      </c>
      <c r="O1166" t="s">
        <v>69</v>
      </c>
      <c r="P1166">
        <v>4</v>
      </c>
      <c r="Q1166" t="s">
        <v>42</v>
      </c>
      <c r="R1166" t="s">
        <v>43</v>
      </c>
      <c r="S1166">
        <v>6</v>
      </c>
      <c r="T1166" t="s">
        <v>44</v>
      </c>
      <c r="U1166" t="s">
        <v>44</v>
      </c>
      <c r="V1166">
        <v>15</v>
      </c>
      <c r="W1166" t="s">
        <v>45</v>
      </c>
      <c r="X1166">
        <v>18</v>
      </c>
      <c r="Y1166">
        <v>2</v>
      </c>
      <c r="Z1166" t="s">
        <v>46</v>
      </c>
      <c r="AA1166">
        <v>4</v>
      </c>
      <c r="AB1166" t="s">
        <v>48</v>
      </c>
      <c r="AC1166">
        <v>2</v>
      </c>
      <c r="AD1166" t="s">
        <v>48</v>
      </c>
      <c r="AE1166">
        <v>3</v>
      </c>
      <c r="AF1166" t="s">
        <v>49</v>
      </c>
    </row>
    <row r="1167" spans="1:32" x14ac:dyDescent="0.25">
      <c r="A1167">
        <v>44</v>
      </c>
      <c r="B1167" t="s">
        <v>32</v>
      </c>
      <c r="C1167" t="s">
        <v>50</v>
      </c>
      <c r="D1167" t="s">
        <v>51</v>
      </c>
      <c r="E1167" t="s">
        <v>77</v>
      </c>
      <c r="F1167">
        <v>1</v>
      </c>
      <c r="G1167" t="s">
        <v>36</v>
      </c>
      <c r="H1167">
        <v>1</v>
      </c>
      <c r="I1167" t="s">
        <v>37</v>
      </c>
      <c r="J1167" t="s">
        <v>54</v>
      </c>
      <c r="K1167">
        <v>3</v>
      </c>
      <c r="L1167" t="s">
        <v>39</v>
      </c>
      <c r="M1167">
        <v>2</v>
      </c>
      <c r="N1167" t="s">
        <v>40</v>
      </c>
      <c r="O1167" t="s">
        <v>77</v>
      </c>
      <c r="P1167">
        <v>4</v>
      </c>
      <c r="Q1167" t="s">
        <v>42</v>
      </c>
      <c r="R1167" t="s">
        <v>58</v>
      </c>
      <c r="S1167">
        <v>4</v>
      </c>
      <c r="T1167" t="s">
        <v>44</v>
      </c>
      <c r="U1167" t="s">
        <v>44</v>
      </c>
      <c r="V1167">
        <v>11</v>
      </c>
      <c r="W1167" t="s">
        <v>45</v>
      </c>
      <c r="X1167">
        <v>14</v>
      </c>
      <c r="Y1167">
        <v>3</v>
      </c>
      <c r="Z1167" t="s">
        <v>61</v>
      </c>
      <c r="AA1167">
        <v>10</v>
      </c>
      <c r="AB1167" t="s">
        <v>47</v>
      </c>
      <c r="AC1167">
        <v>7</v>
      </c>
      <c r="AD1167" t="s">
        <v>47</v>
      </c>
      <c r="AE1167">
        <v>0</v>
      </c>
      <c r="AF1167" t="s">
        <v>49</v>
      </c>
    </row>
    <row r="1168" spans="1:32" x14ac:dyDescent="0.25">
      <c r="A1168">
        <v>48</v>
      </c>
      <c r="B1168" t="s">
        <v>32</v>
      </c>
      <c r="C1168" t="s">
        <v>50</v>
      </c>
      <c r="D1168" t="s">
        <v>51</v>
      </c>
      <c r="E1168" t="s">
        <v>52</v>
      </c>
      <c r="F1168">
        <v>4</v>
      </c>
      <c r="G1168" t="s">
        <v>36</v>
      </c>
      <c r="H1168">
        <v>3</v>
      </c>
      <c r="I1168" t="s">
        <v>42</v>
      </c>
      <c r="J1168" t="s">
        <v>54</v>
      </c>
      <c r="K1168">
        <v>2</v>
      </c>
      <c r="L1168" t="s">
        <v>55</v>
      </c>
      <c r="M1168">
        <v>4</v>
      </c>
      <c r="N1168" t="s">
        <v>72</v>
      </c>
      <c r="O1168" t="s">
        <v>73</v>
      </c>
      <c r="P1168">
        <v>4</v>
      </c>
      <c r="Q1168" t="s">
        <v>42</v>
      </c>
      <c r="R1168" t="s">
        <v>58</v>
      </c>
      <c r="S1168">
        <v>2</v>
      </c>
      <c r="T1168" t="s">
        <v>44</v>
      </c>
      <c r="U1168" t="s">
        <v>59</v>
      </c>
      <c r="V1168">
        <v>25</v>
      </c>
      <c r="W1168" t="s">
        <v>60</v>
      </c>
      <c r="X1168">
        <v>23</v>
      </c>
      <c r="Y1168">
        <v>3</v>
      </c>
      <c r="Z1168" t="s">
        <v>61</v>
      </c>
      <c r="AA1168">
        <v>2</v>
      </c>
      <c r="AB1168" t="s">
        <v>48</v>
      </c>
      <c r="AC1168">
        <v>2</v>
      </c>
      <c r="AD1168" t="s">
        <v>48</v>
      </c>
      <c r="AE1168">
        <v>2</v>
      </c>
      <c r="AF1168" t="s">
        <v>49</v>
      </c>
    </row>
    <row r="1169" spans="1:32" x14ac:dyDescent="0.25">
      <c r="A1169">
        <v>35</v>
      </c>
      <c r="B1169" t="s">
        <v>32</v>
      </c>
      <c r="C1169" t="s">
        <v>33</v>
      </c>
      <c r="D1169" t="s">
        <v>34</v>
      </c>
      <c r="E1169" t="s">
        <v>35</v>
      </c>
      <c r="F1169">
        <v>15</v>
      </c>
      <c r="G1169" t="s">
        <v>66</v>
      </c>
      <c r="H1169">
        <v>1</v>
      </c>
      <c r="I1169" t="s">
        <v>37</v>
      </c>
      <c r="J1169" t="s">
        <v>54</v>
      </c>
      <c r="K1169">
        <v>1</v>
      </c>
      <c r="L1169" t="s">
        <v>55</v>
      </c>
      <c r="M1169">
        <v>2</v>
      </c>
      <c r="N1169" t="s">
        <v>40</v>
      </c>
      <c r="O1169" t="s">
        <v>41</v>
      </c>
      <c r="P1169">
        <v>4</v>
      </c>
      <c r="Q1169" t="s">
        <v>42</v>
      </c>
      <c r="R1169" t="s">
        <v>67</v>
      </c>
      <c r="S1169">
        <v>6</v>
      </c>
      <c r="T1169" t="s">
        <v>44</v>
      </c>
      <c r="U1169" t="s">
        <v>44</v>
      </c>
      <c r="V1169">
        <v>14</v>
      </c>
      <c r="W1169" t="s">
        <v>45</v>
      </c>
      <c r="X1169">
        <v>7</v>
      </c>
      <c r="Y1169">
        <v>2</v>
      </c>
      <c r="Z1169" t="s">
        <v>46</v>
      </c>
      <c r="AA1169">
        <v>2</v>
      </c>
      <c r="AB1169" t="s">
        <v>48</v>
      </c>
      <c r="AC1169">
        <v>2</v>
      </c>
      <c r="AD1169" t="s">
        <v>48</v>
      </c>
      <c r="AE1169">
        <v>2</v>
      </c>
      <c r="AF1169" t="s">
        <v>49</v>
      </c>
    </row>
    <row r="1170" spans="1:32" x14ac:dyDescent="0.25">
      <c r="A1170">
        <v>24</v>
      </c>
      <c r="B1170" t="s">
        <v>63</v>
      </c>
      <c r="C1170" t="s">
        <v>50</v>
      </c>
      <c r="D1170" t="s">
        <v>51</v>
      </c>
      <c r="E1170" t="s">
        <v>52</v>
      </c>
      <c r="F1170">
        <v>2</v>
      </c>
      <c r="G1170" t="s">
        <v>36</v>
      </c>
      <c r="H1170">
        <v>1</v>
      </c>
      <c r="I1170" t="s">
        <v>37</v>
      </c>
      <c r="J1170" t="s">
        <v>38</v>
      </c>
      <c r="K1170">
        <v>3</v>
      </c>
      <c r="L1170" t="s">
        <v>39</v>
      </c>
      <c r="M1170">
        <v>1</v>
      </c>
      <c r="N1170" t="s">
        <v>40</v>
      </c>
      <c r="O1170" t="s">
        <v>56</v>
      </c>
      <c r="P1170">
        <v>4</v>
      </c>
      <c r="Q1170" t="s">
        <v>42</v>
      </c>
      <c r="R1170" t="s">
        <v>43</v>
      </c>
      <c r="S1170">
        <v>1</v>
      </c>
      <c r="T1170" t="s">
        <v>44</v>
      </c>
      <c r="U1170" t="s">
        <v>44</v>
      </c>
      <c r="V1170">
        <v>13</v>
      </c>
      <c r="W1170" t="s">
        <v>45</v>
      </c>
      <c r="X1170">
        <v>6</v>
      </c>
      <c r="Y1170">
        <v>3</v>
      </c>
      <c r="Z1170" t="s">
        <v>61</v>
      </c>
      <c r="AA1170">
        <v>6</v>
      </c>
      <c r="AB1170" t="s">
        <v>47</v>
      </c>
      <c r="AC1170">
        <v>3</v>
      </c>
      <c r="AD1170" t="s">
        <v>48</v>
      </c>
      <c r="AE1170">
        <v>1</v>
      </c>
      <c r="AF1170" t="s">
        <v>49</v>
      </c>
    </row>
    <row r="1171" spans="1:32" x14ac:dyDescent="0.25">
      <c r="A1171">
        <v>27</v>
      </c>
      <c r="B1171" t="s">
        <v>63</v>
      </c>
      <c r="C1171" t="s">
        <v>50</v>
      </c>
      <c r="D1171" t="s">
        <v>34</v>
      </c>
      <c r="E1171" t="s">
        <v>52</v>
      </c>
      <c r="F1171">
        <v>8</v>
      </c>
      <c r="G1171" t="s">
        <v>53</v>
      </c>
      <c r="H1171">
        <v>2</v>
      </c>
      <c r="I1171" t="s">
        <v>37</v>
      </c>
      <c r="J1171" t="s">
        <v>38</v>
      </c>
      <c r="K1171">
        <v>4</v>
      </c>
      <c r="L1171" t="s">
        <v>65</v>
      </c>
      <c r="M1171">
        <v>1</v>
      </c>
      <c r="N1171" t="s">
        <v>40</v>
      </c>
      <c r="O1171" t="s">
        <v>56</v>
      </c>
      <c r="P1171">
        <v>3</v>
      </c>
      <c r="Q1171" t="s">
        <v>42</v>
      </c>
      <c r="R1171" t="s">
        <v>58</v>
      </c>
      <c r="S1171">
        <v>7</v>
      </c>
      <c r="T1171" t="s">
        <v>44</v>
      </c>
      <c r="U1171" t="s">
        <v>59</v>
      </c>
      <c r="V1171">
        <v>17</v>
      </c>
      <c r="W1171" t="s">
        <v>45</v>
      </c>
      <c r="X1171">
        <v>5</v>
      </c>
      <c r="Y1171">
        <v>3</v>
      </c>
      <c r="Z1171" t="s">
        <v>61</v>
      </c>
      <c r="AA1171">
        <v>3</v>
      </c>
      <c r="AB1171" t="s">
        <v>48</v>
      </c>
      <c r="AC1171">
        <v>2</v>
      </c>
      <c r="AD1171" t="s">
        <v>48</v>
      </c>
      <c r="AE1171">
        <v>0</v>
      </c>
      <c r="AF1171" t="s">
        <v>49</v>
      </c>
    </row>
    <row r="1172" spans="1:32" x14ac:dyDescent="0.25">
      <c r="A1172">
        <v>27</v>
      </c>
      <c r="B1172" t="s">
        <v>63</v>
      </c>
      <c r="C1172" t="s">
        <v>50</v>
      </c>
      <c r="D1172" t="s">
        <v>51</v>
      </c>
      <c r="E1172" t="s">
        <v>52</v>
      </c>
      <c r="F1172">
        <v>2</v>
      </c>
      <c r="G1172" t="s">
        <v>36</v>
      </c>
      <c r="H1172">
        <v>4</v>
      </c>
      <c r="I1172" t="s">
        <v>42</v>
      </c>
      <c r="J1172" t="s">
        <v>54</v>
      </c>
      <c r="K1172">
        <v>3</v>
      </c>
      <c r="L1172" t="s">
        <v>39</v>
      </c>
      <c r="M1172">
        <v>1</v>
      </c>
      <c r="N1172" t="s">
        <v>40</v>
      </c>
      <c r="O1172" t="s">
        <v>56</v>
      </c>
      <c r="P1172">
        <v>4</v>
      </c>
      <c r="Q1172" t="s">
        <v>42</v>
      </c>
      <c r="R1172" t="s">
        <v>43</v>
      </c>
      <c r="S1172">
        <v>2</v>
      </c>
      <c r="T1172" t="s">
        <v>44</v>
      </c>
      <c r="U1172" t="s">
        <v>59</v>
      </c>
      <c r="V1172">
        <v>13</v>
      </c>
      <c r="W1172" t="s">
        <v>45</v>
      </c>
      <c r="X1172">
        <v>6</v>
      </c>
      <c r="Y1172">
        <v>2</v>
      </c>
      <c r="Z1172" t="s">
        <v>46</v>
      </c>
      <c r="AA1172">
        <v>4</v>
      </c>
      <c r="AB1172" t="s">
        <v>48</v>
      </c>
      <c r="AC1172">
        <v>2</v>
      </c>
      <c r="AD1172" t="s">
        <v>48</v>
      </c>
      <c r="AE1172">
        <v>1</v>
      </c>
      <c r="AF1172" t="s">
        <v>49</v>
      </c>
    </row>
    <row r="1173" spans="1:32" x14ac:dyDescent="0.25">
      <c r="A1173">
        <v>40</v>
      </c>
      <c r="B1173" t="s">
        <v>32</v>
      </c>
      <c r="C1173" t="s">
        <v>33</v>
      </c>
      <c r="D1173" t="s">
        <v>34</v>
      </c>
      <c r="E1173" t="s">
        <v>52</v>
      </c>
      <c r="F1173">
        <v>7</v>
      </c>
      <c r="G1173" t="s">
        <v>53</v>
      </c>
      <c r="H1173">
        <v>1</v>
      </c>
      <c r="I1173" t="s">
        <v>37</v>
      </c>
      <c r="J1173" t="s">
        <v>54</v>
      </c>
      <c r="K1173">
        <v>3</v>
      </c>
      <c r="L1173" t="s">
        <v>39</v>
      </c>
      <c r="M1173">
        <v>1</v>
      </c>
      <c r="N1173" t="s">
        <v>40</v>
      </c>
      <c r="O1173" t="s">
        <v>62</v>
      </c>
      <c r="P1173">
        <v>1</v>
      </c>
      <c r="Q1173" t="s">
        <v>57</v>
      </c>
      <c r="R1173" t="s">
        <v>43</v>
      </c>
      <c r="S1173">
        <v>3</v>
      </c>
      <c r="T1173" t="s">
        <v>44</v>
      </c>
      <c r="U1173" t="s">
        <v>44</v>
      </c>
      <c r="V1173">
        <v>14</v>
      </c>
      <c r="W1173" t="s">
        <v>45</v>
      </c>
      <c r="X1173">
        <v>10</v>
      </c>
      <c r="Y1173">
        <v>1</v>
      </c>
      <c r="Z1173" t="s">
        <v>46</v>
      </c>
      <c r="AA1173">
        <v>4</v>
      </c>
      <c r="AB1173" t="s">
        <v>48</v>
      </c>
      <c r="AC1173">
        <v>2</v>
      </c>
      <c r="AD1173" t="s">
        <v>48</v>
      </c>
      <c r="AE1173">
        <v>0</v>
      </c>
      <c r="AF1173" t="s">
        <v>49</v>
      </c>
    </row>
    <row r="1174" spans="1:32" x14ac:dyDescent="0.25">
      <c r="A1174">
        <v>29</v>
      </c>
      <c r="B1174" t="s">
        <v>63</v>
      </c>
      <c r="C1174" t="s">
        <v>50</v>
      </c>
      <c r="D1174" t="s">
        <v>34</v>
      </c>
      <c r="E1174" t="s">
        <v>35</v>
      </c>
      <c r="F1174">
        <v>10</v>
      </c>
      <c r="G1174" t="s">
        <v>53</v>
      </c>
      <c r="H1174">
        <v>3</v>
      </c>
      <c r="I1174" t="s">
        <v>42</v>
      </c>
      <c r="J1174" t="s">
        <v>54</v>
      </c>
      <c r="K1174">
        <v>2</v>
      </c>
      <c r="L1174" t="s">
        <v>55</v>
      </c>
      <c r="M1174">
        <v>2</v>
      </c>
      <c r="N1174" t="s">
        <v>40</v>
      </c>
      <c r="O1174" t="s">
        <v>41</v>
      </c>
      <c r="P1174">
        <v>3</v>
      </c>
      <c r="Q1174" t="s">
        <v>42</v>
      </c>
      <c r="R1174" t="s">
        <v>43</v>
      </c>
      <c r="S1174">
        <v>9</v>
      </c>
      <c r="T1174" t="s">
        <v>44</v>
      </c>
      <c r="U1174" t="s">
        <v>59</v>
      </c>
      <c r="V1174">
        <v>11</v>
      </c>
      <c r="W1174" t="s">
        <v>45</v>
      </c>
      <c r="X1174">
        <v>8</v>
      </c>
      <c r="Y1174">
        <v>3</v>
      </c>
      <c r="Z1174" t="s">
        <v>61</v>
      </c>
      <c r="AA1174">
        <v>5</v>
      </c>
      <c r="AB1174" t="s">
        <v>47</v>
      </c>
      <c r="AC1174">
        <v>2</v>
      </c>
      <c r="AD1174" t="s">
        <v>48</v>
      </c>
      <c r="AE1174">
        <v>1</v>
      </c>
      <c r="AF1174" t="s">
        <v>49</v>
      </c>
    </row>
    <row r="1175" spans="1:32" x14ac:dyDescent="0.25">
      <c r="A1175">
        <v>36</v>
      </c>
      <c r="B1175" t="s">
        <v>32</v>
      </c>
      <c r="C1175" t="s">
        <v>50</v>
      </c>
      <c r="D1175" t="s">
        <v>34</v>
      </c>
      <c r="E1175" t="s">
        <v>52</v>
      </c>
      <c r="F1175">
        <v>5</v>
      </c>
      <c r="G1175" t="s">
        <v>36</v>
      </c>
      <c r="H1175">
        <v>2</v>
      </c>
      <c r="I1175" t="s">
        <v>37</v>
      </c>
      <c r="J1175" t="s">
        <v>38</v>
      </c>
      <c r="K1175">
        <v>3</v>
      </c>
      <c r="L1175" t="s">
        <v>39</v>
      </c>
      <c r="M1175">
        <v>3</v>
      </c>
      <c r="N1175" t="s">
        <v>68</v>
      </c>
      <c r="O1175" t="s">
        <v>70</v>
      </c>
      <c r="P1175">
        <v>1</v>
      </c>
      <c r="Q1175" t="s">
        <v>57</v>
      </c>
      <c r="R1175" t="s">
        <v>58</v>
      </c>
      <c r="S1175">
        <v>4</v>
      </c>
      <c r="T1175" t="s">
        <v>44</v>
      </c>
      <c r="U1175" t="s">
        <v>59</v>
      </c>
      <c r="V1175">
        <v>12</v>
      </c>
      <c r="W1175" t="s">
        <v>45</v>
      </c>
      <c r="X1175">
        <v>9</v>
      </c>
      <c r="Y1175">
        <v>3</v>
      </c>
      <c r="Z1175" t="s">
        <v>61</v>
      </c>
      <c r="AA1175">
        <v>3</v>
      </c>
      <c r="AB1175" t="s">
        <v>48</v>
      </c>
      <c r="AC1175">
        <v>2</v>
      </c>
      <c r="AD1175" t="s">
        <v>48</v>
      </c>
      <c r="AE1175">
        <v>0</v>
      </c>
      <c r="AF1175" t="s">
        <v>49</v>
      </c>
    </row>
    <row r="1176" spans="1:32" x14ac:dyDescent="0.25">
      <c r="A1176">
        <v>25</v>
      </c>
      <c r="B1176" t="s">
        <v>63</v>
      </c>
      <c r="C1176" t="s">
        <v>50</v>
      </c>
      <c r="D1176" t="s">
        <v>51</v>
      </c>
      <c r="E1176" t="s">
        <v>52</v>
      </c>
      <c r="F1176">
        <v>2</v>
      </c>
      <c r="G1176" t="s">
        <v>36</v>
      </c>
      <c r="H1176">
        <v>4</v>
      </c>
      <c r="I1176" t="s">
        <v>42</v>
      </c>
      <c r="J1176" t="s">
        <v>54</v>
      </c>
      <c r="K1176">
        <v>4</v>
      </c>
      <c r="L1176" t="s">
        <v>65</v>
      </c>
      <c r="M1176">
        <v>2</v>
      </c>
      <c r="N1176" t="s">
        <v>40</v>
      </c>
      <c r="O1176" t="s">
        <v>69</v>
      </c>
      <c r="P1176">
        <v>3</v>
      </c>
      <c r="Q1176" t="s">
        <v>42</v>
      </c>
      <c r="R1176" t="s">
        <v>67</v>
      </c>
      <c r="S1176">
        <v>1</v>
      </c>
      <c r="T1176" t="s">
        <v>44</v>
      </c>
      <c r="U1176" t="s">
        <v>59</v>
      </c>
      <c r="V1176">
        <v>17</v>
      </c>
      <c r="W1176" t="s">
        <v>45</v>
      </c>
      <c r="X1176">
        <v>7</v>
      </c>
      <c r="Y1176">
        <v>3</v>
      </c>
      <c r="Z1176" t="s">
        <v>61</v>
      </c>
      <c r="AA1176">
        <v>7</v>
      </c>
      <c r="AB1176" t="s">
        <v>47</v>
      </c>
      <c r="AC1176">
        <v>7</v>
      </c>
      <c r="AD1176" t="s">
        <v>47</v>
      </c>
      <c r="AE1176">
        <v>0</v>
      </c>
      <c r="AF1176" t="s">
        <v>49</v>
      </c>
    </row>
    <row r="1177" spans="1:32" x14ac:dyDescent="0.25">
      <c r="A1177">
        <v>39</v>
      </c>
      <c r="B1177" t="s">
        <v>32</v>
      </c>
      <c r="C1177" t="s">
        <v>50</v>
      </c>
      <c r="D1177" t="s">
        <v>34</v>
      </c>
      <c r="E1177" t="s">
        <v>52</v>
      </c>
      <c r="F1177">
        <v>12</v>
      </c>
      <c r="G1177" t="s">
        <v>53</v>
      </c>
      <c r="H1177">
        <v>4</v>
      </c>
      <c r="I1177" t="s">
        <v>42</v>
      </c>
      <c r="J1177" t="s">
        <v>54</v>
      </c>
      <c r="K1177">
        <v>3</v>
      </c>
      <c r="L1177" t="s">
        <v>39</v>
      </c>
      <c r="M1177">
        <v>2</v>
      </c>
      <c r="N1177" t="s">
        <v>40</v>
      </c>
      <c r="O1177" t="s">
        <v>69</v>
      </c>
      <c r="P1177">
        <v>2</v>
      </c>
      <c r="Q1177" t="s">
        <v>57</v>
      </c>
      <c r="R1177" t="s">
        <v>58</v>
      </c>
      <c r="S1177">
        <v>4</v>
      </c>
      <c r="T1177" t="s">
        <v>44</v>
      </c>
      <c r="U1177" t="s">
        <v>59</v>
      </c>
      <c r="V1177">
        <v>21</v>
      </c>
      <c r="W1177" t="s">
        <v>60</v>
      </c>
      <c r="X1177">
        <v>7</v>
      </c>
      <c r="Y1177">
        <v>3</v>
      </c>
      <c r="Z1177" t="s">
        <v>61</v>
      </c>
      <c r="AA1177">
        <v>5</v>
      </c>
      <c r="AB1177" t="s">
        <v>47</v>
      </c>
      <c r="AC1177">
        <v>4</v>
      </c>
      <c r="AD1177" t="s">
        <v>48</v>
      </c>
      <c r="AE1177">
        <v>1</v>
      </c>
      <c r="AF1177" t="s">
        <v>49</v>
      </c>
    </row>
    <row r="1178" spans="1:32" x14ac:dyDescent="0.25">
      <c r="A1178">
        <v>49</v>
      </c>
      <c r="B1178" t="s">
        <v>32</v>
      </c>
      <c r="C1178" t="s">
        <v>50</v>
      </c>
      <c r="D1178" t="s">
        <v>34</v>
      </c>
      <c r="E1178" t="s">
        <v>52</v>
      </c>
      <c r="F1178">
        <v>22</v>
      </c>
      <c r="G1178" t="s">
        <v>66</v>
      </c>
      <c r="H1178">
        <v>1</v>
      </c>
      <c r="I1178" t="s">
        <v>37</v>
      </c>
      <c r="J1178" t="s">
        <v>38</v>
      </c>
      <c r="K1178">
        <v>3</v>
      </c>
      <c r="L1178" t="s">
        <v>39</v>
      </c>
      <c r="M1178">
        <v>4</v>
      </c>
      <c r="N1178" t="s">
        <v>72</v>
      </c>
      <c r="O1178" t="s">
        <v>76</v>
      </c>
      <c r="P1178">
        <v>2</v>
      </c>
      <c r="Q1178" t="s">
        <v>57</v>
      </c>
      <c r="R1178" t="s">
        <v>58</v>
      </c>
      <c r="S1178">
        <v>3</v>
      </c>
      <c r="T1178" t="s">
        <v>44</v>
      </c>
      <c r="U1178" t="s">
        <v>59</v>
      </c>
      <c r="V1178">
        <v>16</v>
      </c>
      <c r="W1178" t="s">
        <v>45</v>
      </c>
      <c r="X1178">
        <v>27</v>
      </c>
      <c r="Y1178">
        <v>3</v>
      </c>
      <c r="Z1178" t="s">
        <v>61</v>
      </c>
      <c r="AA1178">
        <v>4</v>
      </c>
      <c r="AB1178" t="s">
        <v>48</v>
      </c>
      <c r="AC1178">
        <v>2</v>
      </c>
      <c r="AD1178" t="s">
        <v>48</v>
      </c>
      <c r="AE1178">
        <v>1</v>
      </c>
      <c r="AF1178" t="s">
        <v>49</v>
      </c>
    </row>
    <row r="1179" spans="1:32" x14ac:dyDescent="0.25">
      <c r="A1179">
        <v>50</v>
      </c>
      <c r="B1179" t="s">
        <v>32</v>
      </c>
      <c r="C1179" t="s">
        <v>50</v>
      </c>
      <c r="D1179" t="s">
        <v>34</v>
      </c>
      <c r="E1179" t="s">
        <v>52</v>
      </c>
      <c r="F1179">
        <v>17</v>
      </c>
      <c r="G1179" t="s">
        <v>66</v>
      </c>
      <c r="H1179">
        <v>4</v>
      </c>
      <c r="I1179" t="s">
        <v>42</v>
      </c>
      <c r="J1179" t="s">
        <v>38</v>
      </c>
      <c r="K1179">
        <v>2</v>
      </c>
      <c r="L1179" t="s">
        <v>55</v>
      </c>
      <c r="M1179">
        <v>3</v>
      </c>
      <c r="N1179" t="s">
        <v>68</v>
      </c>
      <c r="O1179" t="s">
        <v>76</v>
      </c>
      <c r="P1179">
        <v>1</v>
      </c>
      <c r="Q1179" t="s">
        <v>57</v>
      </c>
      <c r="R1179" t="s">
        <v>67</v>
      </c>
      <c r="S1179">
        <v>5</v>
      </c>
      <c r="T1179" t="s">
        <v>44</v>
      </c>
      <c r="U1179" t="s">
        <v>59</v>
      </c>
      <c r="V1179">
        <v>15</v>
      </c>
      <c r="W1179" t="s">
        <v>45</v>
      </c>
      <c r="X1179">
        <v>19</v>
      </c>
      <c r="Y1179">
        <v>3</v>
      </c>
      <c r="Z1179" t="s">
        <v>61</v>
      </c>
      <c r="AA1179">
        <v>14</v>
      </c>
      <c r="AB1179" t="s">
        <v>74</v>
      </c>
      <c r="AC1179">
        <v>11</v>
      </c>
      <c r="AD1179" t="s">
        <v>74</v>
      </c>
      <c r="AE1179">
        <v>1</v>
      </c>
      <c r="AF1179" t="s">
        <v>49</v>
      </c>
    </row>
    <row r="1180" spans="1:32" x14ac:dyDescent="0.25">
      <c r="A1180">
        <v>20</v>
      </c>
      <c r="B1180" t="s">
        <v>63</v>
      </c>
      <c r="C1180" t="s">
        <v>50</v>
      </c>
      <c r="D1180" t="s">
        <v>34</v>
      </c>
      <c r="E1180" t="s">
        <v>35</v>
      </c>
      <c r="F1180">
        <v>2</v>
      </c>
      <c r="G1180" t="s">
        <v>36</v>
      </c>
      <c r="H1180">
        <v>3</v>
      </c>
      <c r="I1180" t="s">
        <v>42</v>
      </c>
      <c r="J1180" t="s">
        <v>38</v>
      </c>
      <c r="K1180">
        <v>3</v>
      </c>
      <c r="L1180" t="s">
        <v>39</v>
      </c>
      <c r="M1180">
        <v>1</v>
      </c>
      <c r="N1180" t="s">
        <v>40</v>
      </c>
      <c r="O1180" t="s">
        <v>75</v>
      </c>
      <c r="P1180">
        <v>3</v>
      </c>
      <c r="Q1180" t="s">
        <v>42</v>
      </c>
      <c r="R1180" t="s">
        <v>43</v>
      </c>
      <c r="S1180">
        <v>1</v>
      </c>
      <c r="T1180" t="s">
        <v>44</v>
      </c>
      <c r="U1180" t="s">
        <v>59</v>
      </c>
      <c r="V1180">
        <v>19</v>
      </c>
      <c r="W1180" t="s">
        <v>45</v>
      </c>
      <c r="X1180">
        <v>2</v>
      </c>
      <c r="Y1180">
        <v>3</v>
      </c>
      <c r="Z1180" t="s">
        <v>61</v>
      </c>
      <c r="AA1180">
        <v>2</v>
      </c>
      <c r="AB1180" t="s">
        <v>48</v>
      </c>
      <c r="AC1180">
        <v>2</v>
      </c>
      <c r="AD1180" t="s">
        <v>48</v>
      </c>
      <c r="AE1180">
        <v>2</v>
      </c>
      <c r="AF1180" t="s">
        <v>49</v>
      </c>
    </row>
    <row r="1181" spans="1:32" x14ac:dyDescent="0.25">
      <c r="A1181">
        <v>34</v>
      </c>
      <c r="B1181" t="s">
        <v>32</v>
      </c>
      <c r="C1181" t="s">
        <v>50</v>
      </c>
      <c r="D1181" t="s">
        <v>34</v>
      </c>
      <c r="E1181" t="s">
        <v>52</v>
      </c>
      <c r="F1181">
        <v>3</v>
      </c>
      <c r="G1181" t="s">
        <v>36</v>
      </c>
      <c r="H1181">
        <v>4</v>
      </c>
      <c r="I1181" t="s">
        <v>42</v>
      </c>
      <c r="J1181" t="s">
        <v>38</v>
      </c>
      <c r="K1181">
        <v>3</v>
      </c>
      <c r="L1181" t="s">
        <v>39</v>
      </c>
      <c r="M1181">
        <v>2</v>
      </c>
      <c r="N1181" t="s">
        <v>40</v>
      </c>
      <c r="O1181" t="s">
        <v>56</v>
      </c>
      <c r="P1181">
        <v>2</v>
      </c>
      <c r="Q1181" t="s">
        <v>57</v>
      </c>
      <c r="R1181" t="s">
        <v>67</v>
      </c>
      <c r="S1181">
        <v>1</v>
      </c>
      <c r="T1181" t="s">
        <v>44</v>
      </c>
      <c r="U1181" t="s">
        <v>59</v>
      </c>
      <c r="V1181">
        <v>12</v>
      </c>
      <c r="W1181" t="s">
        <v>45</v>
      </c>
      <c r="X1181">
        <v>11</v>
      </c>
      <c r="Y1181">
        <v>3</v>
      </c>
      <c r="Z1181" t="s">
        <v>61</v>
      </c>
      <c r="AA1181">
        <v>11</v>
      </c>
      <c r="AB1181" t="s">
        <v>74</v>
      </c>
      <c r="AC1181">
        <v>8</v>
      </c>
      <c r="AD1181" t="s">
        <v>47</v>
      </c>
      <c r="AE1181">
        <v>7</v>
      </c>
      <c r="AF1181" t="s">
        <v>71</v>
      </c>
    </row>
    <row r="1182" spans="1:32" x14ac:dyDescent="0.25">
      <c r="A1182">
        <v>36</v>
      </c>
      <c r="B1182" t="s">
        <v>32</v>
      </c>
      <c r="C1182" t="s">
        <v>50</v>
      </c>
      <c r="D1182" t="s">
        <v>34</v>
      </c>
      <c r="E1182" t="s">
        <v>52</v>
      </c>
      <c r="F1182">
        <v>7</v>
      </c>
      <c r="G1182" t="s">
        <v>53</v>
      </c>
      <c r="H1182">
        <v>1</v>
      </c>
      <c r="I1182" t="s">
        <v>37</v>
      </c>
      <c r="J1182" t="s">
        <v>54</v>
      </c>
      <c r="K1182">
        <v>3</v>
      </c>
      <c r="L1182" t="s">
        <v>39</v>
      </c>
      <c r="M1182">
        <v>1</v>
      </c>
      <c r="N1182" t="s">
        <v>40</v>
      </c>
      <c r="O1182" t="s">
        <v>62</v>
      </c>
      <c r="P1182">
        <v>2</v>
      </c>
      <c r="Q1182" t="s">
        <v>57</v>
      </c>
      <c r="R1182" t="s">
        <v>43</v>
      </c>
      <c r="S1182">
        <v>2</v>
      </c>
      <c r="T1182" t="s">
        <v>44</v>
      </c>
      <c r="U1182" t="s">
        <v>59</v>
      </c>
      <c r="V1182">
        <v>11</v>
      </c>
      <c r="W1182" t="s">
        <v>45</v>
      </c>
      <c r="X1182">
        <v>15</v>
      </c>
      <c r="Y1182">
        <v>3</v>
      </c>
      <c r="Z1182" t="s">
        <v>61</v>
      </c>
      <c r="AA1182">
        <v>4</v>
      </c>
      <c r="AB1182" t="s">
        <v>48</v>
      </c>
      <c r="AC1182">
        <v>3</v>
      </c>
      <c r="AD1182" t="s">
        <v>48</v>
      </c>
      <c r="AE1182">
        <v>1</v>
      </c>
      <c r="AF1182" t="s">
        <v>49</v>
      </c>
    </row>
    <row r="1183" spans="1:32" x14ac:dyDescent="0.25">
      <c r="A1183">
        <v>49</v>
      </c>
      <c r="B1183" t="s">
        <v>32</v>
      </c>
      <c r="C1183" t="s">
        <v>50</v>
      </c>
      <c r="D1183" t="s">
        <v>34</v>
      </c>
      <c r="E1183" t="s">
        <v>52</v>
      </c>
      <c r="F1183">
        <v>6</v>
      </c>
      <c r="G1183" t="s">
        <v>53</v>
      </c>
      <c r="H1183">
        <v>3</v>
      </c>
      <c r="I1183" t="s">
        <v>42</v>
      </c>
      <c r="J1183" t="s">
        <v>38</v>
      </c>
      <c r="K1183">
        <v>2</v>
      </c>
      <c r="L1183" t="s">
        <v>55</v>
      </c>
      <c r="M1183">
        <v>4</v>
      </c>
      <c r="N1183" t="s">
        <v>72</v>
      </c>
      <c r="O1183" t="s">
        <v>70</v>
      </c>
      <c r="P1183">
        <v>3</v>
      </c>
      <c r="Q1183" t="s">
        <v>42</v>
      </c>
      <c r="R1183" t="s">
        <v>58</v>
      </c>
      <c r="S1183">
        <v>2</v>
      </c>
      <c r="T1183" t="s">
        <v>44</v>
      </c>
      <c r="U1183" t="s">
        <v>44</v>
      </c>
      <c r="V1183">
        <v>19</v>
      </c>
      <c r="W1183" t="s">
        <v>45</v>
      </c>
      <c r="X1183">
        <v>30</v>
      </c>
      <c r="Y1183">
        <v>3</v>
      </c>
      <c r="Z1183" t="s">
        <v>61</v>
      </c>
      <c r="AA1183">
        <v>15</v>
      </c>
      <c r="AB1183" t="s">
        <v>74</v>
      </c>
      <c r="AC1183">
        <v>11</v>
      </c>
      <c r="AD1183" t="s">
        <v>74</v>
      </c>
      <c r="AE1183">
        <v>2</v>
      </c>
      <c r="AF1183" t="s">
        <v>49</v>
      </c>
    </row>
    <row r="1184" spans="1:32" x14ac:dyDescent="0.25">
      <c r="A1184">
        <v>36</v>
      </c>
      <c r="B1184" t="s">
        <v>32</v>
      </c>
      <c r="C1184" t="s">
        <v>50</v>
      </c>
      <c r="D1184" t="s">
        <v>34</v>
      </c>
      <c r="E1184" t="s">
        <v>52</v>
      </c>
      <c r="F1184">
        <v>1</v>
      </c>
      <c r="G1184" t="s">
        <v>36</v>
      </c>
      <c r="H1184">
        <v>4</v>
      </c>
      <c r="I1184" t="s">
        <v>42</v>
      </c>
      <c r="J1184" t="s">
        <v>38</v>
      </c>
      <c r="K1184">
        <v>2</v>
      </c>
      <c r="L1184" t="s">
        <v>55</v>
      </c>
      <c r="M1184">
        <v>2</v>
      </c>
      <c r="N1184" t="s">
        <v>40</v>
      </c>
      <c r="O1184" t="s">
        <v>69</v>
      </c>
      <c r="P1184">
        <v>3</v>
      </c>
      <c r="Q1184" t="s">
        <v>42</v>
      </c>
      <c r="R1184" t="s">
        <v>58</v>
      </c>
      <c r="S1184">
        <v>0</v>
      </c>
      <c r="T1184" t="s">
        <v>44</v>
      </c>
      <c r="U1184" t="s">
        <v>59</v>
      </c>
      <c r="V1184">
        <v>15</v>
      </c>
      <c r="W1184" t="s">
        <v>45</v>
      </c>
      <c r="X1184">
        <v>4</v>
      </c>
      <c r="Y1184">
        <v>3</v>
      </c>
      <c r="Z1184" t="s">
        <v>61</v>
      </c>
      <c r="AA1184">
        <v>3</v>
      </c>
      <c r="AB1184" t="s">
        <v>48</v>
      </c>
      <c r="AC1184">
        <v>2</v>
      </c>
      <c r="AD1184" t="s">
        <v>48</v>
      </c>
      <c r="AE1184">
        <v>1</v>
      </c>
      <c r="AF1184" t="s">
        <v>49</v>
      </c>
    </row>
    <row r="1185" spans="1:32" x14ac:dyDescent="0.25">
      <c r="A1185">
        <v>36</v>
      </c>
      <c r="B1185" t="s">
        <v>32</v>
      </c>
      <c r="C1185" t="s">
        <v>50</v>
      </c>
      <c r="D1185" t="s">
        <v>34</v>
      </c>
      <c r="E1185" t="s">
        <v>52</v>
      </c>
      <c r="F1185">
        <v>3</v>
      </c>
      <c r="G1185" t="s">
        <v>36</v>
      </c>
      <c r="H1185">
        <v>4</v>
      </c>
      <c r="I1185" t="s">
        <v>42</v>
      </c>
      <c r="J1185" t="s">
        <v>54</v>
      </c>
      <c r="K1185">
        <v>4</v>
      </c>
      <c r="L1185" t="s">
        <v>65</v>
      </c>
      <c r="M1185">
        <v>2</v>
      </c>
      <c r="N1185" t="s">
        <v>40</v>
      </c>
      <c r="O1185" t="s">
        <v>70</v>
      </c>
      <c r="P1185">
        <v>1</v>
      </c>
      <c r="Q1185" t="s">
        <v>57</v>
      </c>
      <c r="R1185" t="s">
        <v>67</v>
      </c>
      <c r="S1185">
        <v>6</v>
      </c>
      <c r="T1185" t="s">
        <v>44</v>
      </c>
      <c r="U1185" t="s">
        <v>59</v>
      </c>
      <c r="V1185">
        <v>20</v>
      </c>
      <c r="W1185" t="s">
        <v>60</v>
      </c>
      <c r="X1185">
        <v>13</v>
      </c>
      <c r="Y1185">
        <v>3</v>
      </c>
      <c r="Z1185" t="s">
        <v>61</v>
      </c>
      <c r="AA1185">
        <v>5</v>
      </c>
      <c r="AB1185" t="s">
        <v>47</v>
      </c>
      <c r="AC1185">
        <v>4</v>
      </c>
      <c r="AD1185" t="s">
        <v>48</v>
      </c>
      <c r="AE1185">
        <v>0</v>
      </c>
      <c r="AF1185" t="s">
        <v>49</v>
      </c>
    </row>
    <row r="1186" spans="1:32" x14ac:dyDescent="0.25">
      <c r="A1186">
        <v>54</v>
      </c>
      <c r="B1186" t="s">
        <v>64</v>
      </c>
      <c r="C1186" t="s">
        <v>50</v>
      </c>
      <c r="D1186" t="s">
        <v>34</v>
      </c>
      <c r="E1186" t="s">
        <v>52</v>
      </c>
      <c r="F1186">
        <v>22</v>
      </c>
      <c r="G1186" t="s">
        <v>66</v>
      </c>
      <c r="H1186">
        <v>2</v>
      </c>
      <c r="I1186" t="s">
        <v>37</v>
      </c>
      <c r="J1186" t="s">
        <v>38</v>
      </c>
      <c r="K1186">
        <v>3</v>
      </c>
      <c r="L1186" t="s">
        <v>39</v>
      </c>
      <c r="M1186">
        <v>4</v>
      </c>
      <c r="N1186" t="s">
        <v>72</v>
      </c>
      <c r="O1186" t="s">
        <v>73</v>
      </c>
      <c r="P1186">
        <v>3</v>
      </c>
      <c r="Q1186" t="s">
        <v>42</v>
      </c>
      <c r="R1186" t="s">
        <v>58</v>
      </c>
      <c r="S1186">
        <v>3</v>
      </c>
      <c r="T1186" t="s">
        <v>44</v>
      </c>
      <c r="U1186" t="s">
        <v>59</v>
      </c>
      <c r="V1186">
        <v>25</v>
      </c>
      <c r="W1186" t="s">
        <v>60</v>
      </c>
      <c r="X1186">
        <v>36</v>
      </c>
      <c r="Y1186">
        <v>3</v>
      </c>
      <c r="Z1186" t="s">
        <v>61</v>
      </c>
      <c r="AA1186">
        <v>10</v>
      </c>
      <c r="AB1186" t="s">
        <v>47</v>
      </c>
      <c r="AC1186">
        <v>8</v>
      </c>
      <c r="AD1186" t="s">
        <v>47</v>
      </c>
      <c r="AE1186">
        <v>4</v>
      </c>
      <c r="AF1186" t="s">
        <v>71</v>
      </c>
    </row>
    <row r="1187" spans="1:32" x14ac:dyDescent="0.25">
      <c r="A1187">
        <v>43</v>
      </c>
      <c r="B1187" t="s">
        <v>32</v>
      </c>
      <c r="C1187" t="s">
        <v>50</v>
      </c>
      <c r="D1187" t="s">
        <v>34</v>
      </c>
      <c r="E1187" t="s">
        <v>52</v>
      </c>
      <c r="F1187">
        <v>15</v>
      </c>
      <c r="G1187" t="s">
        <v>66</v>
      </c>
      <c r="H1187">
        <v>3</v>
      </c>
      <c r="I1187" t="s">
        <v>42</v>
      </c>
      <c r="J1187" t="s">
        <v>54</v>
      </c>
      <c r="K1187">
        <v>2</v>
      </c>
      <c r="L1187" t="s">
        <v>55</v>
      </c>
      <c r="M1187">
        <v>4</v>
      </c>
      <c r="N1187" t="s">
        <v>72</v>
      </c>
      <c r="O1187" t="s">
        <v>76</v>
      </c>
      <c r="P1187">
        <v>3</v>
      </c>
      <c r="Q1187" t="s">
        <v>42</v>
      </c>
      <c r="R1187" t="s">
        <v>58</v>
      </c>
      <c r="S1187">
        <v>1</v>
      </c>
      <c r="T1187" t="s">
        <v>44</v>
      </c>
      <c r="U1187" t="s">
        <v>59</v>
      </c>
      <c r="V1187">
        <v>24</v>
      </c>
      <c r="W1187" t="s">
        <v>60</v>
      </c>
      <c r="X1187">
        <v>14</v>
      </c>
      <c r="Y1187">
        <v>3</v>
      </c>
      <c r="Z1187" t="s">
        <v>61</v>
      </c>
      <c r="AA1187">
        <v>14</v>
      </c>
      <c r="AB1187" t="s">
        <v>74</v>
      </c>
      <c r="AC1187">
        <v>10</v>
      </c>
      <c r="AD1187" t="s">
        <v>47</v>
      </c>
      <c r="AE1187">
        <v>6</v>
      </c>
      <c r="AF1187" t="s">
        <v>71</v>
      </c>
    </row>
    <row r="1188" spans="1:32" x14ac:dyDescent="0.25">
      <c r="A1188">
        <v>35</v>
      </c>
      <c r="B1188" t="s">
        <v>32</v>
      </c>
      <c r="C1188" t="s">
        <v>33</v>
      </c>
      <c r="D1188" t="s">
        <v>51</v>
      </c>
      <c r="E1188" t="s">
        <v>35</v>
      </c>
      <c r="F1188">
        <v>12</v>
      </c>
      <c r="G1188" t="s">
        <v>53</v>
      </c>
      <c r="H1188">
        <v>4</v>
      </c>
      <c r="I1188" t="s">
        <v>42</v>
      </c>
      <c r="J1188" t="s">
        <v>54</v>
      </c>
      <c r="K1188">
        <v>3</v>
      </c>
      <c r="L1188" t="s">
        <v>39</v>
      </c>
      <c r="M1188">
        <v>2</v>
      </c>
      <c r="N1188" t="s">
        <v>40</v>
      </c>
      <c r="O1188" t="s">
        <v>41</v>
      </c>
      <c r="P1188">
        <v>4</v>
      </c>
      <c r="Q1188" t="s">
        <v>42</v>
      </c>
      <c r="R1188" t="s">
        <v>43</v>
      </c>
      <c r="S1188">
        <v>3</v>
      </c>
      <c r="T1188" t="s">
        <v>44</v>
      </c>
      <c r="U1188" t="s">
        <v>44</v>
      </c>
      <c r="V1188">
        <v>24</v>
      </c>
      <c r="W1188" t="s">
        <v>60</v>
      </c>
      <c r="X1188">
        <v>13</v>
      </c>
      <c r="Y1188">
        <v>4</v>
      </c>
      <c r="Z1188" t="s">
        <v>61</v>
      </c>
      <c r="AA1188">
        <v>11</v>
      </c>
      <c r="AB1188" t="s">
        <v>74</v>
      </c>
      <c r="AC1188">
        <v>9</v>
      </c>
      <c r="AD1188" t="s">
        <v>47</v>
      </c>
      <c r="AE1188">
        <v>6</v>
      </c>
      <c r="AF1188" t="s">
        <v>71</v>
      </c>
    </row>
    <row r="1189" spans="1:32" x14ac:dyDescent="0.25">
      <c r="A1189">
        <v>38</v>
      </c>
      <c r="B1189" t="s">
        <v>32</v>
      </c>
      <c r="C1189" t="s">
        <v>50</v>
      </c>
      <c r="D1189" t="s">
        <v>51</v>
      </c>
      <c r="E1189" t="s">
        <v>52</v>
      </c>
      <c r="F1189">
        <v>1</v>
      </c>
      <c r="G1189" t="s">
        <v>36</v>
      </c>
      <c r="H1189">
        <v>4</v>
      </c>
      <c r="I1189" t="s">
        <v>42</v>
      </c>
      <c r="J1189" t="s">
        <v>54</v>
      </c>
      <c r="K1189">
        <v>3</v>
      </c>
      <c r="L1189" t="s">
        <v>39</v>
      </c>
      <c r="M1189">
        <v>2</v>
      </c>
      <c r="N1189" t="s">
        <v>40</v>
      </c>
      <c r="O1189" t="s">
        <v>56</v>
      </c>
      <c r="P1189">
        <v>4</v>
      </c>
      <c r="Q1189" t="s">
        <v>42</v>
      </c>
      <c r="R1189" t="s">
        <v>58</v>
      </c>
      <c r="S1189">
        <v>7</v>
      </c>
      <c r="T1189" t="s">
        <v>44</v>
      </c>
      <c r="U1189" t="s">
        <v>59</v>
      </c>
      <c r="V1189">
        <v>15</v>
      </c>
      <c r="W1189" t="s">
        <v>45</v>
      </c>
      <c r="X1189">
        <v>19</v>
      </c>
      <c r="Y1189">
        <v>4</v>
      </c>
      <c r="Z1189" t="s">
        <v>61</v>
      </c>
      <c r="AA1189">
        <v>13</v>
      </c>
      <c r="AB1189" t="s">
        <v>74</v>
      </c>
      <c r="AC1189">
        <v>11</v>
      </c>
      <c r="AD1189" t="s">
        <v>74</v>
      </c>
      <c r="AE1189">
        <v>2</v>
      </c>
      <c r="AF1189" t="s">
        <v>49</v>
      </c>
    </row>
    <row r="1190" spans="1:32" x14ac:dyDescent="0.25">
      <c r="A1190">
        <v>29</v>
      </c>
      <c r="B1190" t="s">
        <v>63</v>
      </c>
      <c r="C1190" t="s">
        <v>50</v>
      </c>
      <c r="D1190" t="s">
        <v>34</v>
      </c>
      <c r="E1190" t="s">
        <v>35</v>
      </c>
      <c r="F1190">
        <v>5</v>
      </c>
      <c r="G1190" t="s">
        <v>36</v>
      </c>
      <c r="H1190">
        <v>1</v>
      </c>
      <c r="I1190" t="s">
        <v>37</v>
      </c>
      <c r="J1190" t="s">
        <v>54</v>
      </c>
      <c r="K1190">
        <v>2</v>
      </c>
      <c r="L1190" t="s">
        <v>55</v>
      </c>
      <c r="M1190">
        <v>2</v>
      </c>
      <c r="N1190" t="s">
        <v>40</v>
      </c>
      <c r="O1190" t="s">
        <v>41</v>
      </c>
      <c r="P1190">
        <v>2</v>
      </c>
      <c r="Q1190" t="s">
        <v>57</v>
      </c>
      <c r="R1190" t="s">
        <v>67</v>
      </c>
      <c r="S1190">
        <v>1</v>
      </c>
      <c r="T1190" t="s">
        <v>44</v>
      </c>
      <c r="U1190" t="s">
        <v>44</v>
      </c>
      <c r="V1190">
        <v>13</v>
      </c>
      <c r="W1190" t="s">
        <v>45</v>
      </c>
      <c r="X1190">
        <v>10</v>
      </c>
      <c r="Y1190">
        <v>2</v>
      </c>
      <c r="Z1190" t="s">
        <v>46</v>
      </c>
      <c r="AA1190">
        <v>10</v>
      </c>
      <c r="AB1190" t="s">
        <v>47</v>
      </c>
      <c r="AC1190">
        <v>0</v>
      </c>
      <c r="AD1190" t="s">
        <v>48</v>
      </c>
      <c r="AE1190">
        <v>0</v>
      </c>
      <c r="AF1190" t="s">
        <v>49</v>
      </c>
    </row>
    <row r="1191" spans="1:32" x14ac:dyDescent="0.25">
      <c r="A1191">
        <v>33</v>
      </c>
      <c r="B1191" t="s">
        <v>32</v>
      </c>
      <c r="C1191" t="s">
        <v>50</v>
      </c>
      <c r="D1191" t="s">
        <v>34</v>
      </c>
      <c r="E1191" t="s">
        <v>35</v>
      </c>
      <c r="F1191">
        <v>2</v>
      </c>
      <c r="G1191" t="s">
        <v>36</v>
      </c>
      <c r="H1191">
        <v>4</v>
      </c>
      <c r="I1191" t="s">
        <v>42</v>
      </c>
      <c r="J1191" t="s">
        <v>54</v>
      </c>
      <c r="K1191">
        <v>3</v>
      </c>
      <c r="L1191" t="s">
        <v>39</v>
      </c>
      <c r="M1191">
        <v>2</v>
      </c>
      <c r="N1191" t="s">
        <v>40</v>
      </c>
      <c r="O1191" t="s">
        <v>41</v>
      </c>
      <c r="P1191">
        <v>4</v>
      </c>
      <c r="Q1191" t="s">
        <v>42</v>
      </c>
      <c r="R1191" t="s">
        <v>67</v>
      </c>
      <c r="S1191">
        <v>1</v>
      </c>
      <c r="T1191" t="s">
        <v>44</v>
      </c>
      <c r="U1191" t="s">
        <v>59</v>
      </c>
      <c r="V1191">
        <v>14</v>
      </c>
      <c r="W1191" t="s">
        <v>45</v>
      </c>
      <c r="X1191">
        <v>6</v>
      </c>
      <c r="Y1191">
        <v>3</v>
      </c>
      <c r="Z1191" t="s">
        <v>61</v>
      </c>
      <c r="AA1191">
        <v>6</v>
      </c>
      <c r="AB1191" t="s">
        <v>47</v>
      </c>
      <c r="AC1191">
        <v>2</v>
      </c>
      <c r="AD1191" t="s">
        <v>48</v>
      </c>
      <c r="AE1191">
        <v>0</v>
      </c>
      <c r="AF1191" t="s">
        <v>49</v>
      </c>
    </row>
    <row r="1192" spans="1:32" x14ac:dyDescent="0.25">
      <c r="A1192">
        <v>32</v>
      </c>
      <c r="B1192" t="s">
        <v>32</v>
      </c>
      <c r="C1192" t="s">
        <v>50</v>
      </c>
      <c r="D1192" t="s">
        <v>34</v>
      </c>
      <c r="E1192" t="s">
        <v>52</v>
      </c>
      <c r="F1192">
        <v>2</v>
      </c>
      <c r="G1192" t="s">
        <v>36</v>
      </c>
      <c r="H1192">
        <v>4</v>
      </c>
      <c r="I1192" t="s">
        <v>42</v>
      </c>
      <c r="J1192" t="s">
        <v>54</v>
      </c>
      <c r="K1192">
        <v>3</v>
      </c>
      <c r="L1192" t="s">
        <v>39</v>
      </c>
      <c r="M1192">
        <v>2</v>
      </c>
      <c r="N1192" t="s">
        <v>40</v>
      </c>
      <c r="O1192" t="s">
        <v>56</v>
      </c>
      <c r="P1192">
        <v>2</v>
      </c>
      <c r="Q1192" t="s">
        <v>57</v>
      </c>
      <c r="R1192" t="s">
        <v>67</v>
      </c>
      <c r="S1192">
        <v>0</v>
      </c>
      <c r="T1192" t="s">
        <v>44</v>
      </c>
      <c r="U1192" t="s">
        <v>59</v>
      </c>
      <c r="V1192">
        <v>13</v>
      </c>
      <c r="W1192" t="s">
        <v>45</v>
      </c>
      <c r="X1192">
        <v>10</v>
      </c>
      <c r="Y1192">
        <v>2</v>
      </c>
      <c r="Z1192" t="s">
        <v>46</v>
      </c>
      <c r="AA1192">
        <v>9</v>
      </c>
      <c r="AB1192" t="s">
        <v>47</v>
      </c>
      <c r="AC1192">
        <v>5</v>
      </c>
      <c r="AD1192" t="s">
        <v>47</v>
      </c>
      <c r="AE1192">
        <v>1</v>
      </c>
      <c r="AF1192" t="s">
        <v>49</v>
      </c>
    </row>
    <row r="1193" spans="1:32" x14ac:dyDescent="0.25">
      <c r="A1193">
        <v>31</v>
      </c>
      <c r="B1193" t="s">
        <v>32</v>
      </c>
      <c r="C1193" t="s">
        <v>50</v>
      </c>
      <c r="D1193" t="s">
        <v>34</v>
      </c>
      <c r="E1193" t="s">
        <v>35</v>
      </c>
      <c r="F1193">
        <v>5</v>
      </c>
      <c r="G1193" t="s">
        <v>36</v>
      </c>
      <c r="H1193">
        <v>1</v>
      </c>
      <c r="I1193" t="s">
        <v>37</v>
      </c>
      <c r="J1193" t="s">
        <v>38</v>
      </c>
      <c r="K1193">
        <v>3</v>
      </c>
      <c r="L1193" t="s">
        <v>39</v>
      </c>
      <c r="M1193">
        <v>2</v>
      </c>
      <c r="N1193" t="s">
        <v>40</v>
      </c>
      <c r="O1193" t="s">
        <v>41</v>
      </c>
      <c r="P1193">
        <v>4</v>
      </c>
      <c r="Q1193" t="s">
        <v>42</v>
      </c>
      <c r="R1193" t="s">
        <v>58</v>
      </c>
      <c r="S1193">
        <v>1</v>
      </c>
      <c r="T1193" t="s">
        <v>44</v>
      </c>
      <c r="U1193" t="s">
        <v>59</v>
      </c>
      <c r="V1193">
        <v>11</v>
      </c>
      <c r="W1193" t="s">
        <v>45</v>
      </c>
      <c r="X1193">
        <v>10</v>
      </c>
      <c r="Y1193">
        <v>3</v>
      </c>
      <c r="Z1193" t="s">
        <v>61</v>
      </c>
      <c r="AA1193">
        <v>10</v>
      </c>
      <c r="AB1193" t="s">
        <v>47</v>
      </c>
      <c r="AC1193">
        <v>0</v>
      </c>
      <c r="AD1193" t="s">
        <v>48</v>
      </c>
      <c r="AE1193">
        <v>0</v>
      </c>
      <c r="AF1193" t="s">
        <v>49</v>
      </c>
    </row>
    <row r="1194" spans="1:32" x14ac:dyDescent="0.25">
      <c r="A1194">
        <v>49</v>
      </c>
      <c r="B1194" t="s">
        <v>32</v>
      </c>
      <c r="C1194" t="s">
        <v>50</v>
      </c>
      <c r="D1194" t="s">
        <v>34</v>
      </c>
      <c r="E1194" t="s">
        <v>52</v>
      </c>
      <c r="F1194">
        <v>16</v>
      </c>
      <c r="G1194" t="s">
        <v>66</v>
      </c>
      <c r="H1194">
        <v>4</v>
      </c>
      <c r="I1194" t="s">
        <v>42</v>
      </c>
      <c r="J1194" t="s">
        <v>38</v>
      </c>
      <c r="K1194">
        <v>3</v>
      </c>
      <c r="L1194" t="s">
        <v>39</v>
      </c>
      <c r="M1194">
        <v>1</v>
      </c>
      <c r="N1194" t="s">
        <v>40</v>
      </c>
      <c r="O1194" t="s">
        <v>62</v>
      </c>
      <c r="P1194">
        <v>1</v>
      </c>
      <c r="Q1194" t="s">
        <v>57</v>
      </c>
      <c r="R1194" t="s">
        <v>67</v>
      </c>
      <c r="S1194">
        <v>4</v>
      </c>
      <c r="T1194" t="s">
        <v>44</v>
      </c>
      <c r="U1194" t="s">
        <v>44</v>
      </c>
      <c r="V1194">
        <v>16</v>
      </c>
      <c r="W1194" t="s">
        <v>45</v>
      </c>
      <c r="X1194">
        <v>17</v>
      </c>
      <c r="Y1194">
        <v>2</v>
      </c>
      <c r="Z1194" t="s">
        <v>46</v>
      </c>
      <c r="AA1194">
        <v>2</v>
      </c>
      <c r="AB1194" t="s">
        <v>48</v>
      </c>
      <c r="AC1194">
        <v>2</v>
      </c>
      <c r="AD1194" t="s">
        <v>48</v>
      </c>
      <c r="AE1194">
        <v>2</v>
      </c>
      <c r="AF1194" t="s">
        <v>49</v>
      </c>
    </row>
    <row r="1195" spans="1:32" x14ac:dyDescent="0.25">
      <c r="A1195">
        <v>38</v>
      </c>
      <c r="B1195" t="s">
        <v>32</v>
      </c>
      <c r="C1195" t="s">
        <v>50</v>
      </c>
      <c r="D1195" t="s">
        <v>51</v>
      </c>
      <c r="E1195" t="s">
        <v>52</v>
      </c>
      <c r="F1195">
        <v>2</v>
      </c>
      <c r="G1195" t="s">
        <v>36</v>
      </c>
      <c r="H1195">
        <v>4</v>
      </c>
      <c r="I1195" t="s">
        <v>42</v>
      </c>
      <c r="J1195" t="s">
        <v>38</v>
      </c>
      <c r="K1195">
        <v>2</v>
      </c>
      <c r="L1195" t="s">
        <v>55</v>
      </c>
      <c r="M1195">
        <v>1</v>
      </c>
      <c r="N1195" t="s">
        <v>40</v>
      </c>
      <c r="O1195" t="s">
        <v>62</v>
      </c>
      <c r="P1195">
        <v>2</v>
      </c>
      <c r="Q1195" t="s">
        <v>57</v>
      </c>
      <c r="R1195" t="s">
        <v>43</v>
      </c>
      <c r="S1195">
        <v>1</v>
      </c>
      <c r="T1195" t="s">
        <v>44</v>
      </c>
      <c r="U1195" t="s">
        <v>59</v>
      </c>
      <c r="V1195">
        <v>22</v>
      </c>
      <c r="W1195" t="s">
        <v>60</v>
      </c>
      <c r="X1195">
        <v>4</v>
      </c>
      <c r="Y1195">
        <v>3</v>
      </c>
      <c r="Z1195" t="s">
        <v>61</v>
      </c>
      <c r="AA1195">
        <v>4</v>
      </c>
      <c r="AB1195" t="s">
        <v>48</v>
      </c>
      <c r="AC1195">
        <v>3</v>
      </c>
      <c r="AD1195" t="s">
        <v>48</v>
      </c>
      <c r="AE1195">
        <v>3</v>
      </c>
      <c r="AF1195" t="s">
        <v>49</v>
      </c>
    </row>
    <row r="1196" spans="1:32" x14ac:dyDescent="0.25">
      <c r="A1196">
        <v>47</v>
      </c>
      <c r="B1196" t="s">
        <v>32</v>
      </c>
      <c r="C1196" t="s">
        <v>50</v>
      </c>
      <c r="D1196" t="s">
        <v>34</v>
      </c>
      <c r="E1196" t="s">
        <v>35</v>
      </c>
      <c r="F1196">
        <v>2</v>
      </c>
      <c r="G1196" t="s">
        <v>36</v>
      </c>
      <c r="H1196">
        <v>2</v>
      </c>
      <c r="I1196" t="s">
        <v>37</v>
      </c>
      <c r="J1196" t="s">
        <v>38</v>
      </c>
      <c r="K1196">
        <v>4</v>
      </c>
      <c r="L1196" t="s">
        <v>65</v>
      </c>
      <c r="M1196">
        <v>4</v>
      </c>
      <c r="N1196" t="s">
        <v>72</v>
      </c>
      <c r="O1196" t="s">
        <v>73</v>
      </c>
      <c r="P1196">
        <v>2</v>
      </c>
      <c r="Q1196" t="s">
        <v>57</v>
      </c>
      <c r="R1196" t="s">
        <v>67</v>
      </c>
      <c r="S1196">
        <v>6</v>
      </c>
      <c r="T1196" t="s">
        <v>44</v>
      </c>
      <c r="U1196" t="s">
        <v>59</v>
      </c>
      <c r="V1196">
        <v>14</v>
      </c>
      <c r="W1196" t="s">
        <v>45</v>
      </c>
      <c r="X1196">
        <v>29</v>
      </c>
      <c r="Y1196">
        <v>3</v>
      </c>
      <c r="Z1196" t="s">
        <v>61</v>
      </c>
      <c r="AA1196">
        <v>3</v>
      </c>
      <c r="AB1196" t="s">
        <v>48</v>
      </c>
      <c r="AC1196">
        <v>2</v>
      </c>
      <c r="AD1196" t="s">
        <v>48</v>
      </c>
      <c r="AE1196">
        <v>1</v>
      </c>
      <c r="AF1196" t="s">
        <v>49</v>
      </c>
    </row>
    <row r="1197" spans="1:32" x14ac:dyDescent="0.25">
      <c r="A1197">
        <v>49</v>
      </c>
      <c r="B1197" t="s">
        <v>32</v>
      </c>
      <c r="C1197" t="s">
        <v>50</v>
      </c>
      <c r="D1197" t="s">
        <v>34</v>
      </c>
      <c r="E1197" t="s">
        <v>52</v>
      </c>
      <c r="F1197">
        <v>1</v>
      </c>
      <c r="G1197" t="s">
        <v>36</v>
      </c>
      <c r="H1197">
        <v>3</v>
      </c>
      <c r="I1197" t="s">
        <v>42</v>
      </c>
      <c r="J1197" t="s">
        <v>54</v>
      </c>
      <c r="K1197">
        <v>3</v>
      </c>
      <c r="L1197" t="s">
        <v>39</v>
      </c>
      <c r="M1197">
        <v>4</v>
      </c>
      <c r="N1197" t="s">
        <v>72</v>
      </c>
      <c r="O1197" t="s">
        <v>73</v>
      </c>
      <c r="P1197">
        <v>3</v>
      </c>
      <c r="Q1197" t="s">
        <v>42</v>
      </c>
      <c r="R1197" t="s">
        <v>43</v>
      </c>
      <c r="S1197">
        <v>4</v>
      </c>
      <c r="T1197" t="s">
        <v>44</v>
      </c>
      <c r="U1197" t="s">
        <v>59</v>
      </c>
      <c r="V1197">
        <v>14</v>
      </c>
      <c r="W1197" t="s">
        <v>45</v>
      </c>
      <c r="X1197">
        <v>23</v>
      </c>
      <c r="Y1197">
        <v>3</v>
      </c>
      <c r="Z1197" t="s">
        <v>61</v>
      </c>
      <c r="AA1197">
        <v>8</v>
      </c>
      <c r="AB1197" t="s">
        <v>47</v>
      </c>
      <c r="AC1197">
        <v>7</v>
      </c>
      <c r="AD1197" t="s">
        <v>47</v>
      </c>
      <c r="AE1197">
        <v>0</v>
      </c>
      <c r="AF1197" t="s">
        <v>49</v>
      </c>
    </row>
    <row r="1198" spans="1:32" x14ac:dyDescent="0.25">
      <c r="A1198">
        <v>41</v>
      </c>
      <c r="B1198" t="s">
        <v>32</v>
      </c>
      <c r="C1198" t="s">
        <v>50</v>
      </c>
      <c r="D1198" t="s">
        <v>34</v>
      </c>
      <c r="E1198" t="s">
        <v>35</v>
      </c>
      <c r="F1198">
        <v>23</v>
      </c>
      <c r="G1198" t="s">
        <v>66</v>
      </c>
      <c r="H1198">
        <v>4</v>
      </c>
      <c r="I1198" t="s">
        <v>42</v>
      </c>
      <c r="J1198" t="s">
        <v>54</v>
      </c>
      <c r="K1198">
        <v>3</v>
      </c>
      <c r="L1198" t="s">
        <v>39</v>
      </c>
      <c r="M1198">
        <v>3</v>
      </c>
      <c r="N1198" t="s">
        <v>68</v>
      </c>
      <c r="O1198" t="s">
        <v>41</v>
      </c>
      <c r="P1198">
        <v>3</v>
      </c>
      <c r="Q1198" t="s">
        <v>42</v>
      </c>
      <c r="R1198" t="s">
        <v>43</v>
      </c>
      <c r="S1198">
        <v>3</v>
      </c>
      <c r="T1198" t="s">
        <v>44</v>
      </c>
      <c r="U1198" t="s">
        <v>44</v>
      </c>
      <c r="V1198">
        <v>16</v>
      </c>
      <c r="W1198" t="s">
        <v>45</v>
      </c>
      <c r="X1198">
        <v>21</v>
      </c>
      <c r="Y1198">
        <v>3</v>
      </c>
      <c r="Z1198" t="s">
        <v>61</v>
      </c>
      <c r="AA1198">
        <v>2</v>
      </c>
      <c r="AB1198" t="s">
        <v>48</v>
      </c>
      <c r="AC1198">
        <v>0</v>
      </c>
      <c r="AD1198" t="s">
        <v>48</v>
      </c>
      <c r="AE1198">
        <v>0</v>
      </c>
      <c r="AF1198" t="s">
        <v>49</v>
      </c>
    </row>
    <row r="1199" spans="1:32" x14ac:dyDescent="0.25">
      <c r="A1199">
        <v>20</v>
      </c>
      <c r="B1199" t="s">
        <v>63</v>
      </c>
      <c r="C1199" t="s">
        <v>50</v>
      </c>
      <c r="D1199" t="s">
        <v>34</v>
      </c>
      <c r="E1199" t="s">
        <v>35</v>
      </c>
      <c r="F1199">
        <v>9</v>
      </c>
      <c r="G1199" t="s">
        <v>53</v>
      </c>
      <c r="H1199">
        <v>4</v>
      </c>
      <c r="I1199" t="s">
        <v>42</v>
      </c>
      <c r="J1199" t="s">
        <v>54</v>
      </c>
      <c r="K1199">
        <v>3</v>
      </c>
      <c r="L1199" t="s">
        <v>39</v>
      </c>
      <c r="M1199">
        <v>1</v>
      </c>
      <c r="N1199" t="s">
        <v>40</v>
      </c>
      <c r="O1199" t="s">
        <v>75</v>
      </c>
      <c r="P1199">
        <v>1</v>
      </c>
      <c r="Q1199" t="s">
        <v>57</v>
      </c>
      <c r="R1199" t="s">
        <v>43</v>
      </c>
      <c r="S1199">
        <v>1</v>
      </c>
      <c r="T1199" t="s">
        <v>44</v>
      </c>
      <c r="U1199" t="s">
        <v>59</v>
      </c>
      <c r="V1199">
        <v>11</v>
      </c>
      <c r="W1199" t="s">
        <v>45</v>
      </c>
      <c r="X1199">
        <v>2</v>
      </c>
      <c r="Y1199">
        <v>3</v>
      </c>
      <c r="Z1199" t="s">
        <v>61</v>
      </c>
      <c r="AA1199">
        <v>2</v>
      </c>
      <c r="AB1199" t="s">
        <v>48</v>
      </c>
      <c r="AC1199">
        <v>2</v>
      </c>
      <c r="AD1199" t="s">
        <v>48</v>
      </c>
      <c r="AE1199">
        <v>0</v>
      </c>
      <c r="AF1199" t="s">
        <v>49</v>
      </c>
    </row>
    <row r="1200" spans="1:32" x14ac:dyDescent="0.25">
      <c r="A1200">
        <v>33</v>
      </c>
      <c r="B1200" t="s">
        <v>32</v>
      </c>
      <c r="C1200" t="s">
        <v>50</v>
      </c>
      <c r="D1200" t="s">
        <v>34</v>
      </c>
      <c r="E1200" t="s">
        <v>35</v>
      </c>
      <c r="F1200">
        <v>16</v>
      </c>
      <c r="G1200" t="s">
        <v>66</v>
      </c>
      <c r="H1200">
        <v>3</v>
      </c>
      <c r="I1200" t="s">
        <v>42</v>
      </c>
      <c r="J1200" t="s">
        <v>38</v>
      </c>
      <c r="K1200">
        <v>3</v>
      </c>
      <c r="L1200" t="s">
        <v>39</v>
      </c>
      <c r="M1200">
        <v>2</v>
      </c>
      <c r="N1200" t="s">
        <v>40</v>
      </c>
      <c r="O1200" t="s">
        <v>41</v>
      </c>
      <c r="P1200">
        <v>4</v>
      </c>
      <c r="Q1200" t="s">
        <v>42</v>
      </c>
      <c r="R1200" t="s">
        <v>67</v>
      </c>
      <c r="S1200">
        <v>1</v>
      </c>
      <c r="T1200" t="s">
        <v>44</v>
      </c>
      <c r="U1200" t="s">
        <v>44</v>
      </c>
      <c r="V1200">
        <v>25</v>
      </c>
      <c r="W1200" t="s">
        <v>60</v>
      </c>
      <c r="X1200">
        <v>7</v>
      </c>
      <c r="Y1200">
        <v>3</v>
      </c>
      <c r="Z1200" t="s">
        <v>61</v>
      </c>
      <c r="AA1200">
        <v>6</v>
      </c>
      <c r="AB1200" t="s">
        <v>47</v>
      </c>
      <c r="AC1200">
        <v>5</v>
      </c>
      <c r="AD1200" t="s">
        <v>47</v>
      </c>
      <c r="AE1200">
        <v>1</v>
      </c>
      <c r="AF1200" t="s">
        <v>49</v>
      </c>
    </row>
    <row r="1201" spans="1:32" x14ac:dyDescent="0.25">
      <c r="A1201">
        <v>36</v>
      </c>
      <c r="B1201" t="s">
        <v>32</v>
      </c>
      <c r="C1201" t="s">
        <v>50</v>
      </c>
      <c r="D1201" t="s">
        <v>34</v>
      </c>
      <c r="E1201" t="s">
        <v>52</v>
      </c>
      <c r="F1201">
        <v>26</v>
      </c>
      <c r="G1201" t="s">
        <v>66</v>
      </c>
      <c r="H1201">
        <v>1</v>
      </c>
      <c r="I1201" t="s">
        <v>37</v>
      </c>
      <c r="J1201" t="s">
        <v>54</v>
      </c>
      <c r="K1201">
        <v>3</v>
      </c>
      <c r="L1201" t="s">
        <v>39</v>
      </c>
      <c r="M1201">
        <v>2</v>
      </c>
      <c r="N1201" t="s">
        <v>40</v>
      </c>
      <c r="O1201" t="s">
        <v>70</v>
      </c>
      <c r="P1201">
        <v>3</v>
      </c>
      <c r="Q1201" t="s">
        <v>42</v>
      </c>
      <c r="R1201" t="s">
        <v>58</v>
      </c>
      <c r="S1201">
        <v>6</v>
      </c>
      <c r="T1201" t="s">
        <v>44</v>
      </c>
      <c r="U1201" t="s">
        <v>59</v>
      </c>
      <c r="V1201">
        <v>14</v>
      </c>
      <c r="W1201" t="s">
        <v>45</v>
      </c>
      <c r="X1201">
        <v>10</v>
      </c>
      <c r="Y1201">
        <v>2</v>
      </c>
      <c r="Z1201" t="s">
        <v>46</v>
      </c>
      <c r="AA1201">
        <v>3</v>
      </c>
      <c r="AB1201" t="s">
        <v>48</v>
      </c>
      <c r="AC1201">
        <v>2</v>
      </c>
      <c r="AD1201" t="s">
        <v>48</v>
      </c>
      <c r="AE1201">
        <v>0</v>
      </c>
      <c r="AF1201" t="s">
        <v>49</v>
      </c>
    </row>
    <row r="1202" spans="1:32" x14ac:dyDescent="0.25">
      <c r="A1202">
        <v>44</v>
      </c>
      <c r="B1202" t="s">
        <v>32</v>
      </c>
      <c r="C1202" t="s">
        <v>50</v>
      </c>
      <c r="D1202" t="s">
        <v>34</v>
      </c>
      <c r="E1202" t="s">
        <v>77</v>
      </c>
      <c r="F1202">
        <v>1</v>
      </c>
      <c r="G1202" t="s">
        <v>36</v>
      </c>
      <c r="H1202">
        <v>3</v>
      </c>
      <c r="I1202" t="s">
        <v>42</v>
      </c>
      <c r="J1202" t="s">
        <v>38</v>
      </c>
      <c r="K1202">
        <v>3</v>
      </c>
      <c r="L1202" t="s">
        <v>39</v>
      </c>
      <c r="M1202">
        <v>1</v>
      </c>
      <c r="N1202" t="s">
        <v>40</v>
      </c>
      <c r="O1202" t="s">
        <v>77</v>
      </c>
      <c r="P1202">
        <v>4</v>
      </c>
      <c r="Q1202" t="s">
        <v>42</v>
      </c>
      <c r="R1202" t="s">
        <v>67</v>
      </c>
      <c r="S1202">
        <v>4</v>
      </c>
      <c r="T1202" t="s">
        <v>44</v>
      </c>
      <c r="U1202" t="s">
        <v>44</v>
      </c>
      <c r="V1202">
        <v>18</v>
      </c>
      <c r="W1202" t="s">
        <v>45</v>
      </c>
      <c r="X1202">
        <v>8</v>
      </c>
      <c r="Y1202">
        <v>3</v>
      </c>
      <c r="Z1202" t="s">
        <v>61</v>
      </c>
      <c r="AA1202">
        <v>2</v>
      </c>
      <c r="AB1202" t="s">
        <v>48</v>
      </c>
      <c r="AC1202">
        <v>2</v>
      </c>
      <c r="AD1202" t="s">
        <v>48</v>
      </c>
      <c r="AE1202">
        <v>2</v>
      </c>
      <c r="AF1202" t="s">
        <v>49</v>
      </c>
    </row>
    <row r="1203" spans="1:32" x14ac:dyDescent="0.25">
      <c r="A1203">
        <v>23</v>
      </c>
      <c r="B1203" t="s">
        <v>63</v>
      </c>
      <c r="C1203" t="s">
        <v>33</v>
      </c>
      <c r="D1203" t="s">
        <v>34</v>
      </c>
      <c r="E1203" t="s">
        <v>52</v>
      </c>
      <c r="F1203">
        <v>8</v>
      </c>
      <c r="G1203" t="s">
        <v>53</v>
      </c>
      <c r="H1203">
        <v>4</v>
      </c>
      <c r="I1203" t="s">
        <v>42</v>
      </c>
      <c r="J1203" t="s">
        <v>54</v>
      </c>
      <c r="K1203">
        <v>2</v>
      </c>
      <c r="L1203" t="s">
        <v>55</v>
      </c>
      <c r="M1203">
        <v>1</v>
      </c>
      <c r="N1203" t="s">
        <v>40</v>
      </c>
      <c r="O1203" t="s">
        <v>62</v>
      </c>
      <c r="P1203">
        <v>3</v>
      </c>
      <c r="Q1203" t="s">
        <v>42</v>
      </c>
      <c r="R1203" t="s">
        <v>43</v>
      </c>
      <c r="S1203">
        <v>1</v>
      </c>
      <c r="T1203" t="s">
        <v>44</v>
      </c>
      <c r="U1203" t="s">
        <v>44</v>
      </c>
      <c r="V1203">
        <v>11</v>
      </c>
      <c r="W1203" t="s">
        <v>45</v>
      </c>
      <c r="X1203">
        <v>5</v>
      </c>
      <c r="Y1203">
        <v>3</v>
      </c>
      <c r="Z1203" t="s">
        <v>61</v>
      </c>
      <c r="AA1203">
        <v>5</v>
      </c>
      <c r="AB1203" t="s">
        <v>47</v>
      </c>
      <c r="AC1203">
        <v>4</v>
      </c>
      <c r="AD1203" t="s">
        <v>48</v>
      </c>
      <c r="AE1203">
        <v>1</v>
      </c>
      <c r="AF1203" t="s">
        <v>49</v>
      </c>
    </row>
    <row r="1204" spans="1:32" x14ac:dyDescent="0.25">
      <c r="A1204">
        <v>38</v>
      </c>
      <c r="B1204" t="s">
        <v>32</v>
      </c>
      <c r="C1204" t="s">
        <v>50</v>
      </c>
      <c r="D1204" t="s">
        <v>34</v>
      </c>
      <c r="E1204" t="s">
        <v>52</v>
      </c>
      <c r="F1204">
        <v>4</v>
      </c>
      <c r="G1204" t="s">
        <v>36</v>
      </c>
      <c r="H1204">
        <v>4</v>
      </c>
      <c r="I1204" t="s">
        <v>42</v>
      </c>
      <c r="J1204" t="s">
        <v>38</v>
      </c>
      <c r="K1204">
        <v>3</v>
      </c>
      <c r="L1204" t="s">
        <v>39</v>
      </c>
      <c r="M1204">
        <v>1</v>
      </c>
      <c r="N1204" t="s">
        <v>40</v>
      </c>
      <c r="O1204" t="s">
        <v>62</v>
      </c>
      <c r="P1204">
        <v>3</v>
      </c>
      <c r="Q1204" t="s">
        <v>42</v>
      </c>
      <c r="R1204" t="s">
        <v>58</v>
      </c>
      <c r="S1204">
        <v>7</v>
      </c>
      <c r="T1204" t="s">
        <v>44</v>
      </c>
      <c r="U1204" t="s">
        <v>59</v>
      </c>
      <c r="V1204">
        <v>19</v>
      </c>
      <c r="W1204" t="s">
        <v>45</v>
      </c>
      <c r="X1204">
        <v>7</v>
      </c>
      <c r="Y1204">
        <v>2</v>
      </c>
      <c r="Z1204" t="s">
        <v>46</v>
      </c>
      <c r="AA1204">
        <v>0</v>
      </c>
      <c r="AB1204" t="s">
        <v>48</v>
      </c>
      <c r="AC1204">
        <v>0</v>
      </c>
      <c r="AD1204" t="s">
        <v>48</v>
      </c>
      <c r="AE1204">
        <v>0</v>
      </c>
      <c r="AF1204" t="s">
        <v>49</v>
      </c>
    </row>
    <row r="1205" spans="1:32" x14ac:dyDescent="0.25">
      <c r="A1205">
        <v>53</v>
      </c>
      <c r="B1205" t="s">
        <v>64</v>
      </c>
      <c r="C1205" t="s">
        <v>50</v>
      </c>
      <c r="D1205" t="s">
        <v>34</v>
      </c>
      <c r="E1205" t="s">
        <v>52</v>
      </c>
      <c r="F1205">
        <v>24</v>
      </c>
      <c r="G1205" t="s">
        <v>66</v>
      </c>
      <c r="H1205">
        <v>2</v>
      </c>
      <c r="I1205" t="s">
        <v>37</v>
      </c>
      <c r="J1205" t="s">
        <v>54</v>
      </c>
      <c r="K1205">
        <v>4</v>
      </c>
      <c r="L1205" t="s">
        <v>65</v>
      </c>
      <c r="M1205">
        <v>3</v>
      </c>
      <c r="N1205" t="s">
        <v>68</v>
      </c>
      <c r="O1205" t="s">
        <v>70</v>
      </c>
      <c r="P1205">
        <v>4</v>
      </c>
      <c r="Q1205" t="s">
        <v>42</v>
      </c>
      <c r="R1205" t="s">
        <v>58</v>
      </c>
      <c r="S1205">
        <v>3</v>
      </c>
      <c r="T1205" t="s">
        <v>44</v>
      </c>
      <c r="U1205" t="s">
        <v>59</v>
      </c>
      <c r="V1205">
        <v>15</v>
      </c>
      <c r="W1205" t="s">
        <v>45</v>
      </c>
      <c r="X1205">
        <v>11</v>
      </c>
      <c r="Y1205">
        <v>3</v>
      </c>
      <c r="Z1205" t="s">
        <v>61</v>
      </c>
      <c r="AA1205">
        <v>4</v>
      </c>
      <c r="AB1205" t="s">
        <v>48</v>
      </c>
      <c r="AC1205">
        <v>3</v>
      </c>
      <c r="AD1205" t="s">
        <v>48</v>
      </c>
      <c r="AE1205">
        <v>1</v>
      </c>
      <c r="AF1205" t="s">
        <v>49</v>
      </c>
    </row>
    <row r="1206" spans="1:32" x14ac:dyDescent="0.25">
      <c r="A1206">
        <v>48</v>
      </c>
      <c r="B1206" t="s">
        <v>32</v>
      </c>
      <c r="C1206" t="s">
        <v>33</v>
      </c>
      <c r="D1206" t="s">
        <v>51</v>
      </c>
      <c r="E1206" t="s">
        <v>35</v>
      </c>
      <c r="F1206">
        <v>7</v>
      </c>
      <c r="G1206" t="s">
        <v>53</v>
      </c>
      <c r="H1206">
        <v>4</v>
      </c>
      <c r="I1206" t="s">
        <v>42</v>
      </c>
      <c r="J1206" t="s">
        <v>38</v>
      </c>
      <c r="K1206">
        <v>3</v>
      </c>
      <c r="L1206" t="s">
        <v>39</v>
      </c>
      <c r="M1206">
        <v>1</v>
      </c>
      <c r="N1206" t="s">
        <v>40</v>
      </c>
      <c r="O1206" t="s">
        <v>75</v>
      </c>
      <c r="P1206">
        <v>3</v>
      </c>
      <c r="Q1206" t="s">
        <v>42</v>
      </c>
      <c r="R1206" t="s">
        <v>58</v>
      </c>
      <c r="S1206">
        <v>2</v>
      </c>
      <c r="T1206" t="s">
        <v>44</v>
      </c>
      <c r="U1206" t="s">
        <v>44</v>
      </c>
      <c r="V1206">
        <v>11</v>
      </c>
      <c r="W1206" t="s">
        <v>45</v>
      </c>
      <c r="X1206">
        <v>19</v>
      </c>
      <c r="Y1206">
        <v>3</v>
      </c>
      <c r="Z1206" t="s">
        <v>61</v>
      </c>
      <c r="AA1206">
        <v>9</v>
      </c>
      <c r="AB1206" t="s">
        <v>47</v>
      </c>
      <c r="AC1206">
        <v>7</v>
      </c>
      <c r="AD1206" t="s">
        <v>47</v>
      </c>
      <c r="AE1206">
        <v>7</v>
      </c>
      <c r="AF1206" t="s">
        <v>71</v>
      </c>
    </row>
    <row r="1207" spans="1:32" x14ac:dyDescent="0.25">
      <c r="A1207">
        <v>32</v>
      </c>
      <c r="B1207" t="s">
        <v>32</v>
      </c>
      <c r="C1207" t="s">
        <v>33</v>
      </c>
      <c r="D1207" t="s">
        <v>34</v>
      </c>
      <c r="E1207" t="s">
        <v>52</v>
      </c>
      <c r="F1207">
        <v>2</v>
      </c>
      <c r="G1207" t="s">
        <v>36</v>
      </c>
      <c r="H1207">
        <v>4</v>
      </c>
      <c r="I1207" t="s">
        <v>42</v>
      </c>
      <c r="J1207" t="s">
        <v>54</v>
      </c>
      <c r="K1207">
        <v>3</v>
      </c>
      <c r="L1207" t="s">
        <v>39</v>
      </c>
      <c r="M1207">
        <v>1</v>
      </c>
      <c r="N1207" t="s">
        <v>40</v>
      </c>
      <c r="O1207" t="s">
        <v>62</v>
      </c>
      <c r="P1207">
        <v>2</v>
      </c>
      <c r="Q1207" t="s">
        <v>57</v>
      </c>
      <c r="R1207" t="s">
        <v>43</v>
      </c>
      <c r="S1207">
        <v>1</v>
      </c>
      <c r="T1207" t="s">
        <v>44</v>
      </c>
      <c r="U1207" t="s">
        <v>59</v>
      </c>
      <c r="V1207">
        <v>12</v>
      </c>
      <c r="W1207" t="s">
        <v>45</v>
      </c>
      <c r="X1207">
        <v>1</v>
      </c>
      <c r="Y1207">
        <v>3</v>
      </c>
      <c r="Z1207" t="s">
        <v>61</v>
      </c>
      <c r="AA1207">
        <v>1</v>
      </c>
      <c r="AB1207" t="s">
        <v>48</v>
      </c>
      <c r="AC1207">
        <v>0</v>
      </c>
      <c r="AD1207" t="s">
        <v>48</v>
      </c>
      <c r="AE1207">
        <v>0</v>
      </c>
      <c r="AF1207" t="s">
        <v>49</v>
      </c>
    </row>
    <row r="1208" spans="1:32" x14ac:dyDescent="0.25">
      <c r="A1208">
        <v>26</v>
      </c>
      <c r="B1208" t="s">
        <v>63</v>
      </c>
      <c r="C1208" t="s">
        <v>50</v>
      </c>
      <c r="D1208" t="s">
        <v>34</v>
      </c>
      <c r="E1208" t="s">
        <v>52</v>
      </c>
      <c r="F1208">
        <v>7</v>
      </c>
      <c r="G1208" t="s">
        <v>53</v>
      </c>
      <c r="H1208">
        <v>4</v>
      </c>
      <c r="I1208" t="s">
        <v>42</v>
      </c>
      <c r="J1208" t="s">
        <v>54</v>
      </c>
      <c r="K1208">
        <v>3</v>
      </c>
      <c r="L1208" t="s">
        <v>39</v>
      </c>
      <c r="M1208">
        <v>1</v>
      </c>
      <c r="N1208" t="s">
        <v>40</v>
      </c>
      <c r="O1208" t="s">
        <v>62</v>
      </c>
      <c r="P1208">
        <v>4</v>
      </c>
      <c r="Q1208" t="s">
        <v>42</v>
      </c>
      <c r="R1208" t="s">
        <v>43</v>
      </c>
      <c r="S1208">
        <v>1</v>
      </c>
      <c r="T1208" t="s">
        <v>44</v>
      </c>
      <c r="U1208" t="s">
        <v>59</v>
      </c>
      <c r="V1208">
        <v>20</v>
      </c>
      <c r="W1208" t="s">
        <v>60</v>
      </c>
      <c r="X1208">
        <v>7</v>
      </c>
      <c r="Y1208">
        <v>3</v>
      </c>
      <c r="Z1208" t="s">
        <v>61</v>
      </c>
      <c r="AA1208">
        <v>7</v>
      </c>
      <c r="AB1208" t="s">
        <v>47</v>
      </c>
      <c r="AC1208">
        <v>7</v>
      </c>
      <c r="AD1208" t="s">
        <v>47</v>
      </c>
      <c r="AE1208">
        <v>5</v>
      </c>
      <c r="AF1208" t="s">
        <v>71</v>
      </c>
    </row>
    <row r="1209" spans="1:32" x14ac:dyDescent="0.25">
      <c r="A1209">
        <v>55</v>
      </c>
      <c r="B1209" t="s">
        <v>64</v>
      </c>
      <c r="C1209" t="s">
        <v>50</v>
      </c>
      <c r="D1209" t="s">
        <v>34</v>
      </c>
      <c r="E1209" t="s">
        <v>52</v>
      </c>
      <c r="F1209">
        <v>22</v>
      </c>
      <c r="G1209" t="s">
        <v>66</v>
      </c>
      <c r="H1209">
        <v>1</v>
      </c>
      <c r="I1209" t="s">
        <v>37</v>
      </c>
      <c r="J1209" t="s">
        <v>54</v>
      </c>
      <c r="K1209">
        <v>2</v>
      </c>
      <c r="L1209" t="s">
        <v>55</v>
      </c>
      <c r="M1209">
        <v>1</v>
      </c>
      <c r="N1209" t="s">
        <v>40</v>
      </c>
      <c r="O1209" t="s">
        <v>56</v>
      </c>
      <c r="P1209">
        <v>2</v>
      </c>
      <c r="Q1209" t="s">
        <v>57</v>
      </c>
      <c r="R1209" t="s">
        <v>67</v>
      </c>
      <c r="S1209">
        <v>5</v>
      </c>
      <c r="T1209" t="s">
        <v>44</v>
      </c>
      <c r="U1209" t="s">
        <v>59</v>
      </c>
      <c r="V1209">
        <v>12</v>
      </c>
      <c r="W1209" t="s">
        <v>45</v>
      </c>
      <c r="X1209">
        <v>8</v>
      </c>
      <c r="Y1209">
        <v>3</v>
      </c>
      <c r="Z1209" t="s">
        <v>61</v>
      </c>
      <c r="AA1209">
        <v>4</v>
      </c>
      <c r="AB1209" t="s">
        <v>48</v>
      </c>
      <c r="AC1209">
        <v>2</v>
      </c>
      <c r="AD1209" t="s">
        <v>48</v>
      </c>
      <c r="AE1209">
        <v>1</v>
      </c>
      <c r="AF1209" t="s">
        <v>49</v>
      </c>
    </row>
    <row r="1210" spans="1:32" x14ac:dyDescent="0.25">
      <c r="A1210">
        <v>34</v>
      </c>
      <c r="B1210" t="s">
        <v>32</v>
      </c>
      <c r="C1210" t="s">
        <v>50</v>
      </c>
      <c r="D1210" t="s">
        <v>34</v>
      </c>
      <c r="E1210" t="s">
        <v>52</v>
      </c>
      <c r="F1210">
        <v>5</v>
      </c>
      <c r="G1210" t="s">
        <v>36</v>
      </c>
      <c r="H1210">
        <v>2</v>
      </c>
      <c r="I1210" t="s">
        <v>37</v>
      </c>
      <c r="J1210" t="s">
        <v>54</v>
      </c>
      <c r="K1210">
        <v>2</v>
      </c>
      <c r="L1210" t="s">
        <v>55</v>
      </c>
      <c r="M1210">
        <v>2</v>
      </c>
      <c r="N1210" t="s">
        <v>40</v>
      </c>
      <c r="O1210" t="s">
        <v>62</v>
      </c>
      <c r="P1210">
        <v>4</v>
      </c>
      <c r="Q1210" t="s">
        <v>42</v>
      </c>
      <c r="R1210" t="s">
        <v>58</v>
      </c>
      <c r="S1210">
        <v>1</v>
      </c>
      <c r="T1210" t="s">
        <v>44</v>
      </c>
      <c r="U1210" t="s">
        <v>59</v>
      </c>
      <c r="V1210">
        <v>14</v>
      </c>
      <c r="W1210" t="s">
        <v>45</v>
      </c>
      <c r="X1210">
        <v>15</v>
      </c>
      <c r="Y1210">
        <v>4</v>
      </c>
      <c r="Z1210" t="s">
        <v>61</v>
      </c>
      <c r="AA1210">
        <v>15</v>
      </c>
      <c r="AB1210" t="s">
        <v>74</v>
      </c>
      <c r="AC1210">
        <v>10</v>
      </c>
      <c r="AD1210" t="s">
        <v>47</v>
      </c>
      <c r="AE1210">
        <v>4</v>
      </c>
      <c r="AF1210" t="s">
        <v>71</v>
      </c>
    </row>
    <row r="1211" spans="1:32" x14ac:dyDescent="0.25">
      <c r="A1211">
        <v>60</v>
      </c>
      <c r="B1211" t="s">
        <v>64</v>
      </c>
      <c r="C1211" t="s">
        <v>50</v>
      </c>
      <c r="D1211" t="s">
        <v>34</v>
      </c>
      <c r="E1211" t="s">
        <v>52</v>
      </c>
      <c r="F1211">
        <v>1</v>
      </c>
      <c r="G1211" t="s">
        <v>36</v>
      </c>
      <c r="H1211">
        <v>3</v>
      </c>
      <c r="I1211" t="s">
        <v>42</v>
      </c>
      <c r="J1211" t="s">
        <v>54</v>
      </c>
      <c r="K1211">
        <v>1</v>
      </c>
      <c r="L1211" t="s">
        <v>55</v>
      </c>
      <c r="M1211">
        <v>3</v>
      </c>
      <c r="N1211" t="s">
        <v>68</v>
      </c>
      <c r="O1211" t="s">
        <v>70</v>
      </c>
      <c r="P1211">
        <v>4</v>
      </c>
      <c r="Q1211" t="s">
        <v>42</v>
      </c>
      <c r="R1211" t="s">
        <v>67</v>
      </c>
      <c r="S1211">
        <v>3</v>
      </c>
      <c r="T1211" t="s">
        <v>44</v>
      </c>
      <c r="U1211" t="s">
        <v>59</v>
      </c>
      <c r="V1211">
        <v>20</v>
      </c>
      <c r="W1211" t="s">
        <v>60</v>
      </c>
      <c r="X1211">
        <v>19</v>
      </c>
      <c r="Y1211">
        <v>4</v>
      </c>
      <c r="Z1211" t="s">
        <v>61</v>
      </c>
      <c r="AA1211">
        <v>1</v>
      </c>
      <c r="AB1211" t="s">
        <v>48</v>
      </c>
      <c r="AC1211">
        <v>0</v>
      </c>
      <c r="AD1211" t="s">
        <v>48</v>
      </c>
      <c r="AE1211">
        <v>0</v>
      </c>
      <c r="AF1211" t="s">
        <v>49</v>
      </c>
    </row>
    <row r="1212" spans="1:32" x14ac:dyDescent="0.25">
      <c r="A1212">
        <v>33</v>
      </c>
      <c r="B1212" t="s">
        <v>32</v>
      </c>
      <c r="C1212" t="s">
        <v>50</v>
      </c>
      <c r="D1212" t="s">
        <v>34</v>
      </c>
      <c r="E1212" t="s">
        <v>52</v>
      </c>
      <c r="F1212">
        <v>21</v>
      </c>
      <c r="G1212" t="s">
        <v>66</v>
      </c>
      <c r="H1212">
        <v>2</v>
      </c>
      <c r="I1212" t="s">
        <v>37</v>
      </c>
      <c r="J1212" t="s">
        <v>54</v>
      </c>
      <c r="K1212">
        <v>4</v>
      </c>
      <c r="L1212" t="s">
        <v>65</v>
      </c>
      <c r="M1212">
        <v>1</v>
      </c>
      <c r="N1212" t="s">
        <v>40</v>
      </c>
      <c r="O1212" t="s">
        <v>62</v>
      </c>
      <c r="P1212">
        <v>2</v>
      </c>
      <c r="Q1212" t="s">
        <v>57</v>
      </c>
      <c r="R1212" t="s">
        <v>58</v>
      </c>
      <c r="S1212">
        <v>1</v>
      </c>
      <c r="T1212" t="s">
        <v>44</v>
      </c>
      <c r="U1212" t="s">
        <v>59</v>
      </c>
      <c r="V1212">
        <v>18</v>
      </c>
      <c r="W1212" t="s">
        <v>45</v>
      </c>
      <c r="X1212">
        <v>14</v>
      </c>
      <c r="Y1212">
        <v>3</v>
      </c>
      <c r="Z1212" t="s">
        <v>61</v>
      </c>
      <c r="AA1212">
        <v>14</v>
      </c>
      <c r="AB1212" t="s">
        <v>74</v>
      </c>
      <c r="AC1212">
        <v>11</v>
      </c>
      <c r="AD1212" t="s">
        <v>74</v>
      </c>
      <c r="AE1212">
        <v>2</v>
      </c>
      <c r="AF1212" t="s">
        <v>49</v>
      </c>
    </row>
    <row r="1213" spans="1:32" x14ac:dyDescent="0.25">
      <c r="A1213">
        <v>37</v>
      </c>
      <c r="B1213" t="s">
        <v>32</v>
      </c>
      <c r="C1213" t="s">
        <v>50</v>
      </c>
      <c r="D1213" t="s">
        <v>51</v>
      </c>
      <c r="E1213" t="s">
        <v>35</v>
      </c>
      <c r="F1213">
        <v>1</v>
      </c>
      <c r="G1213" t="s">
        <v>36</v>
      </c>
      <c r="H1213">
        <v>3</v>
      </c>
      <c r="I1213" t="s">
        <v>42</v>
      </c>
      <c r="J1213" t="s">
        <v>54</v>
      </c>
      <c r="K1213">
        <v>1</v>
      </c>
      <c r="L1213" t="s">
        <v>55</v>
      </c>
      <c r="M1213">
        <v>2</v>
      </c>
      <c r="N1213" t="s">
        <v>40</v>
      </c>
      <c r="O1213" t="s">
        <v>41</v>
      </c>
      <c r="P1213">
        <v>4</v>
      </c>
      <c r="Q1213" t="s">
        <v>42</v>
      </c>
      <c r="R1213" t="s">
        <v>67</v>
      </c>
      <c r="S1213">
        <v>1</v>
      </c>
      <c r="T1213" t="s">
        <v>44</v>
      </c>
      <c r="U1213" t="s">
        <v>59</v>
      </c>
      <c r="V1213">
        <v>14</v>
      </c>
      <c r="W1213" t="s">
        <v>45</v>
      </c>
      <c r="X1213">
        <v>6</v>
      </c>
      <c r="Y1213">
        <v>2</v>
      </c>
      <c r="Z1213" t="s">
        <v>46</v>
      </c>
      <c r="AA1213">
        <v>6</v>
      </c>
      <c r="AB1213" t="s">
        <v>47</v>
      </c>
      <c r="AC1213">
        <v>3</v>
      </c>
      <c r="AD1213" t="s">
        <v>48</v>
      </c>
      <c r="AE1213">
        <v>1</v>
      </c>
      <c r="AF1213" t="s">
        <v>49</v>
      </c>
    </row>
    <row r="1214" spans="1:32" x14ac:dyDescent="0.25">
      <c r="A1214">
        <v>34</v>
      </c>
      <c r="B1214" t="s">
        <v>32</v>
      </c>
      <c r="C1214" t="s">
        <v>50</v>
      </c>
      <c r="D1214" t="s">
        <v>34</v>
      </c>
      <c r="E1214" t="s">
        <v>52</v>
      </c>
      <c r="F1214">
        <v>19</v>
      </c>
      <c r="G1214" t="s">
        <v>66</v>
      </c>
      <c r="H1214">
        <v>2</v>
      </c>
      <c r="I1214" t="s">
        <v>37</v>
      </c>
      <c r="J1214" t="s">
        <v>38</v>
      </c>
      <c r="K1214">
        <v>2</v>
      </c>
      <c r="L1214" t="s">
        <v>55</v>
      </c>
      <c r="M1214">
        <v>1</v>
      </c>
      <c r="N1214" t="s">
        <v>40</v>
      </c>
      <c r="O1214" t="s">
        <v>56</v>
      </c>
      <c r="P1214">
        <v>4</v>
      </c>
      <c r="Q1214" t="s">
        <v>42</v>
      </c>
      <c r="R1214" t="s">
        <v>58</v>
      </c>
      <c r="S1214">
        <v>1</v>
      </c>
      <c r="T1214" t="s">
        <v>44</v>
      </c>
      <c r="U1214" t="s">
        <v>59</v>
      </c>
      <c r="V1214">
        <v>12</v>
      </c>
      <c r="W1214" t="s">
        <v>45</v>
      </c>
      <c r="X1214">
        <v>10</v>
      </c>
      <c r="Y1214">
        <v>3</v>
      </c>
      <c r="Z1214" t="s">
        <v>61</v>
      </c>
      <c r="AA1214">
        <v>10</v>
      </c>
      <c r="AB1214" t="s">
        <v>47</v>
      </c>
      <c r="AC1214">
        <v>9</v>
      </c>
      <c r="AD1214" t="s">
        <v>47</v>
      </c>
      <c r="AE1214">
        <v>8</v>
      </c>
      <c r="AF1214" t="s">
        <v>71</v>
      </c>
    </row>
    <row r="1215" spans="1:32" x14ac:dyDescent="0.25">
      <c r="A1215">
        <v>23</v>
      </c>
      <c r="B1215" t="s">
        <v>63</v>
      </c>
      <c r="C1215" t="s">
        <v>33</v>
      </c>
      <c r="D1215" t="s">
        <v>34</v>
      </c>
      <c r="E1215" t="s">
        <v>35</v>
      </c>
      <c r="F1215">
        <v>7</v>
      </c>
      <c r="G1215" t="s">
        <v>53</v>
      </c>
      <c r="H1215">
        <v>3</v>
      </c>
      <c r="I1215" t="s">
        <v>42</v>
      </c>
      <c r="J1215" t="s">
        <v>54</v>
      </c>
      <c r="K1215">
        <v>3</v>
      </c>
      <c r="L1215" t="s">
        <v>39</v>
      </c>
      <c r="M1215">
        <v>1</v>
      </c>
      <c r="N1215" t="s">
        <v>40</v>
      </c>
      <c r="O1215" t="s">
        <v>75</v>
      </c>
      <c r="P1215">
        <v>4</v>
      </c>
      <c r="Q1215" t="s">
        <v>42</v>
      </c>
      <c r="R1215" t="s">
        <v>67</v>
      </c>
      <c r="S1215">
        <v>1</v>
      </c>
      <c r="T1215" t="s">
        <v>44</v>
      </c>
      <c r="U1215" t="s">
        <v>44</v>
      </c>
      <c r="V1215">
        <v>21</v>
      </c>
      <c r="W1215" t="s">
        <v>60</v>
      </c>
      <c r="X1215">
        <v>3</v>
      </c>
      <c r="Y1215">
        <v>3</v>
      </c>
      <c r="Z1215" t="s">
        <v>61</v>
      </c>
      <c r="AA1215">
        <v>3</v>
      </c>
      <c r="AB1215" t="s">
        <v>48</v>
      </c>
      <c r="AC1215">
        <v>2</v>
      </c>
      <c r="AD1215" t="s">
        <v>48</v>
      </c>
      <c r="AE1215">
        <v>0</v>
      </c>
      <c r="AF1215" t="s">
        <v>49</v>
      </c>
    </row>
    <row r="1216" spans="1:32" x14ac:dyDescent="0.25">
      <c r="A1216">
        <v>44</v>
      </c>
      <c r="B1216" t="s">
        <v>32</v>
      </c>
      <c r="C1216" t="s">
        <v>50</v>
      </c>
      <c r="D1216" t="s">
        <v>34</v>
      </c>
      <c r="E1216" t="s">
        <v>52</v>
      </c>
      <c r="F1216">
        <v>2</v>
      </c>
      <c r="G1216" t="s">
        <v>36</v>
      </c>
      <c r="H1216">
        <v>3</v>
      </c>
      <c r="I1216" t="s">
        <v>42</v>
      </c>
      <c r="J1216" t="s">
        <v>38</v>
      </c>
      <c r="K1216">
        <v>4</v>
      </c>
      <c r="L1216" t="s">
        <v>65</v>
      </c>
      <c r="M1216">
        <v>3</v>
      </c>
      <c r="N1216" t="s">
        <v>68</v>
      </c>
      <c r="O1216" t="s">
        <v>70</v>
      </c>
      <c r="P1216">
        <v>4</v>
      </c>
      <c r="Q1216" t="s">
        <v>42</v>
      </c>
      <c r="R1216" t="s">
        <v>58</v>
      </c>
      <c r="S1216">
        <v>1</v>
      </c>
      <c r="T1216" t="s">
        <v>44</v>
      </c>
      <c r="U1216" t="s">
        <v>44</v>
      </c>
      <c r="V1216">
        <v>19</v>
      </c>
      <c r="W1216" t="s">
        <v>45</v>
      </c>
      <c r="X1216">
        <v>9</v>
      </c>
      <c r="Y1216">
        <v>3</v>
      </c>
      <c r="Z1216" t="s">
        <v>61</v>
      </c>
      <c r="AA1216">
        <v>8</v>
      </c>
      <c r="AB1216" t="s">
        <v>47</v>
      </c>
      <c r="AC1216">
        <v>7</v>
      </c>
      <c r="AD1216" t="s">
        <v>47</v>
      </c>
      <c r="AE1216">
        <v>6</v>
      </c>
      <c r="AF1216" t="s">
        <v>71</v>
      </c>
    </row>
    <row r="1217" spans="1:32" x14ac:dyDescent="0.25">
      <c r="A1217">
        <v>35</v>
      </c>
      <c r="B1217" t="s">
        <v>32</v>
      </c>
      <c r="C1217" t="s">
        <v>50</v>
      </c>
      <c r="D1217" t="s">
        <v>51</v>
      </c>
      <c r="E1217" t="s">
        <v>52</v>
      </c>
      <c r="F1217">
        <v>2</v>
      </c>
      <c r="G1217" t="s">
        <v>36</v>
      </c>
      <c r="H1217">
        <v>1</v>
      </c>
      <c r="I1217" t="s">
        <v>37</v>
      </c>
      <c r="J1217" t="s">
        <v>54</v>
      </c>
      <c r="K1217">
        <v>2</v>
      </c>
      <c r="L1217" t="s">
        <v>55</v>
      </c>
      <c r="M1217">
        <v>1</v>
      </c>
      <c r="N1217" t="s">
        <v>40</v>
      </c>
      <c r="O1217" t="s">
        <v>56</v>
      </c>
      <c r="P1217">
        <v>4</v>
      </c>
      <c r="Q1217" t="s">
        <v>42</v>
      </c>
      <c r="R1217" t="s">
        <v>43</v>
      </c>
      <c r="S1217">
        <v>0</v>
      </c>
      <c r="T1217" t="s">
        <v>44</v>
      </c>
      <c r="U1217" t="s">
        <v>44</v>
      </c>
      <c r="V1217">
        <v>14</v>
      </c>
      <c r="W1217" t="s">
        <v>45</v>
      </c>
      <c r="X1217">
        <v>6</v>
      </c>
      <c r="Y1217">
        <v>4</v>
      </c>
      <c r="Z1217" t="s">
        <v>61</v>
      </c>
      <c r="AA1217">
        <v>5</v>
      </c>
      <c r="AB1217" t="s">
        <v>47</v>
      </c>
      <c r="AC1217">
        <v>4</v>
      </c>
      <c r="AD1217" t="s">
        <v>48</v>
      </c>
      <c r="AE1217">
        <v>1</v>
      </c>
      <c r="AF1217" t="s">
        <v>49</v>
      </c>
    </row>
    <row r="1218" spans="1:32" x14ac:dyDescent="0.25">
      <c r="A1218">
        <v>43</v>
      </c>
      <c r="B1218" t="s">
        <v>32</v>
      </c>
      <c r="C1218" t="s">
        <v>50</v>
      </c>
      <c r="D1218" t="s">
        <v>34</v>
      </c>
      <c r="E1218" t="s">
        <v>35</v>
      </c>
      <c r="F1218">
        <v>2</v>
      </c>
      <c r="G1218" t="s">
        <v>36</v>
      </c>
      <c r="H1218">
        <v>4</v>
      </c>
      <c r="I1218" t="s">
        <v>42</v>
      </c>
      <c r="J1218" t="s">
        <v>54</v>
      </c>
      <c r="K1218">
        <v>3</v>
      </c>
      <c r="L1218" t="s">
        <v>39</v>
      </c>
      <c r="M1218">
        <v>2</v>
      </c>
      <c r="N1218" t="s">
        <v>40</v>
      </c>
      <c r="O1218" t="s">
        <v>41</v>
      </c>
      <c r="P1218">
        <v>4</v>
      </c>
      <c r="Q1218" t="s">
        <v>42</v>
      </c>
      <c r="R1218" t="s">
        <v>58</v>
      </c>
      <c r="S1218">
        <v>1</v>
      </c>
      <c r="T1218" t="s">
        <v>44</v>
      </c>
      <c r="U1218" t="s">
        <v>44</v>
      </c>
      <c r="V1218">
        <v>17</v>
      </c>
      <c r="W1218" t="s">
        <v>45</v>
      </c>
      <c r="X1218">
        <v>10</v>
      </c>
      <c r="Y1218">
        <v>3</v>
      </c>
      <c r="Z1218" t="s">
        <v>61</v>
      </c>
      <c r="AA1218">
        <v>10</v>
      </c>
      <c r="AB1218" t="s">
        <v>47</v>
      </c>
      <c r="AC1218">
        <v>9</v>
      </c>
      <c r="AD1218" t="s">
        <v>47</v>
      </c>
      <c r="AE1218">
        <v>8</v>
      </c>
      <c r="AF1218" t="s">
        <v>71</v>
      </c>
    </row>
    <row r="1219" spans="1:32" x14ac:dyDescent="0.25">
      <c r="A1219">
        <v>24</v>
      </c>
      <c r="B1219" t="s">
        <v>63</v>
      </c>
      <c r="C1219" t="s">
        <v>50</v>
      </c>
      <c r="D1219" t="s">
        <v>34</v>
      </c>
      <c r="E1219" t="s">
        <v>52</v>
      </c>
      <c r="F1219">
        <v>9</v>
      </c>
      <c r="G1219" t="s">
        <v>53</v>
      </c>
      <c r="H1219">
        <v>3</v>
      </c>
      <c r="I1219" t="s">
        <v>42</v>
      </c>
      <c r="J1219" t="s">
        <v>54</v>
      </c>
      <c r="K1219">
        <v>4</v>
      </c>
      <c r="L1219" t="s">
        <v>65</v>
      </c>
      <c r="M1219">
        <v>1</v>
      </c>
      <c r="N1219" t="s">
        <v>40</v>
      </c>
      <c r="O1219" t="s">
        <v>56</v>
      </c>
      <c r="P1219">
        <v>3</v>
      </c>
      <c r="Q1219" t="s">
        <v>42</v>
      </c>
      <c r="R1219" t="s">
        <v>58</v>
      </c>
      <c r="S1219">
        <v>1</v>
      </c>
      <c r="T1219" t="s">
        <v>44</v>
      </c>
      <c r="U1219" t="s">
        <v>59</v>
      </c>
      <c r="V1219">
        <v>16</v>
      </c>
      <c r="W1219" t="s">
        <v>45</v>
      </c>
      <c r="X1219">
        <v>5</v>
      </c>
      <c r="Y1219">
        <v>3</v>
      </c>
      <c r="Z1219" t="s">
        <v>61</v>
      </c>
      <c r="AA1219">
        <v>5</v>
      </c>
      <c r="AB1219" t="s">
        <v>47</v>
      </c>
      <c r="AC1219">
        <v>3</v>
      </c>
      <c r="AD1219" t="s">
        <v>48</v>
      </c>
      <c r="AE1219">
        <v>0</v>
      </c>
      <c r="AF1219" t="s">
        <v>49</v>
      </c>
    </row>
    <row r="1220" spans="1:32" x14ac:dyDescent="0.25">
      <c r="A1220">
        <v>41</v>
      </c>
      <c r="B1220" t="s">
        <v>32</v>
      </c>
      <c r="C1220" t="s">
        <v>50</v>
      </c>
      <c r="D1220" t="s">
        <v>34</v>
      </c>
      <c r="E1220" t="s">
        <v>35</v>
      </c>
      <c r="F1220">
        <v>6</v>
      </c>
      <c r="G1220" t="s">
        <v>53</v>
      </c>
      <c r="H1220">
        <v>4</v>
      </c>
      <c r="I1220" t="s">
        <v>42</v>
      </c>
      <c r="J1220" t="s">
        <v>54</v>
      </c>
      <c r="K1220">
        <v>3</v>
      </c>
      <c r="L1220" t="s">
        <v>39</v>
      </c>
      <c r="M1220">
        <v>3</v>
      </c>
      <c r="N1220" t="s">
        <v>68</v>
      </c>
      <c r="O1220" t="s">
        <v>41</v>
      </c>
      <c r="P1220">
        <v>3</v>
      </c>
      <c r="Q1220" t="s">
        <v>42</v>
      </c>
      <c r="R1220" t="s">
        <v>43</v>
      </c>
      <c r="S1220">
        <v>1</v>
      </c>
      <c r="T1220" t="s">
        <v>44</v>
      </c>
      <c r="U1220" t="s">
        <v>59</v>
      </c>
      <c r="V1220">
        <v>12</v>
      </c>
      <c r="W1220" t="s">
        <v>45</v>
      </c>
      <c r="X1220">
        <v>10</v>
      </c>
      <c r="Y1220">
        <v>3</v>
      </c>
      <c r="Z1220" t="s">
        <v>61</v>
      </c>
      <c r="AA1220">
        <v>10</v>
      </c>
      <c r="AB1220" t="s">
        <v>47</v>
      </c>
      <c r="AC1220">
        <v>8</v>
      </c>
      <c r="AD1220" t="s">
        <v>47</v>
      </c>
      <c r="AE1220">
        <v>8</v>
      </c>
      <c r="AF1220" t="s">
        <v>71</v>
      </c>
    </row>
    <row r="1221" spans="1:32" x14ac:dyDescent="0.25">
      <c r="A1221">
        <v>29</v>
      </c>
      <c r="B1221" t="s">
        <v>63</v>
      </c>
      <c r="C1221" t="s">
        <v>50</v>
      </c>
      <c r="D1221" t="s">
        <v>34</v>
      </c>
      <c r="E1221" t="s">
        <v>52</v>
      </c>
      <c r="F1221">
        <v>9</v>
      </c>
      <c r="G1221" t="s">
        <v>53</v>
      </c>
      <c r="H1221">
        <v>4</v>
      </c>
      <c r="I1221" t="s">
        <v>42</v>
      </c>
      <c r="J1221" t="s">
        <v>38</v>
      </c>
      <c r="K1221">
        <v>3</v>
      </c>
      <c r="L1221" t="s">
        <v>39</v>
      </c>
      <c r="M1221">
        <v>1</v>
      </c>
      <c r="N1221" t="s">
        <v>40</v>
      </c>
      <c r="O1221" t="s">
        <v>62</v>
      </c>
      <c r="P1221">
        <v>3</v>
      </c>
      <c r="Q1221" t="s">
        <v>42</v>
      </c>
      <c r="R1221" t="s">
        <v>58</v>
      </c>
      <c r="S1221">
        <v>9</v>
      </c>
      <c r="T1221" t="s">
        <v>44</v>
      </c>
      <c r="U1221" t="s">
        <v>59</v>
      </c>
      <c r="V1221">
        <v>17</v>
      </c>
      <c r="W1221" t="s">
        <v>45</v>
      </c>
      <c r="X1221">
        <v>9</v>
      </c>
      <c r="Y1221">
        <v>3</v>
      </c>
      <c r="Z1221" t="s">
        <v>61</v>
      </c>
      <c r="AA1221">
        <v>5</v>
      </c>
      <c r="AB1221" t="s">
        <v>47</v>
      </c>
      <c r="AC1221">
        <v>3</v>
      </c>
      <c r="AD1221" t="s">
        <v>48</v>
      </c>
      <c r="AE1221">
        <v>1</v>
      </c>
      <c r="AF1221" t="s">
        <v>49</v>
      </c>
    </row>
    <row r="1222" spans="1:32" x14ac:dyDescent="0.25">
      <c r="A1222">
        <v>36</v>
      </c>
      <c r="B1222" t="s">
        <v>32</v>
      </c>
      <c r="C1222" t="s">
        <v>50</v>
      </c>
      <c r="D1222" t="s">
        <v>34</v>
      </c>
      <c r="E1222" t="s">
        <v>35</v>
      </c>
      <c r="F1222">
        <v>2</v>
      </c>
      <c r="G1222" t="s">
        <v>36</v>
      </c>
      <c r="H1222">
        <v>3</v>
      </c>
      <c r="I1222" t="s">
        <v>42</v>
      </c>
      <c r="J1222" t="s">
        <v>38</v>
      </c>
      <c r="K1222">
        <v>3</v>
      </c>
      <c r="L1222" t="s">
        <v>39</v>
      </c>
      <c r="M1222">
        <v>2</v>
      </c>
      <c r="N1222" t="s">
        <v>40</v>
      </c>
      <c r="O1222" t="s">
        <v>75</v>
      </c>
      <c r="P1222">
        <v>4</v>
      </c>
      <c r="Q1222" t="s">
        <v>42</v>
      </c>
      <c r="R1222" t="s">
        <v>43</v>
      </c>
      <c r="S1222">
        <v>3</v>
      </c>
      <c r="T1222" t="s">
        <v>44</v>
      </c>
      <c r="U1222" t="s">
        <v>59</v>
      </c>
      <c r="V1222">
        <v>15</v>
      </c>
      <c r="W1222" t="s">
        <v>45</v>
      </c>
      <c r="X1222">
        <v>17</v>
      </c>
      <c r="Y1222">
        <v>2</v>
      </c>
      <c r="Z1222" t="s">
        <v>46</v>
      </c>
      <c r="AA1222">
        <v>13</v>
      </c>
      <c r="AB1222" t="s">
        <v>74</v>
      </c>
      <c r="AC1222">
        <v>7</v>
      </c>
      <c r="AD1222" t="s">
        <v>47</v>
      </c>
      <c r="AE1222">
        <v>6</v>
      </c>
      <c r="AF1222" t="s">
        <v>71</v>
      </c>
    </row>
    <row r="1223" spans="1:32" x14ac:dyDescent="0.25">
      <c r="A1223">
        <v>45</v>
      </c>
      <c r="B1223" t="s">
        <v>32</v>
      </c>
      <c r="C1223" t="s">
        <v>50</v>
      </c>
      <c r="D1223" t="s">
        <v>34</v>
      </c>
      <c r="E1223" t="s">
        <v>52</v>
      </c>
      <c r="F1223">
        <v>1</v>
      </c>
      <c r="G1223" t="s">
        <v>36</v>
      </c>
      <c r="H1223">
        <v>3</v>
      </c>
      <c r="I1223" t="s">
        <v>42</v>
      </c>
      <c r="J1223" t="s">
        <v>54</v>
      </c>
      <c r="K1223">
        <v>2</v>
      </c>
      <c r="L1223" t="s">
        <v>55</v>
      </c>
      <c r="M1223">
        <v>3</v>
      </c>
      <c r="N1223" t="s">
        <v>68</v>
      </c>
      <c r="O1223" t="s">
        <v>70</v>
      </c>
      <c r="P1223">
        <v>3</v>
      </c>
      <c r="Q1223" t="s">
        <v>42</v>
      </c>
      <c r="R1223" t="s">
        <v>58</v>
      </c>
      <c r="S1223">
        <v>3</v>
      </c>
      <c r="T1223" t="s">
        <v>44</v>
      </c>
      <c r="U1223" t="s">
        <v>59</v>
      </c>
      <c r="V1223">
        <v>23</v>
      </c>
      <c r="W1223" t="s">
        <v>60</v>
      </c>
      <c r="X1223">
        <v>25</v>
      </c>
      <c r="Y1223">
        <v>2</v>
      </c>
      <c r="Z1223" t="s">
        <v>46</v>
      </c>
      <c r="AA1223">
        <v>23</v>
      </c>
      <c r="AB1223" t="s">
        <v>74</v>
      </c>
      <c r="AC1223">
        <v>15</v>
      </c>
      <c r="AD1223" t="s">
        <v>74</v>
      </c>
      <c r="AE1223">
        <v>14</v>
      </c>
      <c r="AF1223" t="s">
        <v>71</v>
      </c>
    </row>
    <row r="1224" spans="1:32" x14ac:dyDescent="0.25">
      <c r="A1224">
        <v>24</v>
      </c>
      <c r="B1224" t="s">
        <v>63</v>
      </c>
      <c r="C1224" t="s">
        <v>33</v>
      </c>
      <c r="D1224" t="s">
        <v>34</v>
      </c>
      <c r="E1224" t="s">
        <v>77</v>
      </c>
      <c r="F1224">
        <v>22</v>
      </c>
      <c r="G1224" t="s">
        <v>66</v>
      </c>
      <c r="H1224">
        <v>4</v>
      </c>
      <c r="I1224" t="s">
        <v>42</v>
      </c>
      <c r="J1224" t="s">
        <v>54</v>
      </c>
      <c r="K1224">
        <v>1</v>
      </c>
      <c r="L1224" t="s">
        <v>55</v>
      </c>
      <c r="M1224">
        <v>1</v>
      </c>
      <c r="N1224" t="s">
        <v>40</v>
      </c>
      <c r="O1224" t="s">
        <v>77</v>
      </c>
      <c r="P1224">
        <v>3</v>
      </c>
      <c r="Q1224" t="s">
        <v>42</v>
      </c>
      <c r="R1224" t="s">
        <v>58</v>
      </c>
      <c r="S1224">
        <v>1</v>
      </c>
      <c r="T1224" t="s">
        <v>44</v>
      </c>
      <c r="U1224" t="s">
        <v>59</v>
      </c>
      <c r="V1224">
        <v>11</v>
      </c>
      <c r="W1224" t="s">
        <v>45</v>
      </c>
      <c r="X1224">
        <v>1</v>
      </c>
      <c r="Y1224">
        <v>3</v>
      </c>
      <c r="Z1224" t="s">
        <v>61</v>
      </c>
      <c r="AA1224">
        <v>1</v>
      </c>
      <c r="AB1224" t="s">
        <v>48</v>
      </c>
      <c r="AC1224">
        <v>0</v>
      </c>
      <c r="AD1224" t="s">
        <v>48</v>
      </c>
      <c r="AE1224">
        <v>0</v>
      </c>
      <c r="AF1224" t="s">
        <v>49</v>
      </c>
    </row>
    <row r="1225" spans="1:32" x14ac:dyDescent="0.25">
      <c r="A1225">
        <v>47</v>
      </c>
      <c r="B1225" t="s">
        <v>32</v>
      </c>
      <c r="C1225" t="s">
        <v>33</v>
      </c>
      <c r="D1225" t="s">
        <v>51</v>
      </c>
      <c r="E1225" t="s">
        <v>35</v>
      </c>
      <c r="F1225">
        <v>9</v>
      </c>
      <c r="G1225" t="s">
        <v>53</v>
      </c>
      <c r="H1225">
        <v>3</v>
      </c>
      <c r="I1225" t="s">
        <v>42</v>
      </c>
      <c r="J1225" t="s">
        <v>54</v>
      </c>
      <c r="K1225">
        <v>1</v>
      </c>
      <c r="L1225" t="s">
        <v>55</v>
      </c>
      <c r="M1225">
        <v>4</v>
      </c>
      <c r="N1225" t="s">
        <v>72</v>
      </c>
      <c r="O1225" t="s">
        <v>41</v>
      </c>
      <c r="P1225">
        <v>3</v>
      </c>
      <c r="Q1225" t="s">
        <v>42</v>
      </c>
      <c r="R1225" t="s">
        <v>58</v>
      </c>
      <c r="S1225">
        <v>7</v>
      </c>
      <c r="T1225" t="s">
        <v>44</v>
      </c>
      <c r="U1225" t="s">
        <v>59</v>
      </c>
      <c r="V1225">
        <v>11</v>
      </c>
      <c r="W1225" t="s">
        <v>45</v>
      </c>
      <c r="X1225">
        <v>25</v>
      </c>
      <c r="Y1225">
        <v>1</v>
      </c>
      <c r="Z1225" t="s">
        <v>46</v>
      </c>
      <c r="AA1225">
        <v>23</v>
      </c>
      <c r="AB1225" t="s">
        <v>74</v>
      </c>
      <c r="AC1225">
        <v>5</v>
      </c>
      <c r="AD1225" t="s">
        <v>47</v>
      </c>
      <c r="AE1225">
        <v>14</v>
      </c>
      <c r="AF1225" t="s">
        <v>71</v>
      </c>
    </row>
    <row r="1226" spans="1:32" x14ac:dyDescent="0.25">
      <c r="A1226">
        <v>26</v>
      </c>
      <c r="B1226" t="s">
        <v>63</v>
      </c>
      <c r="C1226" t="s">
        <v>50</v>
      </c>
      <c r="D1226" t="s">
        <v>34</v>
      </c>
      <c r="E1226" t="s">
        <v>52</v>
      </c>
      <c r="F1226">
        <v>17</v>
      </c>
      <c r="G1226" t="s">
        <v>66</v>
      </c>
      <c r="H1226">
        <v>4</v>
      </c>
      <c r="I1226" t="s">
        <v>42</v>
      </c>
      <c r="J1226" t="s">
        <v>54</v>
      </c>
      <c r="K1226">
        <v>1</v>
      </c>
      <c r="L1226" t="s">
        <v>55</v>
      </c>
      <c r="M1226">
        <v>1</v>
      </c>
      <c r="N1226" t="s">
        <v>40</v>
      </c>
      <c r="O1226" t="s">
        <v>62</v>
      </c>
      <c r="P1226">
        <v>3</v>
      </c>
      <c r="Q1226" t="s">
        <v>42</v>
      </c>
      <c r="R1226" t="s">
        <v>58</v>
      </c>
      <c r="S1226">
        <v>1</v>
      </c>
      <c r="T1226" t="s">
        <v>44</v>
      </c>
      <c r="U1226" t="s">
        <v>59</v>
      </c>
      <c r="V1226">
        <v>15</v>
      </c>
      <c r="W1226" t="s">
        <v>45</v>
      </c>
      <c r="X1226">
        <v>3</v>
      </c>
      <c r="Y1226">
        <v>4</v>
      </c>
      <c r="Z1226" t="s">
        <v>61</v>
      </c>
      <c r="AA1226">
        <v>3</v>
      </c>
      <c r="AB1226" t="s">
        <v>48</v>
      </c>
      <c r="AC1226">
        <v>2</v>
      </c>
      <c r="AD1226" t="s">
        <v>48</v>
      </c>
      <c r="AE1226">
        <v>0</v>
      </c>
      <c r="AF1226" t="s">
        <v>49</v>
      </c>
    </row>
    <row r="1227" spans="1:32" x14ac:dyDescent="0.25">
      <c r="A1227">
        <v>45</v>
      </c>
      <c r="B1227" t="s">
        <v>32</v>
      </c>
      <c r="C1227" t="s">
        <v>50</v>
      </c>
      <c r="D1227" t="s">
        <v>34</v>
      </c>
      <c r="E1227" t="s">
        <v>52</v>
      </c>
      <c r="F1227">
        <v>28</v>
      </c>
      <c r="G1227" t="s">
        <v>66</v>
      </c>
      <c r="H1227">
        <v>4</v>
      </c>
      <c r="I1227" t="s">
        <v>42</v>
      </c>
      <c r="J1227" t="s">
        <v>38</v>
      </c>
      <c r="K1227">
        <v>2</v>
      </c>
      <c r="L1227" t="s">
        <v>55</v>
      </c>
      <c r="M1227">
        <v>4</v>
      </c>
      <c r="N1227" t="s">
        <v>72</v>
      </c>
      <c r="O1227" t="s">
        <v>76</v>
      </c>
      <c r="P1227">
        <v>2</v>
      </c>
      <c r="Q1227" t="s">
        <v>57</v>
      </c>
      <c r="R1227" t="s">
        <v>43</v>
      </c>
      <c r="S1227">
        <v>1</v>
      </c>
      <c r="T1227" t="s">
        <v>44</v>
      </c>
      <c r="U1227" t="s">
        <v>59</v>
      </c>
      <c r="V1227">
        <v>11</v>
      </c>
      <c r="W1227" t="s">
        <v>45</v>
      </c>
      <c r="X1227">
        <v>21</v>
      </c>
      <c r="Y1227">
        <v>3</v>
      </c>
      <c r="Z1227" t="s">
        <v>61</v>
      </c>
      <c r="AA1227">
        <v>21</v>
      </c>
      <c r="AB1227" t="s">
        <v>74</v>
      </c>
      <c r="AC1227">
        <v>6</v>
      </c>
      <c r="AD1227" t="s">
        <v>47</v>
      </c>
      <c r="AE1227">
        <v>8</v>
      </c>
      <c r="AF1227" t="s">
        <v>71</v>
      </c>
    </row>
    <row r="1228" spans="1:32" x14ac:dyDescent="0.25">
      <c r="A1228">
        <v>32</v>
      </c>
      <c r="B1228" t="s">
        <v>32</v>
      </c>
      <c r="C1228" t="s">
        <v>50</v>
      </c>
      <c r="D1228" t="s">
        <v>51</v>
      </c>
      <c r="E1228" t="s">
        <v>52</v>
      </c>
      <c r="F1228">
        <v>10</v>
      </c>
      <c r="G1228" t="s">
        <v>53</v>
      </c>
      <c r="H1228">
        <v>1</v>
      </c>
      <c r="I1228" t="s">
        <v>37</v>
      </c>
      <c r="J1228" t="s">
        <v>54</v>
      </c>
      <c r="K1228">
        <v>3</v>
      </c>
      <c r="L1228" t="s">
        <v>39</v>
      </c>
      <c r="M1228">
        <v>1</v>
      </c>
      <c r="N1228" t="s">
        <v>40</v>
      </c>
      <c r="O1228" t="s">
        <v>56</v>
      </c>
      <c r="P1228">
        <v>3</v>
      </c>
      <c r="Q1228" t="s">
        <v>42</v>
      </c>
      <c r="R1228" t="s">
        <v>58</v>
      </c>
      <c r="S1228">
        <v>6</v>
      </c>
      <c r="T1228" t="s">
        <v>44</v>
      </c>
      <c r="U1228" t="s">
        <v>59</v>
      </c>
      <c r="V1228">
        <v>13</v>
      </c>
      <c r="W1228" t="s">
        <v>45</v>
      </c>
      <c r="X1228">
        <v>10</v>
      </c>
      <c r="Y1228">
        <v>2</v>
      </c>
      <c r="Z1228" t="s">
        <v>46</v>
      </c>
      <c r="AA1228">
        <v>5</v>
      </c>
      <c r="AB1228" t="s">
        <v>47</v>
      </c>
      <c r="AC1228">
        <v>2</v>
      </c>
      <c r="AD1228" t="s">
        <v>48</v>
      </c>
      <c r="AE1228">
        <v>1</v>
      </c>
      <c r="AF1228" t="s">
        <v>49</v>
      </c>
    </row>
    <row r="1229" spans="1:32" x14ac:dyDescent="0.25">
      <c r="A1229">
        <v>31</v>
      </c>
      <c r="B1229" t="s">
        <v>32</v>
      </c>
      <c r="C1229" t="s">
        <v>50</v>
      </c>
      <c r="D1229" t="s">
        <v>34</v>
      </c>
      <c r="E1229" t="s">
        <v>52</v>
      </c>
      <c r="F1229">
        <v>2</v>
      </c>
      <c r="G1229" t="s">
        <v>36</v>
      </c>
      <c r="H1229">
        <v>2</v>
      </c>
      <c r="I1229" t="s">
        <v>37</v>
      </c>
      <c r="J1229" t="s">
        <v>54</v>
      </c>
      <c r="K1229">
        <v>3</v>
      </c>
      <c r="L1229" t="s">
        <v>39</v>
      </c>
      <c r="M1229">
        <v>1</v>
      </c>
      <c r="N1229" t="s">
        <v>40</v>
      </c>
      <c r="O1229" t="s">
        <v>62</v>
      </c>
      <c r="P1229">
        <v>3</v>
      </c>
      <c r="Q1229" t="s">
        <v>42</v>
      </c>
      <c r="R1229" t="s">
        <v>58</v>
      </c>
      <c r="S1229">
        <v>1</v>
      </c>
      <c r="T1229" t="s">
        <v>44</v>
      </c>
      <c r="U1229" t="s">
        <v>59</v>
      </c>
      <c r="V1229">
        <v>14</v>
      </c>
      <c r="W1229" t="s">
        <v>45</v>
      </c>
      <c r="X1229">
        <v>6</v>
      </c>
      <c r="Y1229">
        <v>4</v>
      </c>
      <c r="Z1229" t="s">
        <v>61</v>
      </c>
      <c r="AA1229">
        <v>5</v>
      </c>
      <c r="AB1229" t="s">
        <v>47</v>
      </c>
      <c r="AC1229">
        <v>2</v>
      </c>
      <c r="AD1229" t="s">
        <v>48</v>
      </c>
      <c r="AE1229">
        <v>0</v>
      </c>
      <c r="AF1229" t="s">
        <v>49</v>
      </c>
    </row>
    <row r="1230" spans="1:32" x14ac:dyDescent="0.25">
      <c r="A1230">
        <v>41</v>
      </c>
      <c r="B1230" t="s">
        <v>32</v>
      </c>
      <c r="C1230" t="s">
        <v>50</v>
      </c>
      <c r="D1230" t="s">
        <v>34</v>
      </c>
      <c r="E1230" t="s">
        <v>77</v>
      </c>
      <c r="F1230">
        <v>4</v>
      </c>
      <c r="G1230" t="s">
        <v>36</v>
      </c>
      <c r="H1230">
        <v>3</v>
      </c>
      <c r="I1230" t="s">
        <v>42</v>
      </c>
      <c r="J1230" t="s">
        <v>54</v>
      </c>
      <c r="K1230">
        <v>1</v>
      </c>
      <c r="L1230" t="s">
        <v>55</v>
      </c>
      <c r="M1230">
        <v>2</v>
      </c>
      <c r="N1230" t="s">
        <v>40</v>
      </c>
      <c r="O1230" t="s">
        <v>77</v>
      </c>
      <c r="P1230">
        <v>2</v>
      </c>
      <c r="Q1230" t="s">
        <v>57</v>
      </c>
      <c r="R1230" t="s">
        <v>58</v>
      </c>
      <c r="S1230">
        <v>6</v>
      </c>
      <c r="T1230" t="s">
        <v>44</v>
      </c>
      <c r="U1230" t="s">
        <v>59</v>
      </c>
      <c r="V1230">
        <v>19</v>
      </c>
      <c r="W1230" t="s">
        <v>45</v>
      </c>
      <c r="X1230">
        <v>10</v>
      </c>
      <c r="Y1230">
        <v>3</v>
      </c>
      <c r="Z1230" t="s">
        <v>61</v>
      </c>
      <c r="AA1230">
        <v>3</v>
      </c>
      <c r="AB1230" t="s">
        <v>48</v>
      </c>
      <c r="AC1230">
        <v>2</v>
      </c>
      <c r="AD1230" t="s">
        <v>48</v>
      </c>
      <c r="AE1230">
        <v>1</v>
      </c>
      <c r="AF1230" t="s">
        <v>49</v>
      </c>
    </row>
    <row r="1231" spans="1:32" x14ac:dyDescent="0.25">
      <c r="A1231">
        <v>40</v>
      </c>
      <c r="B1231" t="s">
        <v>32</v>
      </c>
      <c r="C1231" t="s">
        <v>50</v>
      </c>
      <c r="D1231" t="s">
        <v>34</v>
      </c>
      <c r="E1231" t="s">
        <v>52</v>
      </c>
      <c r="F1231">
        <v>8</v>
      </c>
      <c r="G1231" t="s">
        <v>53</v>
      </c>
      <c r="H1231">
        <v>2</v>
      </c>
      <c r="I1231" t="s">
        <v>37</v>
      </c>
      <c r="J1231" t="s">
        <v>38</v>
      </c>
      <c r="K1231">
        <v>3</v>
      </c>
      <c r="L1231" t="s">
        <v>39</v>
      </c>
      <c r="M1231">
        <v>2</v>
      </c>
      <c r="N1231" t="s">
        <v>40</v>
      </c>
      <c r="O1231" t="s">
        <v>69</v>
      </c>
      <c r="P1231">
        <v>1</v>
      </c>
      <c r="Q1231" t="s">
        <v>57</v>
      </c>
      <c r="R1231" t="s">
        <v>58</v>
      </c>
      <c r="S1231">
        <v>2</v>
      </c>
      <c r="T1231" t="s">
        <v>44</v>
      </c>
      <c r="U1231" t="s">
        <v>44</v>
      </c>
      <c r="V1231">
        <v>16</v>
      </c>
      <c r="W1231" t="s">
        <v>45</v>
      </c>
      <c r="X1231">
        <v>18</v>
      </c>
      <c r="Y1231">
        <v>3</v>
      </c>
      <c r="Z1231" t="s">
        <v>61</v>
      </c>
      <c r="AA1231">
        <v>1</v>
      </c>
      <c r="AB1231" t="s">
        <v>48</v>
      </c>
      <c r="AC1231">
        <v>0</v>
      </c>
      <c r="AD1231" t="s">
        <v>48</v>
      </c>
      <c r="AE1231">
        <v>0</v>
      </c>
      <c r="AF1231" t="s">
        <v>49</v>
      </c>
    </row>
    <row r="1232" spans="1:32" x14ac:dyDescent="0.25">
      <c r="A1232">
        <v>24</v>
      </c>
      <c r="B1232" t="s">
        <v>63</v>
      </c>
      <c r="C1232" t="s">
        <v>50</v>
      </c>
      <c r="D1232" t="s">
        <v>34</v>
      </c>
      <c r="E1232" t="s">
        <v>52</v>
      </c>
      <c r="F1232">
        <v>29</v>
      </c>
      <c r="G1232" t="s">
        <v>66</v>
      </c>
      <c r="H1232">
        <v>2</v>
      </c>
      <c r="I1232" t="s">
        <v>37</v>
      </c>
      <c r="J1232" t="s">
        <v>54</v>
      </c>
      <c r="K1232">
        <v>3</v>
      </c>
      <c r="L1232" t="s">
        <v>39</v>
      </c>
      <c r="M1232">
        <v>1</v>
      </c>
      <c r="N1232" t="s">
        <v>40</v>
      </c>
      <c r="O1232" t="s">
        <v>62</v>
      </c>
      <c r="P1232">
        <v>1</v>
      </c>
      <c r="Q1232" t="s">
        <v>57</v>
      </c>
      <c r="R1232" t="s">
        <v>67</v>
      </c>
      <c r="S1232">
        <v>1</v>
      </c>
      <c r="T1232" t="s">
        <v>44</v>
      </c>
      <c r="U1232" t="s">
        <v>59</v>
      </c>
      <c r="V1232">
        <v>13</v>
      </c>
      <c r="W1232" t="s">
        <v>45</v>
      </c>
      <c r="X1232">
        <v>6</v>
      </c>
      <c r="Y1232">
        <v>4</v>
      </c>
      <c r="Z1232" t="s">
        <v>61</v>
      </c>
      <c r="AA1232">
        <v>6</v>
      </c>
      <c r="AB1232" t="s">
        <v>47</v>
      </c>
      <c r="AC1232">
        <v>2</v>
      </c>
      <c r="AD1232" t="s">
        <v>48</v>
      </c>
      <c r="AE1232">
        <v>1</v>
      </c>
      <c r="AF1232" t="s">
        <v>49</v>
      </c>
    </row>
    <row r="1233" spans="1:32" x14ac:dyDescent="0.25">
      <c r="A1233">
        <v>46</v>
      </c>
      <c r="B1233" t="s">
        <v>32</v>
      </c>
      <c r="C1233" t="s">
        <v>50</v>
      </c>
      <c r="D1233" t="s">
        <v>34</v>
      </c>
      <c r="E1233" t="s">
        <v>52</v>
      </c>
      <c r="F1233">
        <v>13</v>
      </c>
      <c r="G1233" t="s">
        <v>53</v>
      </c>
      <c r="H1233">
        <v>3</v>
      </c>
      <c r="I1233" t="s">
        <v>42</v>
      </c>
      <c r="J1233" t="s">
        <v>54</v>
      </c>
      <c r="K1233">
        <v>3</v>
      </c>
      <c r="L1233" t="s">
        <v>39</v>
      </c>
      <c r="M1233">
        <v>2</v>
      </c>
      <c r="N1233" t="s">
        <v>40</v>
      </c>
      <c r="O1233" t="s">
        <v>70</v>
      </c>
      <c r="P1233">
        <v>2</v>
      </c>
      <c r="Q1233" t="s">
        <v>57</v>
      </c>
      <c r="R1233" t="s">
        <v>43</v>
      </c>
      <c r="S1233">
        <v>6</v>
      </c>
      <c r="T1233" t="s">
        <v>44</v>
      </c>
      <c r="U1233" t="s">
        <v>59</v>
      </c>
      <c r="V1233">
        <v>14</v>
      </c>
      <c r="W1233" t="s">
        <v>45</v>
      </c>
      <c r="X1233">
        <v>19</v>
      </c>
      <c r="Y1233">
        <v>3</v>
      </c>
      <c r="Z1233" t="s">
        <v>61</v>
      </c>
      <c r="AA1233">
        <v>10</v>
      </c>
      <c r="AB1233" t="s">
        <v>47</v>
      </c>
      <c r="AC1233">
        <v>7</v>
      </c>
      <c r="AD1233" t="s">
        <v>47</v>
      </c>
      <c r="AE1233">
        <v>0</v>
      </c>
      <c r="AF1233" t="s">
        <v>49</v>
      </c>
    </row>
    <row r="1234" spans="1:32" x14ac:dyDescent="0.25">
      <c r="A1234">
        <v>35</v>
      </c>
      <c r="B1234" t="s">
        <v>32</v>
      </c>
      <c r="C1234" t="s">
        <v>50</v>
      </c>
      <c r="D1234" t="s">
        <v>34</v>
      </c>
      <c r="E1234" t="s">
        <v>52</v>
      </c>
      <c r="F1234">
        <v>27</v>
      </c>
      <c r="G1234" t="s">
        <v>66</v>
      </c>
      <c r="H1234">
        <v>4</v>
      </c>
      <c r="I1234" t="s">
        <v>42</v>
      </c>
      <c r="J1234" t="s">
        <v>54</v>
      </c>
      <c r="K1234">
        <v>3</v>
      </c>
      <c r="L1234" t="s">
        <v>39</v>
      </c>
      <c r="M1234">
        <v>2</v>
      </c>
      <c r="N1234" t="s">
        <v>40</v>
      </c>
      <c r="O1234" t="s">
        <v>69</v>
      </c>
      <c r="P1234">
        <v>3</v>
      </c>
      <c r="Q1234" t="s">
        <v>42</v>
      </c>
      <c r="R1234" t="s">
        <v>58</v>
      </c>
      <c r="S1234">
        <v>2</v>
      </c>
      <c r="T1234" t="s">
        <v>44</v>
      </c>
      <c r="U1234" t="s">
        <v>59</v>
      </c>
      <c r="V1234">
        <v>16</v>
      </c>
      <c r="W1234" t="s">
        <v>45</v>
      </c>
      <c r="X1234">
        <v>17</v>
      </c>
      <c r="Y1234">
        <v>3</v>
      </c>
      <c r="Z1234" t="s">
        <v>61</v>
      </c>
      <c r="AA1234">
        <v>7</v>
      </c>
      <c r="AB1234" t="s">
        <v>47</v>
      </c>
      <c r="AC1234">
        <v>7</v>
      </c>
      <c r="AD1234" t="s">
        <v>47</v>
      </c>
      <c r="AE1234">
        <v>0</v>
      </c>
      <c r="AF1234" t="s">
        <v>49</v>
      </c>
    </row>
    <row r="1235" spans="1:32" x14ac:dyDescent="0.25">
      <c r="A1235">
        <v>30</v>
      </c>
      <c r="B1235" t="s">
        <v>32</v>
      </c>
      <c r="C1235" t="s">
        <v>50</v>
      </c>
      <c r="D1235" t="s">
        <v>34</v>
      </c>
      <c r="E1235" t="s">
        <v>52</v>
      </c>
      <c r="F1235">
        <v>16</v>
      </c>
      <c r="G1235" t="s">
        <v>66</v>
      </c>
      <c r="H1235">
        <v>2</v>
      </c>
      <c r="I1235" t="s">
        <v>37</v>
      </c>
      <c r="J1235" t="s">
        <v>54</v>
      </c>
      <c r="K1235">
        <v>3</v>
      </c>
      <c r="L1235" t="s">
        <v>39</v>
      </c>
      <c r="M1235">
        <v>1</v>
      </c>
      <c r="N1235" t="s">
        <v>40</v>
      </c>
      <c r="O1235" t="s">
        <v>56</v>
      </c>
      <c r="P1235">
        <v>4</v>
      </c>
      <c r="Q1235" t="s">
        <v>42</v>
      </c>
      <c r="R1235" t="s">
        <v>58</v>
      </c>
      <c r="S1235">
        <v>1</v>
      </c>
      <c r="T1235" t="s">
        <v>44</v>
      </c>
      <c r="U1235" t="s">
        <v>59</v>
      </c>
      <c r="V1235">
        <v>12</v>
      </c>
      <c r="W1235" t="s">
        <v>45</v>
      </c>
      <c r="X1235">
        <v>10</v>
      </c>
      <c r="Y1235">
        <v>2</v>
      </c>
      <c r="Z1235" t="s">
        <v>46</v>
      </c>
      <c r="AA1235">
        <v>10</v>
      </c>
      <c r="AB1235" t="s">
        <v>47</v>
      </c>
      <c r="AC1235">
        <v>0</v>
      </c>
      <c r="AD1235" t="s">
        <v>48</v>
      </c>
      <c r="AE1235">
        <v>0</v>
      </c>
      <c r="AF1235" t="s">
        <v>49</v>
      </c>
    </row>
    <row r="1236" spans="1:32" x14ac:dyDescent="0.25">
      <c r="A1236">
        <v>47</v>
      </c>
      <c r="B1236" t="s">
        <v>32</v>
      </c>
      <c r="C1236" t="s">
        <v>50</v>
      </c>
      <c r="D1236" t="s">
        <v>34</v>
      </c>
      <c r="E1236" t="s">
        <v>35</v>
      </c>
      <c r="F1236">
        <v>2</v>
      </c>
      <c r="G1236" t="s">
        <v>36</v>
      </c>
      <c r="H1236">
        <v>3</v>
      </c>
      <c r="I1236" t="s">
        <v>42</v>
      </c>
      <c r="J1236" t="s">
        <v>54</v>
      </c>
      <c r="K1236">
        <v>3</v>
      </c>
      <c r="L1236" t="s">
        <v>39</v>
      </c>
      <c r="M1236">
        <v>2</v>
      </c>
      <c r="N1236" t="s">
        <v>40</v>
      </c>
      <c r="O1236" t="s">
        <v>41</v>
      </c>
      <c r="P1236">
        <v>2</v>
      </c>
      <c r="Q1236" t="s">
        <v>57</v>
      </c>
      <c r="R1236" t="s">
        <v>58</v>
      </c>
      <c r="S1236">
        <v>7</v>
      </c>
      <c r="T1236" t="s">
        <v>44</v>
      </c>
      <c r="U1236" t="s">
        <v>59</v>
      </c>
      <c r="V1236">
        <v>11</v>
      </c>
      <c r="W1236" t="s">
        <v>45</v>
      </c>
      <c r="X1236">
        <v>4</v>
      </c>
      <c r="Y1236">
        <v>1</v>
      </c>
      <c r="Z1236" t="s">
        <v>46</v>
      </c>
      <c r="AA1236">
        <v>1</v>
      </c>
      <c r="AB1236" t="s">
        <v>48</v>
      </c>
      <c r="AC1236">
        <v>0</v>
      </c>
      <c r="AD1236" t="s">
        <v>48</v>
      </c>
      <c r="AE1236">
        <v>0</v>
      </c>
      <c r="AF1236" t="s">
        <v>49</v>
      </c>
    </row>
    <row r="1237" spans="1:32" x14ac:dyDescent="0.25">
      <c r="A1237">
        <v>46</v>
      </c>
      <c r="B1237" t="s">
        <v>32</v>
      </c>
      <c r="C1237" t="s">
        <v>50</v>
      </c>
      <c r="D1237" t="s">
        <v>34</v>
      </c>
      <c r="E1237" t="s">
        <v>35</v>
      </c>
      <c r="F1237">
        <v>2</v>
      </c>
      <c r="G1237" t="s">
        <v>36</v>
      </c>
      <c r="H1237">
        <v>3</v>
      </c>
      <c r="I1237" t="s">
        <v>42</v>
      </c>
      <c r="J1237" t="s">
        <v>54</v>
      </c>
      <c r="K1237">
        <v>3</v>
      </c>
      <c r="L1237" t="s">
        <v>39</v>
      </c>
      <c r="M1237">
        <v>3</v>
      </c>
      <c r="N1237" t="s">
        <v>68</v>
      </c>
      <c r="O1237" t="s">
        <v>41</v>
      </c>
      <c r="P1237">
        <v>4</v>
      </c>
      <c r="Q1237" t="s">
        <v>42</v>
      </c>
      <c r="R1237" t="s">
        <v>67</v>
      </c>
      <c r="S1237">
        <v>4</v>
      </c>
      <c r="T1237" t="s">
        <v>44</v>
      </c>
      <c r="U1237" t="s">
        <v>44</v>
      </c>
      <c r="V1237">
        <v>12</v>
      </c>
      <c r="W1237" t="s">
        <v>45</v>
      </c>
      <c r="X1237">
        <v>13</v>
      </c>
      <c r="Y1237">
        <v>2</v>
      </c>
      <c r="Z1237" t="s">
        <v>46</v>
      </c>
      <c r="AA1237">
        <v>10</v>
      </c>
      <c r="AB1237" t="s">
        <v>47</v>
      </c>
      <c r="AC1237">
        <v>6</v>
      </c>
      <c r="AD1237" t="s">
        <v>47</v>
      </c>
      <c r="AE1237">
        <v>0</v>
      </c>
      <c r="AF1237" t="s">
        <v>49</v>
      </c>
    </row>
    <row r="1238" spans="1:32" x14ac:dyDescent="0.25">
      <c r="A1238">
        <v>36</v>
      </c>
      <c r="B1238" t="s">
        <v>32</v>
      </c>
      <c r="C1238" t="s">
        <v>33</v>
      </c>
      <c r="D1238" t="s">
        <v>34</v>
      </c>
      <c r="E1238" t="s">
        <v>35</v>
      </c>
      <c r="F1238">
        <v>13</v>
      </c>
      <c r="G1238" t="s">
        <v>53</v>
      </c>
      <c r="H1238">
        <v>2</v>
      </c>
      <c r="I1238" t="s">
        <v>37</v>
      </c>
      <c r="J1238" t="s">
        <v>54</v>
      </c>
      <c r="K1238">
        <v>2</v>
      </c>
      <c r="L1238" t="s">
        <v>55</v>
      </c>
      <c r="M1238">
        <v>2</v>
      </c>
      <c r="N1238" t="s">
        <v>40</v>
      </c>
      <c r="O1238" t="s">
        <v>41</v>
      </c>
      <c r="P1238">
        <v>1</v>
      </c>
      <c r="Q1238" t="s">
        <v>57</v>
      </c>
      <c r="R1238" t="s">
        <v>67</v>
      </c>
      <c r="S1238">
        <v>5</v>
      </c>
      <c r="T1238" t="s">
        <v>44</v>
      </c>
      <c r="U1238" t="s">
        <v>44</v>
      </c>
      <c r="V1238">
        <v>13</v>
      </c>
      <c r="W1238" t="s">
        <v>45</v>
      </c>
      <c r="X1238">
        <v>16</v>
      </c>
      <c r="Y1238">
        <v>3</v>
      </c>
      <c r="Z1238" t="s">
        <v>61</v>
      </c>
      <c r="AA1238">
        <v>2</v>
      </c>
      <c r="AB1238" t="s">
        <v>48</v>
      </c>
      <c r="AC1238">
        <v>2</v>
      </c>
      <c r="AD1238" t="s">
        <v>48</v>
      </c>
      <c r="AE1238">
        <v>2</v>
      </c>
      <c r="AF1238" t="s">
        <v>49</v>
      </c>
    </row>
    <row r="1239" spans="1:32" x14ac:dyDescent="0.25">
      <c r="A1239">
        <v>32</v>
      </c>
      <c r="B1239" t="s">
        <v>32</v>
      </c>
      <c r="C1239" t="s">
        <v>33</v>
      </c>
      <c r="D1239" t="s">
        <v>34</v>
      </c>
      <c r="E1239" t="s">
        <v>35</v>
      </c>
      <c r="F1239">
        <v>1</v>
      </c>
      <c r="G1239" t="s">
        <v>36</v>
      </c>
      <c r="H1239">
        <v>1</v>
      </c>
      <c r="I1239" t="s">
        <v>37</v>
      </c>
      <c r="J1239" t="s">
        <v>54</v>
      </c>
      <c r="K1239">
        <v>1</v>
      </c>
      <c r="L1239" t="s">
        <v>55</v>
      </c>
      <c r="M1239">
        <v>2</v>
      </c>
      <c r="N1239" t="s">
        <v>40</v>
      </c>
      <c r="O1239" t="s">
        <v>41</v>
      </c>
      <c r="P1239">
        <v>2</v>
      </c>
      <c r="Q1239" t="s">
        <v>57</v>
      </c>
      <c r="R1239" t="s">
        <v>43</v>
      </c>
      <c r="S1239">
        <v>6</v>
      </c>
      <c r="T1239" t="s">
        <v>44</v>
      </c>
      <c r="U1239" t="s">
        <v>59</v>
      </c>
      <c r="V1239">
        <v>15</v>
      </c>
      <c r="W1239" t="s">
        <v>45</v>
      </c>
      <c r="X1239">
        <v>10</v>
      </c>
      <c r="Y1239">
        <v>3</v>
      </c>
      <c r="Z1239" t="s">
        <v>61</v>
      </c>
      <c r="AA1239">
        <v>0</v>
      </c>
      <c r="AB1239" t="s">
        <v>48</v>
      </c>
      <c r="AC1239">
        <v>0</v>
      </c>
      <c r="AD1239" t="s">
        <v>48</v>
      </c>
      <c r="AE1239">
        <v>0</v>
      </c>
      <c r="AF1239" t="s">
        <v>49</v>
      </c>
    </row>
    <row r="1240" spans="1:32" x14ac:dyDescent="0.25">
      <c r="A1240">
        <v>23</v>
      </c>
      <c r="B1240" t="s">
        <v>63</v>
      </c>
      <c r="C1240" t="s">
        <v>50</v>
      </c>
      <c r="D1240" t="s">
        <v>34</v>
      </c>
      <c r="E1240" t="s">
        <v>52</v>
      </c>
      <c r="F1240">
        <v>4</v>
      </c>
      <c r="G1240" t="s">
        <v>36</v>
      </c>
      <c r="H1240">
        <v>3</v>
      </c>
      <c r="I1240" t="s">
        <v>42</v>
      </c>
      <c r="J1240" t="s">
        <v>38</v>
      </c>
      <c r="K1240">
        <v>3</v>
      </c>
      <c r="L1240" t="s">
        <v>39</v>
      </c>
      <c r="M1240">
        <v>1</v>
      </c>
      <c r="N1240" t="s">
        <v>40</v>
      </c>
      <c r="O1240" t="s">
        <v>62</v>
      </c>
      <c r="P1240">
        <v>2</v>
      </c>
      <c r="Q1240" t="s">
        <v>57</v>
      </c>
      <c r="R1240" t="s">
        <v>43</v>
      </c>
      <c r="S1240">
        <v>1</v>
      </c>
      <c r="T1240" t="s">
        <v>44</v>
      </c>
      <c r="U1240" t="s">
        <v>59</v>
      </c>
      <c r="V1240">
        <v>13</v>
      </c>
      <c r="W1240" t="s">
        <v>45</v>
      </c>
      <c r="X1240">
        <v>3</v>
      </c>
      <c r="Y1240">
        <v>1</v>
      </c>
      <c r="Z1240" t="s">
        <v>46</v>
      </c>
      <c r="AA1240">
        <v>3</v>
      </c>
      <c r="AB1240" t="s">
        <v>48</v>
      </c>
      <c r="AC1240">
        <v>2</v>
      </c>
      <c r="AD1240" t="s">
        <v>48</v>
      </c>
      <c r="AE1240">
        <v>1</v>
      </c>
      <c r="AF1240" t="s">
        <v>49</v>
      </c>
    </row>
    <row r="1241" spans="1:32" x14ac:dyDescent="0.25">
      <c r="A1241">
        <v>31</v>
      </c>
      <c r="B1241" t="s">
        <v>32</v>
      </c>
      <c r="C1241" t="s">
        <v>50</v>
      </c>
      <c r="D1241" t="s">
        <v>51</v>
      </c>
      <c r="E1241" t="s">
        <v>52</v>
      </c>
      <c r="F1241">
        <v>24</v>
      </c>
      <c r="G1241" t="s">
        <v>66</v>
      </c>
      <c r="H1241">
        <v>4</v>
      </c>
      <c r="I1241" t="s">
        <v>42</v>
      </c>
      <c r="J1241" t="s">
        <v>38</v>
      </c>
      <c r="K1241">
        <v>3</v>
      </c>
      <c r="L1241" t="s">
        <v>39</v>
      </c>
      <c r="M1241">
        <v>2</v>
      </c>
      <c r="N1241" t="s">
        <v>40</v>
      </c>
      <c r="O1241" t="s">
        <v>69</v>
      </c>
      <c r="P1241">
        <v>4</v>
      </c>
      <c r="Q1241" t="s">
        <v>42</v>
      </c>
      <c r="R1241" t="s">
        <v>43</v>
      </c>
      <c r="S1241">
        <v>2</v>
      </c>
      <c r="T1241" t="s">
        <v>44</v>
      </c>
      <c r="U1241" t="s">
        <v>59</v>
      </c>
      <c r="V1241">
        <v>20</v>
      </c>
      <c r="W1241" t="s">
        <v>60</v>
      </c>
      <c r="X1241">
        <v>9</v>
      </c>
      <c r="Y1241">
        <v>2</v>
      </c>
      <c r="Z1241" t="s">
        <v>46</v>
      </c>
      <c r="AA1241">
        <v>5</v>
      </c>
      <c r="AB1241" t="s">
        <v>47</v>
      </c>
      <c r="AC1241">
        <v>4</v>
      </c>
      <c r="AD1241" t="s">
        <v>48</v>
      </c>
      <c r="AE1241">
        <v>1</v>
      </c>
      <c r="AF1241" t="s">
        <v>49</v>
      </c>
    </row>
    <row r="1242" spans="1:32" x14ac:dyDescent="0.25">
      <c r="A1242">
        <v>39</v>
      </c>
      <c r="B1242" t="s">
        <v>32</v>
      </c>
      <c r="C1242" t="s">
        <v>50</v>
      </c>
      <c r="D1242" t="s">
        <v>34</v>
      </c>
      <c r="E1242" t="s">
        <v>52</v>
      </c>
      <c r="F1242">
        <v>1</v>
      </c>
      <c r="G1242" t="s">
        <v>36</v>
      </c>
      <c r="H1242">
        <v>4</v>
      </c>
      <c r="I1242" t="s">
        <v>42</v>
      </c>
      <c r="J1242" t="s">
        <v>54</v>
      </c>
      <c r="K1242">
        <v>3</v>
      </c>
      <c r="L1242" t="s">
        <v>39</v>
      </c>
      <c r="M1242">
        <v>2</v>
      </c>
      <c r="N1242" t="s">
        <v>40</v>
      </c>
      <c r="O1242" t="s">
        <v>62</v>
      </c>
      <c r="P1242">
        <v>4</v>
      </c>
      <c r="Q1242" t="s">
        <v>42</v>
      </c>
      <c r="R1242" t="s">
        <v>58</v>
      </c>
      <c r="S1242">
        <v>1</v>
      </c>
      <c r="T1242" t="s">
        <v>44</v>
      </c>
      <c r="U1242" t="s">
        <v>44</v>
      </c>
      <c r="V1242">
        <v>15</v>
      </c>
      <c r="W1242" t="s">
        <v>45</v>
      </c>
      <c r="X1242">
        <v>9</v>
      </c>
      <c r="Y1242">
        <v>3</v>
      </c>
      <c r="Z1242" t="s">
        <v>61</v>
      </c>
      <c r="AA1242">
        <v>9</v>
      </c>
      <c r="AB1242" t="s">
        <v>47</v>
      </c>
      <c r="AC1242">
        <v>8</v>
      </c>
      <c r="AD1242" t="s">
        <v>47</v>
      </c>
      <c r="AE1242">
        <v>5</v>
      </c>
      <c r="AF1242" t="s">
        <v>71</v>
      </c>
    </row>
    <row r="1243" spans="1:32" x14ac:dyDescent="0.25">
      <c r="A1243">
        <v>32</v>
      </c>
      <c r="B1243" t="s">
        <v>32</v>
      </c>
      <c r="C1243" t="s">
        <v>50</v>
      </c>
      <c r="D1243" t="s">
        <v>34</v>
      </c>
      <c r="E1243" t="s">
        <v>35</v>
      </c>
      <c r="F1243">
        <v>19</v>
      </c>
      <c r="G1243" t="s">
        <v>66</v>
      </c>
      <c r="H1243">
        <v>4</v>
      </c>
      <c r="I1243" t="s">
        <v>42</v>
      </c>
      <c r="J1243" t="s">
        <v>54</v>
      </c>
      <c r="K1243">
        <v>1</v>
      </c>
      <c r="L1243" t="s">
        <v>55</v>
      </c>
      <c r="M1243">
        <v>3</v>
      </c>
      <c r="N1243" t="s">
        <v>68</v>
      </c>
      <c r="O1243" t="s">
        <v>41</v>
      </c>
      <c r="P1243">
        <v>3</v>
      </c>
      <c r="Q1243" t="s">
        <v>42</v>
      </c>
      <c r="R1243" t="s">
        <v>58</v>
      </c>
      <c r="S1243">
        <v>3</v>
      </c>
      <c r="T1243" t="s">
        <v>44</v>
      </c>
      <c r="U1243" t="s">
        <v>59</v>
      </c>
      <c r="V1243">
        <v>13</v>
      </c>
      <c r="W1243" t="s">
        <v>45</v>
      </c>
      <c r="X1243">
        <v>10</v>
      </c>
      <c r="Y1243">
        <v>1</v>
      </c>
      <c r="Z1243" t="s">
        <v>46</v>
      </c>
      <c r="AA1243">
        <v>4</v>
      </c>
      <c r="AB1243" t="s">
        <v>48</v>
      </c>
      <c r="AC1243">
        <v>3</v>
      </c>
      <c r="AD1243" t="s">
        <v>48</v>
      </c>
      <c r="AE1243">
        <v>0</v>
      </c>
      <c r="AF1243" t="s">
        <v>49</v>
      </c>
    </row>
    <row r="1244" spans="1:32" x14ac:dyDescent="0.25">
      <c r="A1244">
        <v>40</v>
      </c>
      <c r="B1244" t="s">
        <v>32</v>
      </c>
      <c r="C1244" t="s">
        <v>50</v>
      </c>
      <c r="D1244" t="s">
        <v>34</v>
      </c>
      <c r="E1244" t="s">
        <v>35</v>
      </c>
      <c r="F1244">
        <v>7</v>
      </c>
      <c r="G1244" t="s">
        <v>53</v>
      </c>
      <c r="H1244">
        <v>2</v>
      </c>
      <c r="I1244" t="s">
        <v>37</v>
      </c>
      <c r="J1244" t="s">
        <v>54</v>
      </c>
      <c r="K1244">
        <v>3</v>
      </c>
      <c r="L1244" t="s">
        <v>39</v>
      </c>
      <c r="M1244">
        <v>5</v>
      </c>
      <c r="N1244" t="s">
        <v>72</v>
      </c>
      <c r="O1244" t="s">
        <v>73</v>
      </c>
      <c r="P1244">
        <v>2</v>
      </c>
      <c r="Q1244" t="s">
        <v>57</v>
      </c>
      <c r="R1244" t="s">
        <v>43</v>
      </c>
      <c r="S1244">
        <v>1</v>
      </c>
      <c r="T1244" t="s">
        <v>44</v>
      </c>
      <c r="U1244" t="s">
        <v>59</v>
      </c>
      <c r="V1244">
        <v>14</v>
      </c>
      <c r="W1244" t="s">
        <v>45</v>
      </c>
      <c r="X1244">
        <v>21</v>
      </c>
      <c r="Y1244">
        <v>2</v>
      </c>
      <c r="Z1244" t="s">
        <v>46</v>
      </c>
      <c r="AA1244">
        <v>21</v>
      </c>
      <c r="AB1244" t="s">
        <v>74</v>
      </c>
      <c r="AC1244">
        <v>8</v>
      </c>
      <c r="AD1244" t="s">
        <v>47</v>
      </c>
      <c r="AE1244">
        <v>12</v>
      </c>
      <c r="AF1244" t="s">
        <v>71</v>
      </c>
    </row>
    <row r="1245" spans="1:32" x14ac:dyDescent="0.25">
      <c r="A1245">
        <v>45</v>
      </c>
      <c r="B1245" t="s">
        <v>32</v>
      </c>
      <c r="C1245" t="s">
        <v>50</v>
      </c>
      <c r="D1245" t="s">
        <v>34</v>
      </c>
      <c r="E1245" t="s">
        <v>77</v>
      </c>
      <c r="F1245">
        <v>4</v>
      </c>
      <c r="G1245" t="s">
        <v>36</v>
      </c>
      <c r="H1245">
        <v>3</v>
      </c>
      <c r="I1245" t="s">
        <v>42</v>
      </c>
      <c r="J1245" t="s">
        <v>38</v>
      </c>
      <c r="K1245">
        <v>1</v>
      </c>
      <c r="L1245" t="s">
        <v>55</v>
      </c>
      <c r="M1245">
        <v>3</v>
      </c>
      <c r="N1245" t="s">
        <v>68</v>
      </c>
      <c r="O1245" t="s">
        <v>77</v>
      </c>
      <c r="P1245">
        <v>3</v>
      </c>
      <c r="Q1245" t="s">
        <v>42</v>
      </c>
      <c r="R1245" t="s">
        <v>58</v>
      </c>
      <c r="S1245">
        <v>4</v>
      </c>
      <c r="T1245" t="s">
        <v>44</v>
      </c>
      <c r="U1245" t="s">
        <v>59</v>
      </c>
      <c r="V1245">
        <v>21</v>
      </c>
      <c r="W1245" t="s">
        <v>60</v>
      </c>
      <c r="X1245">
        <v>9</v>
      </c>
      <c r="Y1245">
        <v>4</v>
      </c>
      <c r="Z1245" t="s">
        <v>61</v>
      </c>
      <c r="AA1245">
        <v>5</v>
      </c>
      <c r="AB1245" t="s">
        <v>47</v>
      </c>
      <c r="AC1245">
        <v>0</v>
      </c>
      <c r="AD1245" t="s">
        <v>48</v>
      </c>
      <c r="AE1245">
        <v>0</v>
      </c>
      <c r="AF1245" t="s">
        <v>49</v>
      </c>
    </row>
    <row r="1246" spans="1:32" x14ac:dyDescent="0.25">
      <c r="A1246">
        <v>30</v>
      </c>
      <c r="B1246" t="s">
        <v>32</v>
      </c>
      <c r="C1246" t="s">
        <v>50</v>
      </c>
      <c r="D1246" t="s">
        <v>51</v>
      </c>
      <c r="E1246" t="s">
        <v>52</v>
      </c>
      <c r="F1246">
        <v>2</v>
      </c>
      <c r="G1246" t="s">
        <v>36</v>
      </c>
      <c r="H1246">
        <v>4</v>
      </c>
      <c r="I1246" t="s">
        <v>42</v>
      </c>
      <c r="J1246" t="s">
        <v>38</v>
      </c>
      <c r="K1246">
        <v>2</v>
      </c>
      <c r="L1246" t="s">
        <v>55</v>
      </c>
      <c r="M1246">
        <v>1</v>
      </c>
      <c r="N1246" t="s">
        <v>40</v>
      </c>
      <c r="O1246" t="s">
        <v>56</v>
      </c>
      <c r="P1246">
        <v>1</v>
      </c>
      <c r="Q1246" t="s">
        <v>57</v>
      </c>
      <c r="R1246" t="s">
        <v>43</v>
      </c>
      <c r="S1246">
        <v>0</v>
      </c>
      <c r="T1246" t="s">
        <v>44</v>
      </c>
      <c r="U1246" t="s">
        <v>59</v>
      </c>
      <c r="V1246">
        <v>16</v>
      </c>
      <c r="W1246" t="s">
        <v>45</v>
      </c>
      <c r="X1246">
        <v>10</v>
      </c>
      <c r="Y1246">
        <v>3</v>
      </c>
      <c r="Z1246" t="s">
        <v>61</v>
      </c>
      <c r="AA1246">
        <v>9</v>
      </c>
      <c r="AB1246" t="s">
        <v>47</v>
      </c>
      <c r="AC1246">
        <v>7</v>
      </c>
      <c r="AD1246" t="s">
        <v>47</v>
      </c>
      <c r="AE1246">
        <v>0</v>
      </c>
      <c r="AF1246" t="s">
        <v>49</v>
      </c>
    </row>
    <row r="1247" spans="1:32" x14ac:dyDescent="0.25">
      <c r="A1247">
        <v>24</v>
      </c>
      <c r="B1247" t="s">
        <v>63</v>
      </c>
      <c r="C1247" t="s">
        <v>50</v>
      </c>
      <c r="D1247" t="s">
        <v>51</v>
      </c>
      <c r="E1247" t="s">
        <v>77</v>
      </c>
      <c r="F1247">
        <v>10</v>
      </c>
      <c r="G1247" t="s">
        <v>53</v>
      </c>
      <c r="H1247">
        <v>1</v>
      </c>
      <c r="I1247" t="s">
        <v>37</v>
      </c>
      <c r="J1247" t="s">
        <v>54</v>
      </c>
      <c r="K1247">
        <v>3</v>
      </c>
      <c r="L1247" t="s">
        <v>39</v>
      </c>
      <c r="M1247">
        <v>1</v>
      </c>
      <c r="N1247" t="s">
        <v>40</v>
      </c>
      <c r="O1247" t="s">
        <v>77</v>
      </c>
      <c r="P1247">
        <v>4</v>
      </c>
      <c r="Q1247" t="s">
        <v>42</v>
      </c>
      <c r="R1247" t="s">
        <v>58</v>
      </c>
      <c r="S1247">
        <v>0</v>
      </c>
      <c r="T1247" t="s">
        <v>44</v>
      </c>
      <c r="U1247" t="s">
        <v>59</v>
      </c>
      <c r="V1247">
        <v>14</v>
      </c>
      <c r="W1247" t="s">
        <v>45</v>
      </c>
      <c r="X1247">
        <v>3</v>
      </c>
      <c r="Y1247">
        <v>3</v>
      </c>
      <c r="Z1247" t="s">
        <v>61</v>
      </c>
      <c r="AA1247">
        <v>2</v>
      </c>
      <c r="AB1247" t="s">
        <v>48</v>
      </c>
      <c r="AC1247">
        <v>2</v>
      </c>
      <c r="AD1247" t="s">
        <v>48</v>
      </c>
      <c r="AE1247">
        <v>2</v>
      </c>
      <c r="AF1247" t="s">
        <v>49</v>
      </c>
    </row>
    <row r="1248" spans="1:32" x14ac:dyDescent="0.25">
      <c r="A1248">
        <v>30</v>
      </c>
      <c r="B1248" t="s">
        <v>32</v>
      </c>
      <c r="C1248" t="s">
        <v>33</v>
      </c>
      <c r="D1248" t="s">
        <v>51</v>
      </c>
      <c r="E1248" t="s">
        <v>77</v>
      </c>
      <c r="F1248">
        <v>8</v>
      </c>
      <c r="G1248" t="s">
        <v>53</v>
      </c>
      <c r="H1248">
        <v>3</v>
      </c>
      <c r="I1248" t="s">
        <v>42</v>
      </c>
      <c r="J1248" t="s">
        <v>38</v>
      </c>
      <c r="K1248">
        <v>2</v>
      </c>
      <c r="L1248" t="s">
        <v>55</v>
      </c>
      <c r="M1248">
        <v>1</v>
      </c>
      <c r="N1248" t="s">
        <v>40</v>
      </c>
      <c r="O1248" t="s">
        <v>77</v>
      </c>
      <c r="P1248">
        <v>4</v>
      </c>
      <c r="Q1248" t="s">
        <v>42</v>
      </c>
      <c r="R1248" t="s">
        <v>67</v>
      </c>
      <c r="S1248">
        <v>6</v>
      </c>
      <c r="T1248" t="s">
        <v>44</v>
      </c>
      <c r="U1248" t="s">
        <v>59</v>
      </c>
      <c r="V1248">
        <v>11</v>
      </c>
      <c r="W1248" t="s">
        <v>45</v>
      </c>
      <c r="X1248">
        <v>6</v>
      </c>
      <c r="Y1248">
        <v>2</v>
      </c>
      <c r="Z1248" t="s">
        <v>46</v>
      </c>
      <c r="AA1248">
        <v>4</v>
      </c>
      <c r="AB1248" t="s">
        <v>48</v>
      </c>
      <c r="AC1248">
        <v>2</v>
      </c>
      <c r="AD1248" t="s">
        <v>48</v>
      </c>
      <c r="AE1248">
        <v>1</v>
      </c>
      <c r="AF1248" t="s">
        <v>49</v>
      </c>
    </row>
    <row r="1249" spans="1:32" x14ac:dyDescent="0.25">
      <c r="A1249">
        <v>31</v>
      </c>
      <c r="B1249" t="s">
        <v>32</v>
      </c>
      <c r="C1249" t="s">
        <v>50</v>
      </c>
      <c r="D1249" t="s">
        <v>34</v>
      </c>
      <c r="E1249" t="s">
        <v>35</v>
      </c>
      <c r="F1249">
        <v>5</v>
      </c>
      <c r="G1249" t="s">
        <v>36</v>
      </c>
      <c r="H1249">
        <v>1</v>
      </c>
      <c r="I1249" t="s">
        <v>37</v>
      </c>
      <c r="J1249" t="s">
        <v>54</v>
      </c>
      <c r="K1249">
        <v>3</v>
      </c>
      <c r="L1249" t="s">
        <v>39</v>
      </c>
      <c r="M1249">
        <v>2</v>
      </c>
      <c r="N1249" t="s">
        <v>40</v>
      </c>
      <c r="O1249" t="s">
        <v>41</v>
      </c>
      <c r="P1249">
        <v>3</v>
      </c>
      <c r="Q1249" t="s">
        <v>42</v>
      </c>
      <c r="R1249" t="s">
        <v>58</v>
      </c>
      <c r="S1249">
        <v>1</v>
      </c>
      <c r="T1249" t="s">
        <v>44</v>
      </c>
      <c r="U1249" t="s">
        <v>59</v>
      </c>
      <c r="V1249">
        <v>19</v>
      </c>
      <c r="W1249" t="s">
        <v>45</v>
      </c>
      <c r="X1249">
        <v>6</v>
      </c>
      <c r="Y1249">
        <v>3</v>
      </c>
      <c r="Z1249" t="s">
        <v>61</v>
      </c>
      <c r="AA1249">
        <v>5</v>
      </c>
      <c r="AB1249" t="s">
        <v>47</v>
      </c>
      <c r="AC1249">
        <v>2</v>
      </c>
      <c r="AD1249" t="s">
        <v>48</v>
      </c>
      <c r="AE1249">
        <v>0</v>
      </c>
      <c r="AF1249" t="s">
        <v>49</v>
      </c>
    </row>
    <row r="1250" spans="1:32" x14ac:dyDescent="0.25">
      <c r="A1250">
        <v>27</v>
      </c>
      <c r="B1250" t="s">
        <v>63</v>
      </c>
      <c r="C1250" t="s">
        <v>50</v>
      </c>
      <c r="D1250" t="s">
        <v>34</v>
      </c>
      <c r="E1250" t="s">
        <v>52</v>
      </c>
      <c r="F1250">
        <v>8</v>
      </c>
      <c r="G1250" t="s">
        <v>53</v>
      </c>
      <c r="H1250">
        <v>3</v>
      </c>
      <c r="I1250" t="s">
        <v>42</v>
      </c>
      <c r="J1250" t="s">
        <v>38</v>
      </c>
      <c r="K1250">
        <v>3</v>
      </c>
      <c r="L1250" t="s">
        <v>39</v>
      </c>
      <c r="M1250">
        <v>1</v>
      </c>
      <c r="N1250" t="s">
        <v>40</v>
      </c>
      <c r="O1250" t="s">
        <v>56</v>
      </c>
      <c r="P1250">
        <v>4</v>
      </c>
      <c r="Q1250" t="s">
        <v>42</v>
      </c>
      <c r="R1250" t="s">
        <v>43</v>
      </c>
      <c r="S1250">
        <v>1</v>
      </c>
      <c r="T1250" t="s">
        <v>44</v>
      </c>
      <c r="U1250" t="s">
        <v>59</v>
      </c>
      <c r="V1250">
        <v>11</v>
      </c>
      <c r="W1250" t="s">
        <v>45</v>
      </c>
      <c r="X1250">
        <v>6</v>
      </c>
      <c r="Y1250">
        <v>2</v>
      </c>
      <c r="Z1250" t="s">
        <v>46</v>
      </c>
      <c r="AA1250">
        <v>6</v>
      </c>
      <c r="AB1250" t="s">
        <v>47</v>
      </c>
      <c r="AC1250">
        <v>2</v>
      </c>
      <c r="AD1250" t="s">
        <v>48</v>
      </c>
      <c r="AE1250">
        <v>1</v>
      </c>
      <c r="AF1250" t="s">
        <v>49</v>
      </c>
    </row>
    <row r="1251" spans="1:32" x14ac:dyDescent="0.25">
      <c r="A1251">
        <v>29</v>
      </c>
      <c r="B1251" t="s">
        <v>63</v>
      </c>
      <c r="C1251" t="s">
        <v>33</v>
      </c>
      <c r="D1251" t="s">
        <v>34</v>
      </c>
      <c r="E1251" t="s">
        <v>35</v>
      </c>
      <c r="F1251">
        <v>9</v>
      </c>
      <c r="G1251" t="s">
        <v>53</v>
      </c>
      <c r="H1251">
        <v>2</v>
      </c>
      <c r="I1251" t="s">
        <v>37</v>
      </c>
      <c r="J1251" t="s">
        <v>38</v>
      </c>
      <c r="K1251">
        <v>1</v>
      </c>
      <c r="L1251" t="s">
        <v>55</v>
      </c>
      <c r="M1251">
        <v>1</v>
      </c>
      <c r="N1251" t="s">
        <v>40</v>
      </c>
      <c r="O1251" t="s">
        <v>75</v>
      </c>
      <c r="P1251">
        <v>2</v>
      </c>
      <c r="Q1251" t="s">
        <v>57</v>
      </c>
      <c r="R1251" t="s">
        <v>43</v>
      </c>
      <c r="S1251">
        <v>1</v>
      </c>
      <c r="T1251" t="s">
        <v>44</v>
      </c>
      <c r="U1251" t="s">
        <v>59</v>
      </c>
      <c r="V1251">
        <v>13</v>
      </c>
      <c r="W1251" t="s">
        <v>45</v>
      </c>
      <c r="X1251">
        <v>2</v>
      </c>
      <c r="Y1251">
        <v>3</v>
      </c>
      <c r="Z1251" t="s">
        <v>61</v>
      </c>
      <c r="AA1251">
        <v>2</v>
      </c>
      <c r="AB1251" t="s">
        <v>48</v>
      </c>
      <c r="AC1251">
        <v>2</v>
      </c>
      <c r="AD1251" t="s">
        <v>48</v>
      </c>
      <c r="AE1251">
        <v>2</v>
      </c>
      <c r="AF1251" t="s">
        <v>49</v>
      </c>
    </row>
    <row r="1252" spans="1:32" x14ac:dyDescent="0.25">
      <c r="A1252">
        <v>29</v>
      </c>
      <c r="B1252" t="s">
        <v>63</v>
      </c>
      <c r="C1252" t="s">
        <v>50</v>
      </c>
      <c r="D1252" t="s">
        <v>51</v>
      </c>
      <c r="E1252" t="s">
        <v>52</v>
      </c>
      <c r="F1252">
        <v>1</v>
      </c>
      <c r="G1252" t="s">
        <v>36</v>
      </c>
      <c r="H1252">
        <v>4</v>
      </c>
      <c r="I1252" t="s">
        <v>42</v>
      </c>
      <c r="J1252" t="s">
        <v>54</v>
      </c>
      <c r="K1252">
        <v>4</v>
      </c>
      <c r="L1252" t="s">
        <v>65</v>
      </c>
      <c r="M1252">
        <v>2</v>
      </c>
      <c r="N1252" t="s">
        <v>40</v>
      </c>
      <c r="O1252" t="s">
        <v>70</v>
      </c>
      <c r="P1252">
        <v>3</v>
      </c>
      <c r="Q1252" t="s">
        <v>42</v>
      </c>
      <c r="R1252" t="s">
        <v>43</v>
      </c>
      <c r="S1252">
        <v>8</v>
      </c>
      <c r="T1252" t="s">
        <v>44</v>
      </c>
      <c r="U1252" t="s">
        <v>44</v>
      </c>
      <c r="V1252">
        <v>12</v>
      </c>
      <c r="W1252" t="s">
        <v>45</v>
      </c>
      <c r="X1252">
        <v>10</v>
      </c>
      <c r="Y1252">
        <v>4</v>
      </c>
      <c r="Z1252" t="s">
        <v>61</v>
      </c>
      <c r="AA1252">
        <v>3</v>
      </c>
      <c r="AB1252" t="s">
        <v>48</v>
      </c>
      <c r="AC1252">
        <v>2</v>
      </c>
      <c r="AD1252" t="s">
        <v>48</v>
      </c>
      <c r="AE1252">
        <v>0</v>
      </c>
      <c r="AF1252" t="s">
        <v>49</v>
      </c>
    </row>
    <row r="1253" spans="1:32" x14ac:dyDescent="0.25">
      <c r="A1253">
        <v>30</v>
      </c>
      <c r="B1253" t="s">
        <v>32</v>
      </c>
      <c r="C1253" t="s">
        <v>50</v>
      </c>
      <c r="D1253" t="s">
        <v>34</v>
      </c>
      <c r="E1253" t="s">
        <v>35</v>
      </c>
      <c r="F1253">
        <v>15</v>
      </c>
      <c r="G1253" t="s">
        <v>66</v>
      </c>
      <c r="H1253">
        <v>3</v>
      </c>
      <c r="I1253" t="s">
        <v>42</v>
      </c>
      <c r="J1253" t="s">
        <v>54</v>
      </c>
      <c r="K1253">
        <v>2</v>
      </c>
      <c r="L1253" t="s">
        <v>55</v>
      </c>
      <c r="M1253">
        <v>3</v>
      </c>
      <c r="N1253" t="s">
        <v>68</v>
      </c>
      <c r="O1253" t="s">
        <v>41</v>
      </c>
      <c r="P1253">
        <v>1</v>
      </c>
      <c r="Q1253" t="s">
        <v>57</v>
      </c>
      <c r="R1253" t="s">
        <v>67</v>
      </c>
      <c r="S1253">
        <v>2</v>
      </c>
      <c r="T1253" t="s">
        <v>44</v>
      </c>
      <c r="U1253" t="s">
        <v>59</v>
      </c>
      <c r="V1253">
        <v>11</v>
      </c>
      <c r="W1253" t="s">
        <v>45</v>
      </c>
      <c r="X1253">
        <v>12</v>
      </c>
      <c r="Y1253">
        <v>3</v>
      </c>
      <c r="Z1253" t="s">
        <v>61</v>
      </c>
      <c r="AA1253">
        <v>7</v>
      </c>
      <c r="AB1253" t="s">
        <v>47</v>
      </c>
      <c r="AC1253">
        <v>7</v>
      </c>
      <c r="AD1253" t="s">
        <v>47</v>
      </c>
      <c r="AE1253">
        <v>1</v>
      </c>
      <c r="AF1253" t="s">
        <v>49</v>
      </c>
    </row>
    <row r="1254" spans="1:32" x14ac:dyDescent="0.25">
      <c r="A1254">
        <v>34</v>
      </c>
      <c r="B1254" t="s">
        <v>32</v>
      </c>
      <c r="C1254" t="s">
        <v>50</v>
      </c>
      <c r="D1254" t="s">
        <v>34</v>
      </c>
      <c r="E1254" t="s">
        <v>52</v>
      </c>
      <c r="F1254">
        <v>2</v>
      </c>
      <c r="G1254" t="s">
        <v>36</v>
      </c>
      <c r="H1254">
        <v>4</v>
      </c>
      <c r="I1254" t="s">
        <v>42</v>
      </c>
      <c r="J1254" t="s">
        <v>54</v>
      </c>
      <c r="K1254">
        <v>4</v>
      </c>
      <c r="L1254" t="s">
        <v>65</v>
      </c>
      <c r="M1254">
        <v>1</v>
      </c>
      <c r="N1254" t="s">
        <v>40</v>
      </c>
      <c r="O1254" t="s">
        <v>56</v>
      </c>
      <c r="P1254">
        <v>4</v>
      </c>
      <c r="Q1254" t="s">
        <v>42</v>
      </c>
      <c r="R1254" t="s">
        <v>58</v>
      </c>
      <c r="S1254">
        <v>0</v>
      </c>
      <c r="T1254" t="s">
        <v>44</v>
      </c>
      <c r="U1254" t="s">
        <v>44</v>
      </c>
      <c r="V1254">
        <v>14</v>
      </c>
      <c r="W1254" t="s">
        <v>45</v>
      </c>
      <c r="X1254">
        <v>6</v>
      </c>
      <c r="Y1254">
        <v>3</v>
      </c>
      <c r="Z1254" t="s">
        <v>61</v>
      </c>
      <c r="AA1254">
        <v>5</v>
      </c>
      <c r="AB1254" t="s">
        <v>47</v>
      </c>
      <c r="AC1254">
        <v>0</v>
      </c>
      <c r="AD1254" t="s">
        <v>48</v>
      </c>
      <c r="AE1254">
        <v>1</v>
      </c>
      <c r="AF1254" t="s">
        <v>49</v>
      </c>
    </row>
    <row r="1255" spans="1:32" x14ac:dyDescent="0.25">
      <c r="A1255">
        <v>33</v>
      </c>
      <c r="B1255" t="s">
        <v>32</v>
      </c>
      <c r="C1255" t="s">
        <v>50</v>
      </c>
      <c r="D1255" t="s">
        <v>34</v>
      </c>
      <c r="E1255" t="s">
        <v>35</v>
      </c>
      <c r="F1255">
        <v>2</v>
      </c>
      <c r="G1255" t="s">
        <v>36</v>
      </c>
      <c r="H1255">
        <v>4</v>
      </c>
      <c r="I1255" t="s">
        <v>42</v>
      </c>
      <c r="J1255" t="s">
        <v>38</v>
      </c>
      <c r="K1255">
        <v>3</v>
      </c>
      <c r="L1255" t="s">
        <v>39</v>
      </c>
      <c r="M1255">
        <v>2</v>
      </c>
      <c r="N1255" t="s">
        <v>40</v>
      </c>
      <c r="O1255" t="s">
        <v>41</v>
      </c>
      <c r="P1255">
        <v>2</v>
      </c>
      <c r="Q1255" t="s">
        <v>57</v>
      </c>
      <c r="R1255" t="s">
        <v>43</v>
      </c>
      <c r="S1255">
        <v>8</v>
      </c>
      <c r="T1255" t="s">
        <v>44</v>
      </c>
      <c r="U1255" t="s">
        <v>59</v>
      </c>
      <c r="V1255">
        <v>15</v>
      </c>
      <c r="W1255" t="s">
        <v>45</v>
      </c>
      <c r="X1255">
        <v>13</v>
      </c>
      <c r="Y1255">
        <v>2</v>
      </c>
      <c r="Z1255" t="s">
        <v>46</v>
      </c>
      <c r="AA1255">
        <v>11</v>
      </c>
      <c r="AB1255" t="s">
        <v>74</v>
      </c>
      <c r="AC1255">
        <v>7</v>
      </c>
      <c r="AD1255" t="s">
        <v>47</v>
      </c>
      <c r="AE1255">
        <v>1</v>
      </c>
      <c r="AF1255" t="s">
        <v>49</v>
      </c>
    </row>
    <row r="1256" spans="1:32" x14ac:dyDescent="0.25">
      <c r="A1256">
        <v>49</v>
      </c>
      <c r="B1256" t="s">
        <v>32</v>
      </c>
      <c r="C1256" t="s">
        <v>50</v>
      </c>
      <c r="D1256" t="s">
        <v>34</v>
      </c>
      <c r="E1256" t="s">
        <v>35</v>
      </c>
      <c r="F1256">
        <v>11</v>
      </c>
      <c r="G1256" t="s">
        <v>53</v>
      </c>
      <c r="H1256">
        <v>4</v>
      </c>
      <c r="I1256" t="s">
        <v>42</v>
      </c>
      <c r="J1256" t="s">
        <v>38</v>
      </c>
      <c r="K1256">
        <v>3</v>
      </c>
      <c r="L1256" t="s">
        <v>39</v>
      </c>
      <c r="M1256">
        <v>2</v>
      </c>
      <c r="N1256" t="s">
        <v>40</v>
      </c>
      <c r="O1256" t="s">
        <v>41</v>
      </c>
      <c r="P1256">
        <v>4</v>
      </c>
      <c r="Q1256" t="s">
        <v>42</v>
      </c>
      <c r="R1256" t="s">
        <v>43</v>
      </c>
      <c r="S1256">
        <v>3</v>
      </c>
      <c r="T1256" t="s">
        <v>44</v>
      </c>
      <c r="U1256" t="s">
        <v>59</v>
      </c>
      <c r="V1256">
        <v>12</v>
      </c>
      <c r="W1256" t="s">
        <v>45</v>
      </c>
      <c r="X1256">
        <v>8</v>
      </c>
      <c r="Y1256">
        <v>4</v>
      </c>
      <c r="Z1256" t="s">
        <v>61</v>
      </c>
      <c r="AA1256">
        <v>5</v>
      </c>
      <c r="AB1256" t="s">
        <v>47</v>
      </c>
      <c r="AC1256">
        <v>1</v>
      </c>
      <c r="AD1256" t="s">
        <v>48</v>
      </c>
      <c r="AE1256">
        <v>0</v>
      </c>
      <c r="AF1256" t="s">
        <v>49</v>
      </c>
    </row>
    <row r="1257" spans="1:32" x14ac:dyDescent="0.25">
      <c r="A1257">
        <v>33</v>
      </c>
      <c r="B1257" t="s">
        <v>32</v>
      </c>
      <c r="C1257" t="s">
        <v>33</v>
      </c>
      <c r="D1257" t="s">
        <v>34</v>
      </c>
      <c r="E1257" t="s">
        <v>35</v>
      </c>
      <c r="F1257">
        <v>16</v>
      </c>
      <c r="G1257" t="s">
        <v>66</v>
      </c>
      <c r="H1257">
        <v>1</v>
      </c>
      <c r="I1257" t="s">
        <v>37</v>
      </c>
      <c r="J1257" t="s">
        <v>38</v>
      </c>
      <c r="K1257">
        <v>3</v>
      </c>
      <c r="L1257" t="s">
        <v>39</v>
      </c>
      <c r="M1257">
        <v>3</v>
      </c>
      <c r="N1257" t="s">
        <v>68</v>
      </c>
      <c r="O1257" t="s">
        <v>41</v>
      </c>
      <c r="P1257">
        <v>1</v>
      </c>
      <c r="Q1257" t="s">
        <v>57</v>
      </c>
      <c r="R1257" t="s">
        <v>43</v>
      </c>
      <c r="S1257">
        <v>2</v>
      </c>
      <c r="T1257" t="s">
        <v>44</v>
      </c>
      <c r="U1257" t="s">
        <v>44</v>
      </c>
      <c r="V1257">
        <v>20</v>
      </c>
      <c r="W1257" t="s">
        <v>60</v>
      </c>
      <c r="X1257">
        <v>11</v>
      </c>
      <c r="Y1257">
        <v>2</v>
      </c>
      <c r="Z1257" t="s">
        <v>46</v>
      </c>
      <c r="AA1257">
        <v>0</v>
      </c>
      <c r="AB1257" t="s">
        <v>48</v>
      </c>
      <c r="AC1257">
        <v>0</v>
      </c>
      <c r="AD1257" t="s">
        <v>48</v>
      </c>
      <c r="AE1257">
        <v>0</v>
      </c>
      <c r="AF1257" t="s">
        <v>49</v>
      </c>
    </row>
    <row r="1258" spans="1:32" x14ac:dyDescent="0.25">
      <c r="A1258">
        <v>38</v>
      </c>
      <c r="B1258" t="s">
        <v>32</v>
      </c>
      <c r="C1258" t="s">
        <v>50</v>
      </c>
      <c r="D1258" t="s">
        <v>51</v>
      </c>
      <c r="E1258" t="s">
        <v>52</v>
      </c>
      <c r="F1258">
        <v>2</v>
      </c>
      <c r="G1258" t="s">
        <v>36</v>
      </c>
      <c r="H1258">
        <v>3</v>
      </c>
      <c r="I1258" t="s">
        <v>42</v>
      </c>
      <c r="J1258" t="s">
        <v>38</v>
      </c>
      <c r="K1258">
        <v>2</v>
      </c>
      <c r="L1258" t="s">
        <v>55</v>
      </c>
      <c r="M1258">
        <v>1</v>
      </c>
      <c r="N1258" t="s">
        <v>40</v>
      </c>
      <c r="O1258" t="s">
        <v>62</v>
      </c>
      <c r="P1258">
        <v>2</v>
      </c>
      <c r="Q1258" t="s">
        <v>57</v>
      </c>
      <c r="R1258" t="s">
        <v>58</v>
      </c>
      <c r="S1258">
        <v>4</v>
      </c>
      <c r="T1258" t="s">
        <v>44</v>
      </c>
      <c r="U1258" t="s">
        <v>59</v>
      </c>
      <c r="V1258">
        <v>14</v>
      </c>
      <c r="W1258" t="s">
        <v>45</v>
      </c>
      <c r="X1258">
        <v>9</v>
      </c>
      <c r="Y1258">
        <v>2</v>
      </c>
      <c r="Z1258" t="s">
        <v>46</v>
      </c>
      <c r="AA1258">
        <v>6</v>
      </c>
      <c r="AB1258" t="s">
        <v>47</v>
      </c>
      <c r="AC1258">
        <v>1</v>
      </c>
      <c r="AD1258" t="s">
        <v>48</v>
      </c>
      <c r="AE1258">
        <v>0</v>
      </c>
      <c r="AF1258" t="s">
        <v>49</v>
      </c>
    </row>
    <row r="1259" spans="1:32" x14ac:dyDescent="0.25">
      <c r="A1259">
        <v>31</v>
      </c>
      <c r="B1259" t="s">
        <v>32</v>
      </c>
      <c r="C1259" t="s">
        <v>33</v>
      </c>
      <c r="D1259" t="s">
        <v>34</v>
      </c>
      <c r="E1259" t="s">
        <v>35</v>
      </c>
      <c r="F1259">
        <v>16</v>
      </c>
      <c r="G1259" t="s">
        <v>66</v>
      </c>
      <c r="H1259">
        <v>1</v>
      </c>
      <c r="I1259" t="s">
        <v>37</v>
      </c>
      <c r="J1259" t="s">
        <v>54</v>
      </c>
      <c r="K1259">
        <v>3</v>
      </c>
      <c r="L1259" t="s">
        <v>39</v>
      </c>
      <c r="M1259">
        <v>3</v>
      </c>
      <c r="N1259" t="s">
        <v>68</v>
      </c>
      <c r="O1259" t="s">
        <v>41</v>
      </c>
      <c r="P1259">
        <v>3</v>
      </c>
      <c r="Q1259" t="s">
        <v>42</v>
      </c>
      <c r="R1259" t="s">
        <v>58</v>
      </c>
      <c r="S1259">
        <v>2</v>
      </c>
      <c r="T1259" t="s">
        <v>44</v>
      </c>
      <c r="U1259" t="s">
        <v>59</v>
      </c>
      <c r="V1259">
        <v>13</v>
      </c>
      <c r="W1259" t="s">
        <v>45</v>
      </c>
      <c r="X1259">
        <v>10</v>
      </c>
      <c r="Y1259">
        <v>3</v>
      </c>
      <c r="Z1259" t="s">
        <v>61</v>
      </c>
      <c r="AA1259">
        <v>1</v>
      </c>
      <c r="AB1259" t="s">
        <v>48</v>
      </c>
      <c r="AC1259">
        <v>0</v>
      </c>
      <c r="AD1259" t="s">
        <v>48</v>
      </c>
      <c r="AE1259">
        <v>0</v>
      </c>
      <c r="AF1259" t="s">
        <v>49</v>
      </c>
    </row>
    <row r="1260" spans="1:32" x14ac:dyDescent="0.25">
      <c r="A1260">
        <v>29</v>
      </c>
      <c r="B1260" t="s">
        <v>63</v>
      </c>
      <c r="C1260" t="s">
        <v>50</v>
      </c>
      <c r="D1260" t="s">
        <v>34</v>
      </c>
      <c r="E1260" t="s">
        <v>52</v>
      </c>
      <c r="F1260">
        <v>4</v>
      </c>
      <c r="G1260" t="s">
        <v>36</v>
      </c>
      <c r="H1260">
        <v>4</v>
      </c>
      <c r="I1260" t="s">
        <v>42</v>
      </c>
      <c r="J1260" t="s">
        <v>38</v>
      </c>
      <c r="K1260">
        <v>2</v>
      </c>
      <c r="L1260" t="s">
        <v>55</v>
      </c>
      <c r="M1260">
        <v>1</v>
      </c>
      <c r="N1260" t="s">
        <v>40</v>
      </c>
      <c r="O1260" t="s">
        <v>56</v>
      </c>
      <c r="P1260">
        <v>1</v>
      </c>
      <c r="Q1260" t="s">
        <v>57</v>
      </c>
      <c r="R1260" t="s">
        <v>67</v>
      </c>
      <c r="S1260">
        <v>1</v>
      </c>
      <c r="T1260" t="s">
        <v>44</v>
      </c>
      <c r="U1260" t="s">
        <v>59</v>
      </c>
      <c r="V1260">
        <v>13</v>
      </c>
      <c r="W1260" t="s">
        <v>45</v>
      </c>
      <c r="X1260">
        <v>1</v>
      </c>
      <c r="Y1260">
        <v>3</v>
      </c>
      <c r="Z1260" t="s">
        <v>61</v>
      </c>
      <c r="AA1260">
        <v>1</v>
      </c>
      <c r="AB1260" t="s">
        <v>48</v>
      </c>
      <c r="AC1260">
        <v>0</v>
      </c>
      <c r="AD1260" t="s">
        <v>48</v>
      </c>
      <c r="AE1260">
        <v>0</v>
      </c>
      <c r="AF1260" t="s">
        <v>49</v>
      </c>
    </row>
    <row r="1261" spans="1:32" x14ac:dyDescent="0.25">
      <c r="A1261">
        <v>30</v>
      </c>
      <c r="B1261" t="s">
        <v>32</v>
      </c>
      <c r="C1261" t="s">
        <v>50</v>
      </c>
      <c r="D1261" t="s">
        <v>34</v>
      </c>
      <c r="E1261" t="s">
        <v>52</v>
      </c>
      <c r="F1261">
        <v>16</v>
      </c>
      <c r="G1261" t="s">
        <v>66</v>
      </c>
      <c r="H1261">
        <v>3</v>
      </c>
      <c r="I1261" t="s">
        <v>42</v>
      </c>
      <c r="J1261" t="s">
        <v>54</v>
      </c>
      <c r="K1261">
        <v>4</v>
      </c>
      <c r="L1261" t="s">
        <v>65</v>
      </c>
      <c r="M1261">
        <v>2</v>
      </c>
      <c r="N1261" t="s">
        <v>40</v>
      </c>
      <c r="O1261" t="s">
        <v>70</v>
      </c>
      <c r="P1261">
        <v>3</v>
      </c>
      <c r="Q1261" t="s">
        <v>42</v>
      </c>
      <c r="R1261" t="s">
        <v>58</v>
      </c>
      <c r="S1261">
        <v>3</v>
      </c>
      <c r="T1261" t="s">
        <v>44</v>
      </c>
      <c r="U1261" t="s">
        <v>59</v>
      </c>
      <c r="V1261">
        <v>16</v>
      </c>
      <c r="W1261" t="s">
        <v>45</v>
      </c>
      <c r="X1261">
        <v>10</v>
      </c>
      <c r="Y1261">
        <v>3</v>
      </c>
      <c r="Z1261" t="s">
        <v>61</v>
      </c>
      <c r="AA1261">
        <v>7</v>
      </c>
      <c r="AB1261" t="s">
        <v>47</v>
      </c>
      <c r="AC1261">
        <v>0</v>
      </c>
      <c r="AD1261" t="s">
        <v>48</v>
      </c>
      <c r="AE1261">
        <v>1</v>
      </c>
      <c r="AF1261" t="s">
        <v>49</v>
      </c>
    </row>
    <row r="1262" spans="1:32" x14ac:dyDescent="0.25">
      <c r="A1262">
        <v>32</v>
      </c>
      <c r="B1262" t="s">
        <v>32</v>
      </c>
      <c r="C1262" t="s">
        <v>50</v>
      </c>
      <c r="D1262" t="s">
        <v>34</v>
      </c>
      <c r="E1262" t="s">
        <v>52</v>
      </c>
      <c r="F1262">
        <v>5</v>
      </c>
      <c r="G1262" t="s">
        <v>36</v>
      </c>
      <c r="H1262">
        <v>2</v>
      </c>
      <c r="I1262" t="s">
        <v>37</v>
      </c>
      <c r="J1262" t="s">
        <v>54</v>
      </c>
      <c r="K1262">
        <v>3</v>
      </c>
      <c r="L1262" t="s">
        <v>39</v>
      </c>
      <c r="M1262">
        <v>1</v>
      </c>
      <c r="N1262" t="s">
        <v>40</v>
      </c>
      <c r="O1262" t="s">
        <v>56</v>
      </c>
      <c r="P1262">
        <v>2</v>
      </c>
      <c r="Q1262" t="s">
        <v>57</v>
      </c>
      <c r="R1262" t="s">
        <v>43</v>
      </c>
      <c r="S1262">
        <v>2</v>
      </c>
      <c r="T1262" t="s">
        <v>44</v>
      </c>
      <c r="U1262" t="s">
        <v>59</v>
      </c>
      <c r="V1262">
        <v>14</v>
      </c>
      <c r="W1262" t="s">
        <v>45</v>
      </c>
      <c r="X1262">
        <v>12</v>
      </c>
      <c r="Y1262">
        <v>3</v>
      </c>
      <c r="Z1262" t="s">
        <v>61</v>
      </c>
      <c r="AA1262">
        <v>7</v>
      </c>
      <c r="AB1262" t="s">
        <v>47</v>
      </c>
      <c r="AC1262">
        <v>7</v>
      </c>
      <c r="AD1262" t="s">
        <v>47</v>
      </c>
      <c r="AE1262">
        <v>0</v>
      </c>
      <c r="AF1262" t="s">
        <v>49</v>
      </c>
    </row>
    <row r="1263" spans="1:32" x14ac:dyDescent="0.25">
      <c r="A1263">
        <v>38</v>
      </c>
      <c r="B1263" t="s">
        <v>32</v>
      </c>
      <c r="C1263" t="s">
        <v>50</v>
      </c>
      <c r="D1263" t="s">
        <v>34</v>
      </c>
      <c r="E1263" t="s">
        <v>52</v>
      </c>
      <c r="F1263">
        <v>18</v>
      </c>
      <c r="G1263" t="s">
        <v>66</v>
      </c>
      <c r="H1263">
        <v>2</v>
      </c>
      <c r="I1263" t="s">
        <v>37</v>
      </c>
      <c r="J1263" t="s">
        <v>54</v>
      </c>
      <c r="K1263">
        <v>1</v>
      </c>
      <c r="L1263" t="s">
        <v>55</v>
      </c>
      <c r="M1263">
        <v>2</v>
      </c>
      <c r="N1263" t="s">
        <v>40</v>
      </c>
      <c r="O1263" t="s">
        <v>70</v>
      </c>
      <c r="P1263">
        <v>4</v>
      </c>
      <c r="Q1263" t="s">
        <v>42</v>
      </c>
      <c r="R1263" t="s">
        <v>58</v>
      </c>
      <c r="S1263">
        <v>3</v>
      </c>
      <c r="T1263" t="s">
        <v>44</v>
      </c>
      <c r="U1263" t="s">
        <v>44</v>
      </c>
      <c r="V1263">
        <v>16</v>
      </c>
      <c r="W1263" t="s">
        <v>45</v>
      </c>
      <c r="X1263">
        <v>15</v>
      </c>
      <c r="Y1263">
        <v>3</v>
      </c>
      <c r="Z1263" t="s">
        <v>61</v>
      </c>
      <c r="AA1263">
        <v>1</v>
      </c>
      <c r="AB1263" t="s">
        <v>48</v>
      </c>
      <c r="AC1263">
        <v>0</v>
      </c>
      <c r="AD1263" t="s">
        <v>48</v>
      </c>
      <c r="AE1263">
        <v>1</v>
      </c>
      <c r="AF1263" t="s">
        <v>49</v>
      </c>
    </row>
    <row r="1264" spans="1:32" x14ac:dyDescent="0.25">
      <c r="A1264">
        <v>43</v>
      </c>
      <c r="B1264" t="s">
        <v>32</v>
      </c>
      <c r="C1264" t="s">
        <v>33</v>
      </c>
      <c r="D1264" t="s">
        <v>51</v>
      </c>
      <c r="E1264" t="s">
        <v>52</v>
      </c>
      <c r="F1264">
        <v>17</v>
      </c>
      <c r="G1264" t="s">
        <v>66</v>
      </c>
      <c r="H1264">
        <v>3</v>
      </c>
      <c r="I1264" t="s">
        <v>42</v>
      </c>
      <c r="J1264" t="s">
        <v>54</v>
      </c>
      <c r="K1264">
        <v>2</v>
      </c>
      <c r="L1264" t="s">
        <v>55</v>
      </c>
      <c r="M1264">
        <v>1</v>
      </c>
      <c r="N1264" t="s">
        <v>40</v>
      </c>
      <c r="O1264" t="s">
        <v>56</v>
      </c>
      <c r="P1264">
        <v>3</v>
      </c>
      <c r="Q1264" t="s">
        <v>42</v>
      </c>
      <c r="R1264" t="s">
        <v>58</v>
      </c>
      <c r="S1264">
        <v>9</v>
      </c>
      <c r="T1264" t="s">
        <v>44</v>
      </c>
      <c r="U1264" t="s">
        <v>44</v>
      </c>
      <c r="V1264">
        <v>16</v>
      </c>
      <c r="W1264" t="s">
        <v>45</v>
      </c>
      <c r="X1264">
        <v>6</v>
      </c>
      <c r="Y1264">
        <v>3</v>
      </c>
      <c r="Z1264" t="s">
        <v>61</v>
      </c>
      <c r="AA1264">
        <v>1</v>
      </c>
      <c r="AB1264" t="s">
        <v>48</v>
      </c>
      <c r="AC1264">
        <v>0</v>
      </c>
      <c r="AD1264" t="s">
        <v>48</v>
      </c>
      <c r="AE1264">
        <v>0</v>
      </c>
      <c r="AF1264" t="s">
        <v>49</v>
      </c>
    </row>
    <row r="1265" spans="1:32" x14ac:dyDescent="0.25">
      <c r="A1265">
        <v>42</v>
      </c>
      <c r="B1265" t="s">
        <v>32</v>
      </c>
      <c r="C1265" t="s">
        <v>50</v>
      </c>
      <c r="D1265" t="s">
        <v>34</v>
      </c>
      <c r="E1265" t="s">
        <v>52</v>
      </c>
      <c r="F1265">
        <v>12</v>
      </c>
      <c r="G1265" t="s">
        <v>53</v>
      </c>
      <c r="H1265">
        <v>2</v>
      </c>
      <c r="I1265" t="s">
        <v>37</v>
      </c>
      <c r="J1265" t="s">
        <v>54</v>
      </c>
      <c r="K1265">
        <v>3</v>
      </c>
      <c r="L1265" t="s">
        <v>39</v>
      </c>
      <c r="M1265">
        <v>1</v>
      </c>
      <c r="N1265" t="s">
        <v>40</v>
      </c>
      <c r="O1265" t="s">
        <v>62</v>
      </c>
      <c r="P1265">
        <v>2</v>
      </c>
      <c r="Q1265" t="s">
        <v>57</v>
      </c>
      <c r="R1265" t="s">
        <v>67</v>
      </c>
      <c r="S1265">
        <v>8</v>
      </c>
      <c r="T1265" t="s">
        <v>44</v>
      </c>
      <c r="U1265" t="s">
        <v>59</v>
      </c>
      <c r="V1265">
        <v>22</v>
      </c>
      <c r="W1265" t="s">
        <v>60</v>
      </c>
      <c r="X1265">
        <v>7</v>
      </c>
      <c r="Y1265">
        <v>2</v>
      </c>
      <c r="Z1265" t="s">
        <v>46</v>
      </c>
      <c r="AA1265">
        <v>5</v>
      </c>
      <c r="AB1265" t="s">
        <v>47</v>
      </c>
      <c r="AC1265">
        <v>3</v>
      </c>
      <c r="AD1265" t="s">
        <v>48</v>
      </c>
      <c r="AE1265">
        <v>0</v>
      </c>
      <c r="AF1265" t="s">
        <v>49</v>
      </c>
    </row>
    <row r="1266" spans="1:32" x14ac:dyDescent="0.25">
      <c r="A1266">
        <v>55</v>
      </c>
      <c r="B1266" t="s">
        <v>64</v>
      </c>
      <c r="C1266" t="s">
        <v>50</v>
      </c>
      <c r="D1266" t="s">
        <v>34</v>
      </c>
      <c r="E1266" t="s">
        <v>52</v>
      </c>
      <c r="F1266">
        <v>2</v>
      </c>
      <c r="G1266" t="s">
        <v>36</v>
      </c>
      <c r="H1266">
        <v>3</v>
      </c>
      <c r="I1266" t="s">
        <v>42</v>
      </c>
      <c r="J1266" t="s">
        <v>54</v>
      </c>
      <c r="K1266">
        <v>2</v>
      </c>
      <c r="L1266" t="s">
        <v>55</v>
      </c>
      <c r="M1266">
        <v>5</v>
      </c>
      <c r="N1266" t="s">
        <v>72</v>
      </c>
      <c r="O1266" t="s">
        <v>76</v>
      </c>
      <c r="P1266">
        <v>1</v>
      </c>
      <c r="Q1266" t="s">
        <v>57</v>
      </c>
      <c r="R1266" t="s">
        <v>58</v>
      </c>
      <c r="S1266">
        <v>8</v>
      </c>
      <c r="T1266" t="s">
        <v>44</v>
      </c>
      <c r="U1266" t="s">
        <v>59</v>
      </c>
      <c r="V1266">
        <v>12</v>
      </c>
      <c r="W1266" t="s">
        <v>45</v>
      </c>
      <c r="X1266">
        <v>34</v>
      </c>
      <c r="Y1266">
        <v>3</v>
      </c>
      <c r="Z1266" t="s">
        <v>61</v>
      </c>
      <c r="AA1266">
        <v>1</v>
      </c>
      <c r="AB1266" t="s">
        <v>48</v>
      </c>
      <c r="AC1266">
        <v>0</v>
      </c>
      <c r="AD1266" t="s">
        <v>48</v>
      </c>
      <c r="AE1266">
        <v>0</v>
      </c>
      <c r="AF1266" t="s">
        <v>49</v>
      </c>
    </row>
    <row r="1267" spans="1:32" x14ac:dyDescent="0.25">
      <c r="A1267">
        <v>33</v>
      </c>
      <c r="B1267" t="s">
        <v>32</v>
      </c>
      <c r="C1267" t="s">
        <v>50</v>
      </c>
      <c r="D1267" t="s">
        <v>34</v>
      </c>
      <c r="E1267" t="s">
        <v>52</v>
      </c>
      <c r="F1267">
        <v>4</v>
      </c>
      <c r="G1267" t="s">
        <v>36</v>
      </c>
      <c r="H1267">
        <v>4</v>
      </c>
      <c r="I1267" t="s">
        <v>42</v>
      </c>
      <c r="J1267" t="s">
        <v>54</v>
      </c>
      <c r="K1267">
        <v>3</v>
      </c>
      <c r="L1267" t="s">
        <v>39</v>
      </c>
      <c r="M1267">
        <v>2</v>
      </c>
      <c r="N1267" t="s">
        <v>40</v>
      </c>
      <c r="O1267" t="s">
        <v>56</v>
      </c>
      <c r="P1267">
        <v>2</v>
      </c>
      <c r="Q1267" t="s">
        <v>57</v>
      </c>
      <c r="R1267" t="s">
        <v>67</v>
      </c>
      <c r="S1267">
        <v>5</v>
      </c>
      <c r="T1267" t="s">
        <v>44</v>
      </c>
      <c r="U1267" t="s">
        <v>59</v>
      </c>
      <c r="V1267">
        <v>15</v>
      </c>
      <c r="W1267" t="s">
        <v>45</v>
      </c>
      <c r="X1267">
        <v>11</v>
      </c>
      <c r="Y1267">
        <v>2</v>
      </c>
      <c r="Z1267" t="s">
        <v>46</v>
      </c>
      <c r="AA1267">
        <v>9</v>
      </c>
      <c r="AB1267" t="s">
        <v>47</v>
      </c>
      <c r="AC1267">
        <v>8</v>
      </c>
      <c r="AD1267" t="s">
        <v>47</v>
      </c>
      <c r="AE1267">
        <v>1</v>
      </c>
      <c r="AF1267" t="s">
        <v>49</v>
      </c>
    </row>
    <row r="1268" spans="1:32" x14ac:dyDescent="0.25">
      <c r="A1268">
        <v>41</v>
      </c>
      <c r="B1268" t="s">
        <v>32</v>
      </c>
      <c r="C1268" t="s">
        <v>50</v>
      </c>
      <c r="D1268" t="s">
        <v>34</v>
      </c>
      <c r="E1268" t="s">
        <v>52</v>
      </c>
      <c r="F1268">
        <v>9</v>
      </c>
      <c r="G1268" t="s">
        <v>53</v>
      </c>
      <c r="H1268">
        <v>3</v>
      </c>
      <c r="I1268" t="s">
        <v>42</v>
      </c>
      <c r="J1268" t="s">
        <v>54</v>
      </c>
      <c r="K1268">
        <v>3</v>
      </c>
      <c r="L1268" t="s">
        <v>39</v>
      </c>
      <c r="M1268">
        <v>1</v>
      </c>
      <c r="N1268" t="s">
        <v>40</v>
      </c>
      <c r="O1268" t="s">
        <v>62</v>
      </c>
      <c r="P1268">
        <v>1</v>
      </c>
      <c r="Q1268" t="s">
        <v>57</v>
      </c>
      <c r="R1268" t="s">
        <v>67</v>
      </c>
      <c r="S1268">
        <v>1</v>
      </c>
      <c r="T1268" t="s">
        <v>44</v>
      </c>
      <c r="U1268" t="s">
        <v>59</v>
      </c>
      <c r="V1268">
        <v>20</v>
      </c>
      <c r="W1268" t="s">
        <v>60</v>
      </c>
      <c r="X1268">
        <v>5</v>
      </c>
      <c r="Y1268">
        <v>3</v>
      </c>
      <c r="Z1268" t="s">
        <v>61</v>
      </c>
      <c r="AA1268">
        <v>5</v>
      </c>
      <c r="AB1268" t="s">
        <v>47</v>
      </c>
      <c r="AC1268">
        <v>3</v>
      </c>
      <c r="AD1268" t="s">
        <v>48</v>
      </c>
      <c r="AE1268">
        <v>0</v>
      </c>
      <c r="AF1268" t="s">
        <v>49</v>
      </c>
    </row>
    <row r="1269" spans="1:32" x14ac:dyDescent="0.25">
      <c r="A1269">
        <v>34</v>
      </c>
      <c r="B1269" t="s">
        <v>32</v>
      </c>
      <c r="C1269" t="s">
        <v>50</v>
      </c>
      <c r="D1269" t="s">
        <v>34</v>
      </c>
      <c r="E1269" t="s">
        <v>35</v>
      </c>
      <c r="F1269">
        <v>10</v>
      </c>
      <c r="G1269" t="s">
        <v>53</v>
      </c>
      <c r="H1269">
        <v>4</v>
      </c>
      <c r="I1269" t="s">
        <v>42</v>
      </c>
      <c r="J1269" t="s">
        <v>54</v>
      </c>
      <c r="K1269">
        <v>3</v>
      </c>
      <c r="L1269" t="s">
        <v>39</v>
      </c>
      <c r="M1269">
        <v>2</v>
      </c>
      <c r="N1269" t="s">
        <v>40</v>
      </c>
      <c r="O1269" t="s">
        <v>41</v>
      </c>
      <c r="P1269">
        <v>3</v>
      </c>
      <c r="Q1269" t="s">
        <v>42</v>
      </c>
      <c r="R1269" t="s">
        <v>67</v>
      </c>
      <c r="S1269">
        <v>1</v>
      </c>
      <c r="T1269" t="s">
        <v>44</v>
      </c>
      <c r="U1269" t="s">
        <v>44</v>
      </c>
      <c r="V1269">
        <v>14</v>
      </c>
      <c r="W1269" t="s">
        <v>45</v>
      </c>
      <c r="X1269">
        <v>15</v>
      </c>
      <c r="Y1269">
        <v>3</v>
      </c>
      <c r="Z1269" t="s">
        <v>61</v>
      </c>
      <c r="AA1269">
        <v>15</v>
      </c>
      <c r="AB1269" t="s">
        <v>74</v>
      </c>
      <c r="AC1269">
        <v>14</v>
      </c>
      <c r="AD1269" t="s">
        <v>74</v>
      </c>
      <c r="AE1269">
        <v>0</v>
      </c>
      <c r="AF1269" t="s">
        <v>49</v>
      </c>
    </row>
    <row r="1270" spans="1:32" x14ac:dyDescent="0.25">
      <c r="A1270">
        <v>53</v>
      </c>
      <c r="B1270" t="s">
        <v>64</v>
      </c>
      <c r="C1270" t="s">
        <v>50</v>
      </c>
      <c r="D1270" t="s">
        <v>34</v>
      </c>
      <c r="E1270" t="s">
        <v>52</v>
      </c>
      <c r="F1270">
        <v>1</v>
      </c>
      <c r="G1270" t="s">
        <v>36</v>
      </c>
      <c r="H1270">
        <v>1</v>
      </c>
      <c r="I1270" t="s">
        <v>37</v>
      </c>
      <c r="J1270" t="s">
        <v>38</v>
      </c>
      <c r="K1270">
        <v>2</v>
      </c>
      <c r="L1270" t="s">
        <v>55</v>
      </c>
      <c r="M1270">
        <v>4</v>
      </c>
      <c r="N1270" t="s">
        <v>72</v>
      </c>
      <c r="O1270" t="s">
        <v>69</v>
      </c>
      <c r="P1270">
        <v>3</v>
      </c>
      <c r="Q1270" t="s">
        <v>42</v>
      </c>
      <c r="R1270" t="s">
        <v>58</v>
      </c>
      <c r="S1270">
        <v>4</v>
      </c>
      <c r="T1270" t="s">
        <v>44</v>
      </c>
      <c r="U1270" t="s">
        <v>44</v>
      </c>
      <c r="V1270">
        <v>20</v>
      </c>
      <c r="W1270" t="s">
        <v>60</v>
      </c>
      <c r="X1270">
        <v>27</v>
      </c>
      <c r="Y1270">
        <v>2</v>
      </c>
      <c r="Z1270" t="s">
        <v>46</v>
      </c>
      <c r="AA1270">
        <v>3</v>
      </c>
      <c r="AB1270" t="s">
        <v>48</v>
      </c>
      <c r="AC1270">
        <v>2</v>
      </c>
      <c r="AD1270" t="s">
        <v>48</v>
      </c>
      <c r="AE1270">
        <v>0</v>
      </c>
      <c r="AF1270" t="s">
        <v>49</v>
      </c>
    </row>
    <row r="1271" spans="1:32" x14ac:dyDescent="0.25">
      <c r="A1271">
        <v>43</v>
      </c>
      <c r="B1271" t="s">
        <v>32</v>
      </c>
      <c r="C1271" t="s">
        <v>50</v>
      </c>
      <c r="D1271" t="s">
        <v>34</v>
      </c>
      <c r="E1271" t="s">
        <v>77</v>
      </c>
      <c r="F1271">
        <v>2</v>
      </c>
      <c r="G1271" t="s">
        <v>36</v>
      </c>
      <c r="H1271">
        <v>2</v>
      </c>
      <c r="I1271" t="s">
        <v>37</v>
      </c>
      <c r="J1271" t="s">
        <v>54</v>
      </c>
      <c r="K1271">
        <v>3</v>
      </c>
      <c r="L1271" t="s">
        <v>39</v>
      </c>
      <c r="M1271">
        <v>1</v>
      </c>
      <c r="N1271" t="s">
        <v>40</v>
      </c>
      <c r="O1271" t="s">
        <v>77</v>
      </c>
      <c r="P1271">
        <v>4</v>
      </c>
      <c r="Q1271" t="s">
        <v>42</v>
      </c>
      <c r="R1271" t="s">
        <v>43</v>
      </c>
      <c r="S1271">
        <v>0</v>
      </c>
      <c r="T1271" t="s">
        <v>44</v>
      </c>
      <c r="U1271" t="s">
        <v>59</v>
      </c>
      <c r="V1271">
        <v>13</v>
      </c>
      <c r="W1271" t="s">
        <v>45</v>
      </c>
      <c r="X1271">
        <v>10</v>
      </c>
      <c r="Y1271">
        <v>3</v>
      </c>
      <c r="Z1271" t="s">
        <v>61</v>
      </c>
      <c r="AA1271">
        <v>9</v>
      </c>
      <c r="AB1271" t="s">
        <v>47</v>
      </c>
      <c r="AC1271">
        <v>7</v>
      </c>
      <c r="AD1271" t="s">
        <v>47</v>
      </c>
      <c r="AE1271">
        <v>1</v>
      </c>
      <c r="AF1271" t="s">
        <v>49</v>
      </c>
    </row>
    <row r="1272" spans="1:32" x14ac:dyDescent="0.25">
      <c r="A1272">
        <v>34</v>
      </c>
      <c r="B1272" t="s">
        <v>32</v>
      </c>
      <c r="C1272" t="s">
        <v>50</v>
      </c>
      <c r="D1272" t="s">
        <v>34</v>
      </c>
      <c r="E1272" t="s">
        <v>35</v>
      </c>
      <c r="F1272">
        <v>3</v>
      </c>
      <c r="G1272" t="s">
        <v>36</v>
      </c>
      <c r="H1272">
        <v>4</v>
      </c>
      <c r="I1272" t="s">
        <v>42</v>
      </c>
      <c r="J1272" t="s">
        <v>38</v>
      </c>
      <c r="K1272">
        <v>1</v>
      </c>
      <c r="L1272" t="s">
        <v>55</v>
      </c>
      <c r="M1272">
        <v>2</v>
      </c>
      <c r="N1272" t="s">
        <v>40</v>
      </c>
      <c r="O1272" t="s">
        <v>41</v>
      </c>
      <c r="P1272">
        <v>4</v>
      </c>
      <c r="Q1272" t="s">
        <v>42</v>
      </c>
      <c r="R1272" t="s">
        <v>43</v>
      </c>
      <c r="S1272">
        <v>5</v>
      </c>
      <c r="T1272" t="s">
        <v>44</v>
      </c>
      <c r="U1272" t="s">
        <v>59</v>
      </c>
      <c r="V1272">
        <v>12</v>
      </c>
      <c r="W1272" t="s">
        <v>45</v>
      </c>
      <c r="X1272">
        <v>6</v>
      </c>
      <c r="Y1272">
        <v>3</v>
      </c>
      <c r="Z1272" t="s">
        <v>61</v>
      </c>
      <c r="AA1272">
        <v>2</v>
      </c>
      <c r="AB1272" t="s">
        <v>48</v>
      </c>
      <c r="AC1272">
        <v>2</v>
      </c>
      <c r="AD1272" t="s">
        <v>48</v>
      </c>
      <c r="AE1272">
        <v>2</v>
      </c>
      <c r="AF1272" t="s">
        <v>49</v>
      </c>
    </row>
    <row r="1273" spans="1:32" x14ac:dyDescent="0.25">
      <c r="A1273">
        <v>21</v>
      </c>
      <c r="B1273" t="s">
        <v>63</v>
      </c>
      <c r="C1273" t="s">
        <v>33</v>
      </c>
      <c r="D1273" t="s">
        <v>34</v>
      </c>
      <c r="E1273" t="s">
        <v>35</v>
      </c>
      <c r="F1273">
        <v>7</v>
      </c>
      <c r="G1273" t="s">
        <v>53</v>
      </c>
      <c r="H1273">
        <v>2</v>
      </c>
      <c r="I1273" t="s">
        <v>37</v>
      </c>
      <c r="J1273" t="s">
        <v>54</v>
      </c>
      <c r="K1273">
        <v>3</v>
      </c>
      <c r="L1273" t="s">
        <v>39</v>
      </c>
      <c r="M1273">
        <v>1</v>
      </c>
      <c r="N1273" t="s">
        <v>40</v>
      </c>
      <c r="O1273" t="s">
        <v>75</v>
      </c>
      <c r="P1273">
        <v>2</v>
      </c>
      <c r="Q1273" t="s">
        <v>57</v>
      </c>
      <c r="R1273" t="s">
        <v>43</v>
      </c>
      <c r="S1273">
        <v>1</v>
      </c>
      <c r="T1273" t="s">
        <v>44</v>
      </c>
      <c r="U1273" t="s">
        <v>59</v>
      </c>
      <c r="V1273">
        <v>13</v>
      </c>
      <c r="W1273" t="s">
        <v>45</v>
      </c>
      <c r="X1273">
        <v>1</v>
      </c>
      <c r="Y1273">
        <v>3</v>
      </c>
      <c r="Z1273" t="s">
        <v>61</v>
      </c>
      <c r="AA1273">
        <v>1</v>
      </c>
      <c r="AB1273" t="s">
        <v>48</v>
      </c>
      <c r="AC1273">
        <v>0</v>
      </c>
      <c r="AD1273" t="s">
        <v>48</v>
      </c>
      <c r="AE1273">
        <v>1</v>
      </c>
      <c r="AF1273" t="s">
        <v>49</v>
      </c>
    </row>
    <row r="1274" spans="1:32" x14ac:dyDescent="0.25">
      <c r="A1274">
        <v>38</v>
      </c>
      <c r="B1274" t="s">
        <v>32</v>
      </c>
      <c r="C1274" t="s">
        <v>50</v>
      </c>
      <c r="D1274" t="s">
        <v>34</v>
      </c>
      <c r="E1274" t="s">
        <v>52</v>
      </c>
      <c r="F1274">
        <v>6</v>
      </c>
      <c r="G1274" t="s">
        <v>53</v>
      </c>
      <c r="H1274">
        <v>4</v>
      </c>
      <c r="I1274" t="s">
        <v>42</v>
      </c>
      <c r="J1274" t="s">
        <v>38</v>
      </c>
      <c r="K1274">
        <v>2</v>
      </c>
      <c r="L1274" t="s">
        <v>55</v>
      </c>
      <c r="M1274">
        <v>1</v>
      </c>
      <c r="N1274" t="s">
        <v>40</v>
      </c>
      <c r="O1274" t="s">
        <v>62</v>
      </c>
      <c r="P1274">
        <v>3</v>
      </c>
      <c r="Q1274" t="s">
        <v>42</v>
      </c>
      <c r="R1274" t="s">
        <v>58</v>
      </c>
      <c r="S1274">
        <v>1</v>
      </c>
      <c r="T1274" t="s">
        <v>44</v>
      </c>
      <c r="U1274" t="s">
        <v>59</v>
      </c>
      <c r="V1274">
        <v>11</v>
      </c>
      <c r="W1274" t="s">
        <v>45</v>
      </c>
      <c r="X1274">
        <v>5</v>
      </c>
      <c r="Y1274">
        <v>3</v>
      </c>
      <c r="Z1274" t="s">
        <v>61</v>
      </c>
      <c r="AA1274">
        <v>5</v>
      </c>
      <c r="AB1274" t="s">
        <v>47</v>
      </c>
      <c r="AC1274">
        <v>4</v>
      </c>
      <c r="AD1274" t="s">
        <v>48</v>
      </c>
      <c r="AE1274">
        <v>0</v>
      </c>
      <c r="AF1274" t="s">
        <v>49</v>
      </c>
    </row>
    <row r="1275" spans="1:32" x14ac:dyDescent="0.25">
      <c r="A1275">
        <v>22</v>
      </c>
      <c r="B1275" t="s">
        <v>63</v>
      </c>
      <c r="C1275" t="s">
        <v>33</v>
      </c>
      <c r="D1275" t="s">
        <v>34</v>
      </c>
      <c r="E1275" t="s">
        <v>52</v>
      </c>
      <c r="F1275">
        <v>8</v>
      </c>
      <c r="G1275" t="s">
        <v>53</v>
      </c>
      <c r="H1275">
        <v>3</v>
      </c>
      <c r="I1275" t="s">
        <v>42</v>
      </c>
      <c r="J1275" t="s">
        <v>38</v>
      </c>
      <c r="K1275">
        <v>3</v>
      </c>
      <c r="L1275" t="s">
        <v>39</v>
      </c>
      <c r="M1275">
        <v>1</v>
      </c>
      <c r="N1275" t="s">
        <v>40</v>
      </c>
      <c r="O1275" t="s">
        <v>62</v>
      </c>
      <c r="P1275">
        <v>1</v>
      </c>
      <c r="Q1275" t="s">
        <v>57</v>
      </c>
      <c r="R1275" t="s">
        <v>58</v>
      </c>
      <c r="S1275">
        <v>1</v>
      </c>
      <c r="T1275" t="s">
        <v>44</v>
      </c>
      <c r="U1275" t="s">
        <v>44</v>
      </c>
      <c r="V1275">
        <v>17</v>
      </c>
      <c r="W1275" t="s">
        <v>45</v>
      </c>
      <c r="X1275">
        <v>1</v>
      </c>
      <c r="Y1275">
        <v>3</v>
      </c>
      <c r="Z1275" t="s">
        <v>61</v>
      </c>
      <c r="AA1275">
        <v>1</v>
      </c>
      <c r="AB1275" t="s">
        <v>48</v>
      </c>
      <c r="AC1275">
        <v>0</v>
      </c>
      <c r="AD1275" t="s">
        <v>48</v>
      </c>
      <c r="AE1275">
        <v>0</v>
      </c>
      <c r="AF1275" t="s">
        <v>49</v>
      </c>
    </row>
    <row r="1276" spans="1:32" x14ac:dyDescent="0.25">
      <c r="A1276">
        <v>31</v>
      </c>
      <c r="B1276" t="s">
        <v>32</v>
      </c>
      <c r="C1276" t="s">
        <v>50</v>
      </c>
      <c r="D1276" t="s">
        <v>34</v>
      </c>
      <c r="E1276" t="s">
        <v>35</v>
      </c>
      <c r="F1276">
        <v>29</v>
      </c>
      <c r="G1276" t="s">
        <v>66</v>
      </c>
      <c r="H1276">
        <v>1</v>
      </c>
      <c r="I1276" t="s">
        <v>37</v>
      </c>
      <c r="J1276" t="s">
        <v>38</v>
      </c>
      <c r="K1276">
        <v>2</v>
      </c>
      <c r="L1276" t="s">
        <v>55</v>
      </c>
      <c r="M1276">
        <v>2</v>
      </c>
      <c r="N1276" t="s">
        <v>40</v>
      </c>
      <c r="O1276" t="s">
        <v>41</v>
      </c>
      <c r="P1276">
        <v>4</v>
      </c>
      <c r="Q1276" t="s">
        <v>42</v>
      </c>
      <c r="R1276" t="s">
        <v>58</v>
      </c>
      <c r="S1276">
        <v>1</v>
      </c>
      <c r="T1276" t="s">
        <v>44</v>
      </c>
      <c r="U1276" t="s">
        <v>59</v>
      </c>
      <c r="V1276">
        <v>14</v>
      </c>
      <c r="W1276" t="s">
        <v>45</v>
      </c>
      <c r="X1276">
        <v>13</v>
      </c>
      <c r="Y1276">
        <v>3</v>
      </c>
      <c r="Z1276" t="s">
        <v>61</v>
      </c>
      <c r="AA1276">
        <v>12</v>
      </c>
      <c r="AB1276" t="s">
        <v>74</v>
      </c>
      <c r="AC1276">
        <v>7</v>
      </c>
      <c r="AD1276" t="s">
        <v>47</v>
      </c>
      <c r="AE1276">
        <v>5</v>
      </c>
      <c r="AF1276" t="s">
        <v>71</v>
      </c>
    </row>
    <row r="1277" spans="1:32" x14ac:dyDescent="0.25">
      <c r="A1277">
        <v>51</v>
      </c>
      <c r="B1277" t="s">
        <v>64</v>
      </c>
      <c r="C1277" t="s">
        <v>50</v>
      </c>
      <c r="D1277" t="s">
        <v>34</v>
      </c>
      <c r="E1277" t="s">
        <v>52</v>
      </c>
      <c r="F1277">
        <v>3</v>
      </c>
      <c r="G1277" t="s">
        <v>36</v>
      </c>
      <c r="H1277">
        <v>1</v>
      </c>
      <c r="I1277" t="s">
        <v>37</v>
      </c>
      <c r="J1277" t="s">
        <v>38</v>
      </c>
      <c r="K1277">
        <v>3</v>
      </c>
      <c r="L1277" t="s">
        <v>39</v>
      </c>
      <c r="M1277">
        <v>3</v>
      </c>
      <c r="N1277" t="s">
        <v>68</v>
      </c>
      <c r="O1277" t="s">
        <v>73</v>
      </c>
      <c r="P1277">
        <v>3</v>
      </c>
      <c r="Q1277" t="s">
        <v>42</v>
      </c>
      <c r="R1277" t="s">
        <v>58</v>
      </c>
      <c r="S1277">
        <v>2</v>
      </c>
      <c r="T1277" t="s">
        <v>44</v>
      </c>
      <c r="U1277" t="s">
        <v>59</v>
      </c>
      <c r="V1277">
        <v>11</v>
      </c>
      <c r="W1277" t="s">
        <v>45</v>
      </c>
      <c r="X1277">
        <v>15</v>
      </c>
      <c r="Y1277">
        <v>3</v>
      </c>
      <c r="Z1277" t="s">
        <v>61</v>
      </c>
      <c r="AA1277">
        <v>2</v>
      </c>
      <c r="AB1277" t="s">
        <v>48</v>
      </c>
      <c r="AC1277">
        <v>2</v>
      </c>
      <c r="AD1277" t="s">
        <v>48</v>
      </c>
      <c r="AE1277">
        <v>2</v>
      </c>
      <c r="AF1277" t="s">
        <v>49</v>
      </c>
    </row>
    <row r="1278" spans="1:32" x14ac:dyDescent="0.25">
      <c r="A1278">
        <v>37</v>
      </c>
      <c r="B1278" t="s">
        <v>32</v>
      </c>
      <c r="C1278" t="s">
        <v>50</v>
      </c>
      <c r="D1278" t="s">
        <v>34</v>
      </c>
      <c r="E1278" t="s">
        <v>35</v>
      </c>
      <c r="F1278">
        <v>9</v>
      </c>
      <c r="G1278" t="s">
        <v>53</v>
      </c>
      <c r="H1278">
        <v>2</v>
      </c>
      <c r="I1278" t="s">
        <v>37</v>
      </c>
      <c r="J1278" t="s">
        <v>54</v>
      </c>
      <c r="K1278">
        <v>2</v>
      </c>
      <c r="L1278" t="s">
        <v>55</v>
      </c>
      <c r="M1278">
        <v>2</v>
      </c>
      <c r="N1278" t="s">
        <v>40</v>
      </c>
      <c r="O1278" t="s">
        <v>41</v>
      </c>
      <c r="P1278">
        <v>2</v>
      </c>
      <c r="Q1278" t="s">
        <v>57</v>
      </c>
      <c r="R1278" t="s">
        <v>58</v>
      </c>
      <c r="S1278">
        <v>1</v>
      </c>
      <c r="T1278" t="s">
        <v>44</v>
      </c>
      <c r="U1278" t="s">
        <v>59</v>
      </c>
      <c r="V1278">
        <v>14</v>
      </c>
      <c r="W1278" t="s">
        <v>45</v>
      </c>
      <c r="X1278">
        <v>5</v>
      </c>
      <c r="Y1278">
        <v>3</v>
      </c>
      <c r="Z1278" t="s">
        <v>61</v>
      </c>
      <c r="AA1278">
        <v>5</v>
      </c>
      <c r="AB1278" t="s">
        <v>47</v>
      </c>
      <c r="AC1278">
        <v>2</v>
      </c>
      <c r="AD1278" t="s">
        <v>48</v>
      </c>
      <c r="AE1278">
        <v>0</v>
      </c>
      <c r="AF1278" t="s">
        <v>49</v>
      </c>
    </row>
    <row r="1279" spans="1:32" x14ac:dyDescent="0.25">
      <c r="A1279">
        <v>46</v>
      </c>
      <c r="B1279" t="s">
        <v>32</v>
      </c>
      <c r="C1279" t="s">
        <v>50</v>
      </c>
      <c r="D1279" t="s">
        <v>34</v>
      </c>
      <c r="E1279" t="s">
        <v>52</v>
      </c>
      <c r="F1279">
        <v>2</v>
      </c>
      <c r="G1279" t="s">
        <v>36</v>
      </c>
      <c r="H1279">
        <v>3</v>
      </c>
      <c r="I1279" t="s">
        <v>42</v>
      </c>
      <c r="J1279" t="s">
        <v>54</v>
      </c>
      <c r="K1279">
        <v>3</v>
      </c>
      <c r="L1279" t="s">
        <v>39</v>
      </c>
      <c r="M1279">
        <v>5</v>
      </c>
      <c r="N1279" t="s">
        <v>72</v>
      </c>
      <c r="O1279" t="s">
        <v>76</v>
      </c>
      <c r="P1279">
        <v>4</v>
      </c>
      <c r="Q1279" t="s">
        <v>42</v>
      </c>
      <c r="R1279" t="s">
        <v>67</v>
      </c>
      <c r="S1279">
        <v>7</v>
      </c>
      <c r="T1279" t="s">
        <v>44</v>
      </c>
      <c r="U1279" t="s">
        <v>44</v>
      </c>
      <c r="V1279">
        <v>17</v>
      </c>
      <c r="W1279" t="s">
        <v>45</v>
      </c>
      <c r="X1279">
        <v>24</v>
      </c>
      <c r="Y1279">
        <v>3</v>
      </c>
      <c r="Z1279" t="s">
        <v>61</v>
      </c>
      <c r="AA1279">
        <v>2</v>
      </c>
      <c r="AB1279" t="s">
        <v>48</v>
      </c>
      <c r="AC1279">
        <v>1</v>
      </c>
      <c r="AD1279" t="s">
        <v>48</v>
      </c>
      <c r="AE1279">
        <v>2</v>
      </c>
      <c r="AF1279" t="s">
        <v>49</v>
      </c>
    </row>
    <row r="1280" spans="1:32" x14ac:dyDescent="0.25">
      <c r="A1280">
        <v>36</v>
      </c>
      <c r="B1280" t="s">
        <v>32</v>
      </c>
      <c r="C1280" t="s">
        <v>50</v>
      </c>
      <c r="D1280" t="s">
        <v>34</v>
      </c>
      <c r="E1280" t="s">
        <v>52</v>
      </c>
      <c r="F1280">
        <v>10</v>
      </c>
      <c r="G1280" t="s">
        <v>53</v>
      </c>
      <c r="H1280">
        <v>4</v>
      </c>
      <c r="I1280" t="s">
        <v>42</v>
      </c>
      <c r="J1280" t="s">
        <v>54</v>
      </c>
      <c r="K1280">
        <v>3</v>
      </c>
      <c r="L1280" t="s">
        <v>39</v>
      </c>
      <c r="M1280">
        <v>3</v>
      </c>
      <c r="N1280" t="s">
        <v>68</v>
      </c>
      <c r="O1280" t="s">
        <v>70</v>
      </c>
      <c r="P1280">
        <v>1</v>
      </c>
      <c r="Q1280" t="s">
        <v>57</v>
      </c>
      <c r="R1280" t="s">
        <v>58</v>
      </c>
      <c r="S1280">
        <v>7</v>
      </c>
      <c r="T1280" t="s">
        <v>44</v>
      </c>
      <c r="U1280" t="s">
        <v>44</v>
      </c>
      <c r="V1280">
        <v>13</v>
      </c>
      <c r="W1280" t="s">
        <v>45</v>
      </c>
      <c r="X1280">
        <v>15</v>
      </c>
      <c r="Y1280">
        <v>3</v>
      </c>
      <c r="Z1280" t="s">
        <v>61</v>
      </c>
      <c r="AA1280">
        <v>12</v>
      </c>
      <c r="AB1280" t="s">
        <v>74</v>
      </c>
      <c r="AC1280">
        <v>8</v>
      </c>
      <c r="AD1280" t="s">
        <v>47</v>
      </c>
      <c r="AE1280">
        <v>5</v>
      </c>
      <c r="AF1280" t="s">
        <v>71</v>
      </c>
    </row>
    <row r="1281" spans="1:32" x14ac:dyDescent="0.25">
      <c r="A1281">
        <v>44</v>
      </c>
      <c r="B1281" t="s">
        <v>32</v>
      </c>
      <c r="C1281" t="s">
        <v>33</v>
      </c>
      <c r="D1281" t="s">
        <v>51</v>
      </c>
      <c r="E1281" t="s">
        <v>52</v>
      </c>
      <c r="F1281">
        <v>1</v>
      </c>
      <c r="G1281" t="s">
        <v>36</v>
      </c>
      <c r="H1281">
        <v>3</v>
      </c>
      <c r="I1281" t="s">
        <v>42</v>
      </c>
      <c r="J1281" t="s">
        <v>54</v>
      </c>
      <c r="K1281">
        <v>3</v>
      </c>
      <c r="L1281" t="s">
        <v>39</v>
      </c>
      <c r="M1281">
        <v>1</v>
      </c>
      <c r="N1281" t="s">
        <v>40</v>
      </c>
      <c r="O1281" t="s">
        <v>56</v>
      </c>
      <c r="P1281">
        <v>2</v>
      </c>
      <c r="Q1281" t="s">
        <v>57</v>
      </c>
      <c r="R1281" t="s">
        <v>67</v>
      </c>
      <c r="S1281">
        <v>1</v>
      </c>
      <c r="T1281" t="s">
        <v>44</v>
      </c>
      <c r="U1281" t="s">
        <v>44</v>
      </c>
      <c r="V1281">
        <v>12</v>
      </c>
      <c r="W1281" t="s">
        <v>45</v>
      </c>
      <c r="X1281">
        <v>6</v>
      </c>
      <c r="Y1281">
        <v>2</v>
      </c>
      <c r="Z1281" t="s">
        <v>46</v>
      </c>
      <c r="AA1281">
        <v>5</v>
      </c>
      <c r="AB1281" t="s">
        <v>47</v>
      </c>
      <c r="AC1281">
        <v>3</v>
      </c>
      <c r="AD1281" t="s">
        <v>48</v>
      </c>
      <c r="AE1281">
        <v>2</v>
      </c>
      <c r="AF1281" t="s">
        <v>49</v>
      </c>
    </row>
    <row r="1282" spans="1:32" x14ac:dyDescent="0.25">
      <c r="A1282">
        <v>37</v>
      </c>
      <c r="B1282" t="s">
        <v>32</v>
      </c>
      <c r="C1282" t="s">
        <v>50</v>
      </c>
      <c r="D1282" t="s">
        <v>34</v>
      </c>
      <c r="E1282" t="s">
        <v>77</v>
      </c>
      <c r="F1282">
        <v>8</v>
      </c>
      <c r="G1282" t="s">
        <v>53</v>
      </c>
      <c r="H1282">
        <v>3</v>
      </c>
      <c r="I1282" t="s">
        <v>42</v>
      </c>
      <c r="J1282" t="s">
        <v>54</v>
      </c>
      <c r="K1282">
        <v>3</v>
      </c>
      <c r="L1282" t="s">
        <v>39</v>
      </c>
      <c r="M1282">
        <v>2</v>
      </c>
      <c r="N1282" t="s">
        <v>40</v>
      </c>
      <c r="O1282" t="s">
        <v>77</v>
      </c>
      <c r="P1282">
        <v>2</v>
      </c>
      <c r="Q1282" t="s">
        <v>57</v>
      </c>
      <c r="R1282" t="s">
        <v>67</v>
      </c>
      <c r="S1282">
        <v>2</v>
      </c>
      <c r="T1282" t="s">
        <v>44</v>
      </c>
      <c r="U1282" t="s">
        <v>59</v>
      </c>
      <c r="V1282">
        <v>13</v>
      </c>
      <c r="W1282" t="s">
        <v>45</v>
      </c>
      <c r="X1282">
        <v>19</v>
      </c>
      <c r="Y1282">
        <v>2</v>
      </c>
      <c r="Z1282" t="s">
        <v>46</v>
      </c>
      <c r="AA1282">
        <v>10</v>
      </c>
      <c r="AB1282" t="s">
        <v>47</v>
      </c>
      <c r="AC1282">
        <v>0</v>
      </c>
      <c r="AD1282" t="s">
        <v>48</v>
      </c>
      <c r="AE1282">
        <v>4</v>
      </c>
      <c r="AF1282" t="s">
        <v>71</v>
      </c>
    </row>
    <row r="1283" spans="1:32" x14ac:dyDescent="0.25">
      <c r="A1283">
        <v>35</v>
      </c>
      <c r="B1283" t="s">
        <v>32</v>
      </c>
      <c r="C1283" t="s">
        <v>33</v>
      </c>
      <c r="D1283" t="s">
        <v>34</v>
      </c>
      <c r="E1283" t="s">
        <v>35</v>
      </c>
      <c r="F1283">
        <v>27</v>
      </c>
      <c r="G1283" t="s">
        <v>66</v>
      </c>
      <c r="H1283">
        <v>3</v>
      </c>
      <c r="I1283" t="s">
        <v>42</v>
      </c>
      <c r="J1283" t="s">
        <v>54</v>
      </c>
      <c r="K1283">
        <v>3</v>
      </c>
      <c r="L1283" t="s">
        <v>39</v>
      </c>
      <c r="M1283">
        <v>2</v>
      </c>
      <c r="N1283" t="s">
        <v>40</v>
      </c>
      <c r="O1283" t="s">
        <v>41</v>
      </c>
      <c r="P1283">
        <v>4</v>
      </c>
      <c r="Q1283" t="s">
        <v>42</v>
      </c>
      <c r="R1283" t="s">
        <v>43</v>
      </c>
      <c r="S1283">
        <v>1</v>
      </c>
      <c r="T1283" t="s">
        <v>44</v>
      </c>
      <c r="U1283" t="s">
        <v>44</v>
      </c>
      <c r="V1283">
        <v>18</v>
      </c>
      <c r="W1283" t="s">
        <v>45</v>
      </c>
      <c r="X1283">
        <v>10</v>
      </c>
      <c r="Y1283">
        <v>3</v>
      </c>
      <c r="Z1283" t="s">
        <v>61</v>
      </c>
      <c r="AA1283">
        <v>10</v>
      </c>
      <c r="AB1283" t="s">
        <v>47</v>
      </c>
      <c r="AC1283">
        <v>7</v>
      </c>
      <c r="AD1283" t="s">
        <v>47</v>
      </c>
      <c r="AE1283">
        <v>7</v>
      </c>
      <c r="AF1283" t="s">
        <v>71</v>
      </c>
    </row>
    <row r="1284" spans="1:32" x14ac:dyDescent="0.25">
      <c r="A1284">
        <v>33</v>
      </c>
      <c r="B1284" t="s">
        <v>32</v>
      </c>
      <c r="C1284" t="s">
        <v>50</v>
      </c>
      <c r="D1284" t="s">
        <v>34</v>
      </c>
      <c r="E1284" t="s">
        <v>52</v>
      </c>
      <c r="F1284">
        <v>8</v>
      </c>
      <c r="G1284" t="s">
        <v>53</v>
      </c>
      <c r="H1284">
        <v>4</v>
      </c>
      <c r="I1284" t="s">
        <v>42</v>
      </c>
      <c r="J1284" t="s">
        <v>54</v>
      </c>
      <c r="K1284">
        <v>4</v>
      </c>
      <c r="L1284" t="s">
        <v>65</v>
      </c>
      <c r="M1284">
        <v>1</v>
      </c>
      <c r="N1284" t="s">
        <v>40</v>
      </c>
      <c r="O1284" t="s">
        <v>56</v>
      </c>
      <c r="P1284">
        <v>1</v>
      </c>
      <c r="Q1284" t="s">
        <v>57</v>
      </c>
      <c r="R1284" t="s">
        <v>58</v>
      </c>
      <c r="S1284">
        <v>6</v>
      </c>
      <c r="T1284" t="s">
        <v>44</v>
      </c>
      <c r="U1284" t="s">
        <v>59</v>
      </c>
      <c r="V1284">
        <v>19</v>
      </c>
      <c r="W1284" t="s">
        <v>45</v>
      </c>
      <c r="X1284">
        <v>14</v>
      </c>
      <c r="Y1284">
        <v>3</v>
      </c>
      <c r="Z1284" t="s">
        <v>61</v>
      </c>
      <c r="AA1284">
        <v>10</v>
      </c>
      <c r="AB1284" t="s">
        <v>47</v>
      </c>
      <c r="AC1284">
        <v>8</v>
      </c>
      <c r="AD1284" t="s">
        <v>47</v>
      </c>
      <c r="AE1284">
        <v>7</v>
      </c>
      <c r="AF1284" t="s">
        <v>71</v>
      </c>
    </row>
    <row r="1285" spans="1:32" x14ac:dyDescent="0.25">
      <c r="A1285">
        <v>28</v>
      </c>
      <c r="B1285" t="s">
        <v>63</v>
      </c>
      <c r="C1285" t="s">
        <v>50</v>
      </c>
      <c r="D1285" t="s">
        <v>34</v>
      </c>
      <c r="E1285" t="s">
        <v>52</v>
      </c>
      <c r="F1285">
        <v>1</v>
      </c>
      <c r="G1285" t="s">
        <v>36</v>
      </c>
      <c r="H1285">
        <v>3</v>
      </c>
      <c r="I1285" t="s">
        <v>42</v>
      </c>
      <c r="J1285" t="s">
        <v>54</v>
      </c>
      <c r="K1285">
        <v>3</v>
      </c>
      <c r="L1285" t="s">
        <v>39</v>
      </c>
      <c r="M1285">
        <v>1</v>
      </c>
      <c r="N1285" t="s">
        <v>40</v>
      </c>
      <c r="O1285" t="s">
        <v>56</v>
      </c>
      <c r="P1285">
        <v>4</v>
      </c>
      <c r="Q1285" t="s">
        <v>42</v>
      </c>
      <c r="R1285" t="s">
        <v>58</v>
      </c>
      <c r="S1285">
        <v>1</v>
      </c>
      <c r="T1285" t="s">
        <v>44</v>
      </c>
      <c r="U1285" t="s">
        <v>59</v>
      </c>
      <c r="V1285">
        <v>11</v>
      </c>
      <c r="W1285" t="s">
        <v>45</v>
      </c>
      <c r="X1285">
        <v>5</v>
      </c>
      <c r="Y1285">
        <v>4</v>
      </c>
      <c r="Z1285" t="s">
        <v>61</v>
      </c>
      <c r="AA1285">
        <v>5</v>
      </c>
      <c r="AB1285" t="s">
        <v>47</v>
      </c>
      <c r="AC1285">
        <v>3</v>
      </c>
      <c r="AD1285" t="s">
        <v>48</v>
      </c>
      <c r="AE1285">
        <v>0</v>
      </c>
      <c r="AF1285" t="s">
        <v>49</v>
      </c>
    </row>
    <row r="1286" spans="1:32" x14ac:dyDescent="0.25">
      <c r="A1286">
        <v>39</v>
      </c>
      <c r="B1286" t="s">
        <v>32</v>
      </c>
      <c r="C1286" t="s">
        <v>50</v>
      </c>
      <c r="D1286" t="s">
        <v>34</v>
      </c>
      <c r="E1286" t="s">
        <v>52</v>
      </c>
      <c r="F1286">
        <v>10</v>
      </c>
      <c r="G1286" t="s">
        <v>53</v>
      </c>
      <c r="H1286">
        <v>3</v>
      </c>
      <c r="I1286" t="s">
        <v>42</v>
      </c>
      <c r="J1286" t="s">
        <v>54</v>
      </c>
      <c r="K1286">
        <v>3</v>
      </c>
      <c r="L1286" t="s">
        <v>39</v>
      </c>
      <c r="M1286">
        <v>3</v>
      </c>
      <c r="N1286" t="s">
        <v>68</v>
      </c>
      <c r="O1286" t="s">
        <v>76</v>
      </c>
      <c r="P1286">
        <v>3</v>
      </c>
      <c r="Q1286" t="s">
        <v>42</v>
      </c>
      <c r="R1286" t="s">
        <v>43</v>
      </c>
      <c r="S1286">
        <v>7</v>
      </c>
      <c r="T1286" t="s">
        <v>44</v>
      </c>
      <c r="U1286" t="s">
        <v>59</v>
      </c>
      <c r="V1286">
        <v>21</v>
      </c>
      <c r="W1286" t="s">
        <v>60</v>
      </c>
      <c r="X1286">
        <v>9</v>
      </c>
      <c r="Y1286">
        <v>3</v>
      </c>
      <c r="Z1286" t="s">
        <v>61</v>
      </c>
      <c r="AA1286">
        <v>4</v>
      </c>
      <c r="AB1286" t="s">
        <v>48</v>
      </c>
      <c r="AC1286">
        <v>3</v>
      </c>
      <c r="AD1286" t="s">
        <v>48</v>
      </c>
      <c r="AE1286">
        <v>2</v>
      </c>
      <c r="AF1286" t="s">
        <v>49</v>
      </c>
    </row>
    <row r="1287" spans="1:32" x14ac:dyDescent="0.25">
      <c r="A1287">
        <v>46</v>
      </c>
      <c r="B1287" t="s">
        <v>32</v>
      </c>
      <c r="C1287" t="s">
        <v>50</v>
      </c>
      <c r="D1287" t="s">
        <v>34</v>
      </c>
      <c r="E1287" t="s">
        <v>35</v>
      </c>
      <c r="F1287">
        <v>26</v>
      </c>
      <c r="G1287" t="s">
        <v>66</v>
      </c>
      <c r="H1287">
        <v>2</v>
      </c>
      <c r="I1287" t="s">
        <v>37</v>
      </c>
      <c r="J1287" t="s">
        <v>54</v>
      </c>
      <c r="K1287">
        <v>2</v>
      </c>
      <c r="L1287" t="s">
        <v>55</v>
      </c>
      <c r="M1287">
        <v>2</v>
      </c>
      <c r="N1287" t="s">
        <v>40</v>
      </c>
      <c r="O1287" t="s">
        <v>41</v>
      </c>
      <c r="P1287">
        <v>2</v>
      </c>
      <c r="Q1287" t="s">
        <v>57</v>
      </c>
      <c r="R1287" t="s">
        <v>43</v>
      </c>
      <c r="S1287">
        <v>8</v>
      </c>
      <c r="T1287" t="s">
        <v>44</v>
      </c>
      <c r="U1287" t="s">
        <v>59</v>
      </c>
      <c r="V1287">
        <v>15</v>
      </c>
      <c r="W1287" t="s">
        <v>45</v>
      </c>
      <c r="X1287">
        <v>6</v>
      </c>
      <c r="Y1287">
        <v>3</v>
      </c>
      <c r="Z1287" t="s">
        <v>61</v>
      </c>
      <c r="AA1287">
        <v>2</v>
      </c>
      <c r="AB1287" t="s">
        <v>48</v>
      </c>
      <c r="AC1287">
        <v>2</v>
      </c>
      <c r="AD1287" t="s">
        <v>48</v>
      </c>
      <c r="AE1287">
        <v>2</v>
      </c>
      <c r="AF1287" t="s">
        <v>49</v>
      </c>
    </row>
    <row r="1288" spans="1:32" x14ac:dyDescent="0.25">
      <c r="A1288">
        <v>40</v>
      </c>
      <c r="B1288" t="s">
        <v>32</v>
      </c>
      <c r="C1288" t="s">
        <v>50</v>
      </c>
      <c r="D1288" t="s">
        <v>34</v>
      </c>
      <c r="E1288" t="s">
        <v>52</v>
      </c>
      <c r="F1288">
        <v>2</v>
      </c>
      <c r="G1288" t="s">
        <v>36</v>
      </c>
      <c r="H1288">
        <v>3</v>
      </c>
      <c r="I1288" t="s">
        <v>42</v>
      </c>
      <c r="J1288" t="s">
        <v>38</v>
      </c>
      <c r="K1288">
        <v>3</v>
      </c>
      <c r="L1288" t="s">
        <v>39</v>
      </c>
      <c r="M1288">
        <v>1</v>
      </c>
      <c r="N1288" t="s">
        <v>40</v>
      </c>
      <c r="O1288" t="s">
        <v>62</v>
      </c>
      <c r="P1288">
        <v>1</v>
      </c>
      <c r="Q1288" t="s">
        <v>57</v>
      </c>
      <c r="R1288" t="s">
        <v>58</v>
      </c>
      <c r="S1288">
        <v>4</v>
      </c>
      <c r="T1288" t="s">
        <v>44</v>
      </c>
      <c r="U1288" t="s">
        <v>59</v>
      </c>
      <c r="V1288">
        <v>17</v>
      </c>
      <c r="W1288" t="s">
        <v>45</v>
      </c>
      <c r="X1288">
        <v>7</v>
      </c>
      <c r="Y1288">
        <v>2</v>
      </c>
      <c r="Z1288" t="s">
        <v>46</v>
      </c>
      <c r="AA1288">
        <v>4</v>
      </c>
      <c r="AB1288" t="s">
        <v>48</v>
      </c>
      <c r="AC1288">
        <v>3</v>
      </c>
      <c r="AD1288" t="s">
        <v>48</v>
      </c>
      <c r="AE1288">
        <v>0</v>
      </c>
      <c r="AF1288" t="s">
        <v>49</v>
      </c>
    </row>
    <row r="1289" spans="1:32" x14ac:dyDescent="0.25">
      <c r="A1289">
        <v>42</v>
      </c>
      <c r="B1289" t="s">
        <v>32</v>
      </c>
      <c r="C1289" t="s">
        <v>50</v>
      </c>
      <c r="D1289" t="s">
        <v>34</v>
      </c>
      <c r="E1289" t="s">
        <v>52</v>
      </c>
      <c r="F1289">
        <v>13</v>
      </c>
      <c r="G1289" t="s">
        <v>53</v>
      </c>
      <c r="H1289">
        <v>2</v>
      </c>
      <c r="I1289" t="s">
        <v>37</v>
      </c>
      <c r="J1289" t="s">
        <v>54</v>
      </c>
      <c r="K1289">
        <v>4</v>
      </c>
      <c r="L1289" t="s">
        <v>65</v>
      </c>
      <c r="M1289">
        <v>2</v>
      </c>
      <c r="N1289" t="s">
        <v>40</v>
      </c>
      <c r="O1289" t="s">
        <v>70</v>
      </c>
      <c r="P1289">
        <v>1</v>
      </c>
      <c r="Q1289" t="s">
        <v>57</v>
      </c>
      <c r="R1289" t="s">
        <v>58</v>
      </c>
      <c r="S1289">
        <v>5</v>
      </c>
      <c r="T1289" t="s">
        <v>44</v>
      </c>
      <c r="U1289" t="s">
        <v>59</v>
      </c>
      <c r="V1289">
        <v>18</v>
      </c>
      <c r="W1289" t="s">
        <v>45</v>
      </c>
      <c r="X1289">
        <v>10</v>
      </c>
      <c r="Y1289">
        <v>2</v>
      </c>
      <c r="Z1289" t="s">
        <v>46</v>
      </c>
      <c r="AA1289">
        <v>0</v>
      </c>
      <c r="AB1289" t="s">
        <v>48</v>
      </c>
      <c r="AC1289">
        <v>0</v>
      </c>
      <c r="AD1289" t="s">
        <v>48</v>
      </c>
      <c r="AE1289">
        <v>0</v>
      </c>
      <c r="AF1289" t="s">
        <v>49</v>
      </c>
    </row>
    <row r="1290" spans="1:32" x14ac:dyDescent="0.25">
      <c r="A1290">
        <v>35</v>
      </c>
      <c r="B1290" t="s">
        <v>32</v>
      </c>
      <c r="C1290" t="s">
        <v>50</v>
      </c>
      <c r="D1290" t="s">
        <v>34</v>
      </c>
      <c r="E1290" t="s">
        <v>52</v>
      </c>
      <c r="F1290">
        <v>2</v>
      </c>
      <c r="G1290" t="s">
        <v>36</v>
      </c>
      <c r="H1290">
        <v>2</v>
      </c>
      <c r="I1290" t="s">
        <v>37</v>
      </c>
      <c r="J1290" t="s">
        <v>54</v>
      </c>
      <c r="K1290">
        <v>3</v>
      </c>
      <c r="L1290" t="s">
        <v>39</v>
      </c>
      <c r="M1290">
        <v>2</v>
      </c>
      <c r="N1290" t="s">
        <v>40</v>
      </c>
      <c r="O1290" t="s">
        <v>69</v>
      </c>
      <c r="P1290">
        <v>4</v>
      </c>
      <c r="Q1290" t="s">
        <v>42</v>
      </c>
      <c r="R1290" t="s">
        <v>67</v>
      </c>
      <c r="S1290">
        <v>2</v>
      </c>
      <c r="T1290" t="s">
        <v>44</v>
      </c>
      <c r="U1290" t="s">
        <v>59</v>
      </c>
      <c r="V1290">
        <v>14</v>
      </c>
      <c r="W1290" t="s">
        <v>45</v>
      </c>
      <c r="X1290">
        <v>15</v>
      </c>
      <c r="Y1290">
        <v>3</v>
      </c>
      <c r="Z1290" t="s">
        <v>61</v>
      </c>
      <c r="AA1290">
        <v>7</v>
      </c>
      <c r="AB1290" t="s">
        <v>47</v>
      </c>
      <c r="AC1290">
        <v>7</v>
      </c>
      <c r="AD1290" t="s">
        <v>47</v>
      </c>
      <c r="AE1290">
        <v>1</v>
      </c>
      <c r="AF1290" t="s">
        <v>49</v>
      </c>
    </row>
    <row r="1291" spans="1:32" x14ac:dyDescent="0.25">
      <c r="A1291">
        <v>38</v>
      </c>
      <c r="B1291" t="s">
        <v>32</v>
      </c>
      <c r="C1291" t="s">
        <v>50</v>
      </c>
      <c r="D1291" t="s">
        <v>34</v>
      </c>
      <c r="E1291" t="s">
        <v>77</v>
      </c>
      <c r="F1291">
        <v>2</v>
      </c>
      <c r="G1291" t="s">
        <v>36</v>
      </c>
      <c r="H1291">
        <v>1</v>
      </c>
      <c r="I1291" t="s">
        <v>37</v>
      </c>
      <c r="J1291" t="s">
        <v>54</v>
      </c>
      <c r="K1291">
        <v>3</v>
      </c>
      <c r="L1291" t="s">
        <v>39</v>
      </c>
      <c r="M1291">
        <v>1</v>
      </c>
      <c r="N1291" t="s">
        <v>40</v>
      </c>
      <c r="O1291" t="s">
        <v>77</v>
      </c>
      <c r="P1291">
        <v>2</v>
      </c>
      <c r="Q1291" t="s">
        <v>57</v>
      </c>
      <c r="R1291" t="s">
        <v>67</v>
      </c>
      <c r="S1291">
        <v>5</v>
      </c>
      <c r="T1291" t="s">
        <v>44</v>
      </c>
      <c r="U1291" t="s">
        <v>59</v>
      </c>
      <c r="V1291">
        <v>13</v>
      </c>
      <c r="W1291" t="s">
        <v>45</v>
      </c>
      <c r="X1291">
        <v>13</v>
      </c>
      <c r="Y1291">
        <v>3</v>
      </c>
      <c r="Z1291" t="s">
        <v>61</v>
      </c>
      <c r="AA1291">
        <v>11</v>
      </c>
      <c r="AB1291" t="s">
        <v>74</v>
      </c>
      <c r="AC1291">
        <v>10</v>
      </c>
      <c r="AD1291" t="s">
        <v>47</v>
      </c>
      <c r="AE1291">
        <v>3</v>
      </c>
      <c r="AF1291" t="s">
        <v>49</v>
      </c>
    </row>
    <row r="1292" spans="1:32" x14ac:dyDescent="0.25">
      <c r="A1292">
        <v>34</v>
      </c>
      <c r="B1292" t="s">
        <v>32</v>
      </c>
      <c r="C1292" t="s">
        <v>33</v>
      </c>
      <c r="D1292" t="s">
        <v>51</v>
      </c>
      <c r="E1292" t="s">
        <v>52</v>
      </c>
      <c r="F1292">
        <v>9</v>
      </c>
      <c r="G1292" t="s">
        <v>53</v>
      </c>
      <c r="H1292">
        <v>4</v>
      </c>
      <c r="I1292" t="s">
        <v>42</v>
      </c>
      <c r="J1292" t="s">
        <v>54</v>
      </c>
      <c r="K1292">
        <v>3</v>
      </c>
      <c r="L1292" t="s">
        <v>39</v>
      </c>
      <c r="M1292">
        <v>2</v>
      </c>
      <c r="N1292" t="s">
        <v>40</v>
      </c>
      <c r="O1292" t="s">
        <v>62</v>
      </c>
      <c r="P1292">
        <v>1</v>
      </c>
      <c r="Q1292" t="s">
        <v>57</v>
      </c>
      <c r="R1292" t="s">
        <v>58</v>
      </c>
      <c r="S1292">
        <v>4</v>
      </c>
      <c r="T1292" t="s">
        <v>44</v>
      </c>
      <c r="U1292" t="s">
        <v>59</v>
      </c>
      <c r="V1292">
        <v>17</v>
      </c>
      <c r="W1292" t="s">
        <v>45</v>
      </c>
      <c r="X1292">
        <v>11</v>
      </c>
      <c r="Y1292">
        <v>2</v>
      </c>
      <c r="Z1292" t="s">
        <v>46</v>
      </c>
      <c r="AA1292">
        <v>7</v>
      </c>
      <c r="AB1292" t="s">
        <v>47</v>
      </c>
      <c r="AC1292">
        <v>1</v>
      </c>
      <c r="AD1292" t="s">
        <v>48</v>
      </c>
      <c r="AE1292">
        <v>0</v>
      </c>
      <c r="AF1292" t="s">
        <v>49</v>
      </c>
    </row>
    <row r="1293" spans="1:32" x14ac:dyDescent="0.25">
      <c r="A1293">
        <v>37</v>
      </c>
      <c r="B1293" t="s">
        <v>32</v>
      </c>
      <c r="C1293" t="s">
        <v>33</v>
      </c>
      <c r="D1293" t="s">
        <v>34</v>
      </c>
      <c r="E1293" t="s">
        <v>52</v>
      </c>
      <c r="F1293">
        <v>10</v>
      </c>
      <c r="G1293" t="s">
        <v>53</v>
      </c>
      <c r="H1293">
        <v>4</v>
      </c>
      <c r="I1293" t="s">
        <v>42</v>
      </c>
      <c r="J1293" t="s">
        <v>54</v>
      </c>
      <c r="K1293">
        <v>3</v>
      </c>
      <c r="L1293" t="s">
        <v>39</v>
      </c>
      <c r="M1293">
        <v>2</v>
      </c>
      <c r="N1293" t="s">
        <v>40</v>
      </c>
      <c r="O1293" t="s">
        <v>69</v>
      </c>
      <c r="P1293">
        <v>1</v>
      </c>
      <c r="Q1293" t="s">
        <v>57</v>
      </c>
      <c r="R1293" t="s">
        <v>43</v>
      </c>
      <c r="S1293">
        <v>1</v>
      </c>
      <c r="T1293" t="s">
        <v>44</v>
      </c>
      <c r="U1293" t="s">
        <v>59</v>
      </c>
      <c r="V1293">
        <v>15</v>
      </c>
      <c r="W1293" t="s">
        <v>45</v>
      </c>
      <c r="X1293">
        <v>10</v>
      </c>
      <c r="Y1293">
        <v>1</v>
      </c>
      <c r="Z1293" t="s">
        <v>46</v>
      </c>
      <c r="AA1293">
        <v>10</v>
      </c>
      <c r="AB1293" t="s">
        <v>47</v>
      </c>
      <c r="AC1293">
        <v>3</v>
      </c>
      <c r="AD1293" t="s">
        <v>48</v>
      </c>
      <c r="AE1293">
        <v>0</v>
      </c>
      <c r="AF1293" t="s">
        <v>49</v>
      </c>
    </row>
    <row r="1294" spans="1:32" x14ac:dyDescent="0.25">
      <c r="A1294">
        <v>39</v>
      </c>
      <c r="B1294" t="s">
        <v>32</v>
      </c>
      <c r="C1294" t="s">
        <v>50</v>
      </c>
      <c r="D1294" t="s">
        <v>51</v>
      </c>
      <c r="E1294" t="s">
        <v>35</v>
      </c>
      <c r="F1294">
        <v>20</v>
      </c>
      <c r="G1294" t="s">
        <v>66</v>
      </c>
      <c r="H1294">
        <v>3</v>
      </c>
      <c r="I1294" t="s">
        <v>42</v>
      </c>
      <c r="J1294" t="s">
        <v>54</v>
      </c>
      <c r="K1294">
        <v>3</v>
      </c>
      <c r="L1294" t="s">
        <v>39</v>
      </c>
      <c r="M1294">
        <v>2</v>
      </c>
      <c r="N1294" t="s">
        <v>40</v>
      </c>
      <c r="O1294" t="s">
        <v>41</v>
      </c>
      <c r="P1294">
        <v>4</v>
      </c>
      <c r="Q1294" t="s">
        <v>42</v>
      </c>
      <c r="R1294" t="s">
        <v>67</v>
      </c>
      <c r="S1294">
        <v>2</v>
      </c>
      <c r="T1294" t="s">
        <v>44</v>
      </c>
      <c r="U1294" t="s">
        <v>59</v>
      </c>
      <c r="V1294">
        <v>18</v>
      </c>
      <c r="W1294" t="s">
        <v>45</v>
      </c>
      <c r="X1294">
        <v>7</v>
      </c>
      <c r="Y1294">
        <v>3</v>
      </c>
      <c r="Z1294" t="s">
        <v>61</v>
      </c>
      <c r="AA1294">
        <v>2</v>
      </c>
      <c r="AB1294" t="s">
        <v>48</v>
      </c>
      <c r="AC1294">
        <v>1</v>
      </c>
      <c r="AD1294" t="s">
        <v>48</v>
      </c>
      <c r="AE1294">
        <v>2</v>
      </c>
      <c r="AF1294" t="s">
        <v>49</v>
      </c>
    </row>
    <row r="1295" spans="1:32" x14ac:dyDescent="0.25">
      <c r="A1295">
        <v>43</v>
      </c>
      <c r="B1295" t="s">
        <v>32</v>
      </c>
      <c r="C1295" t="s">
        <v>50</v>
      </c>
      <c r="D1295" t="s">
        <v>34</v>
      </c>
      <c r="E1295" t="s">
        <v>52</v>
      </c>
      <c r="F1295">
        <v>9</v>
      </c>
      <c r="G1295" t="s">
        <v>53</v>
      </c>
      <c r="H1295">
        <v>1</v>
      </c>
      <c r="I1295" t="s">
        <v>37</v>
      </c>
      <c r="J1295" t="s">
        <v>54</v>
      </c>
      <c r="K1295">
        <v>3</v>
      </c>
      <c r="L1295" t="s">
        <v>39</v>
      </c>
      <c r="M1295">
        <v>1</v>
      </c>
      <c r="N1295" t="s">
        <v>40</v>
      </c>
      <c r="O1295" t="s">
        <v>56</v>
      </c>
      <c r="P1295">
        <v>3</v>
      </c>
      <c r="Q1295" t="s">
        <v>42</v>
      </c>
      <c r="R1295" t="s">
        <v>43</v>
      </c>
      <c r="S1295">
        <v>4</v>
      </c>
      <c r="T1295" t="s">
        <v>44</v>
      </c>
      <c r="U1295" t="s">
        <v>59</v>
      </c>
      <c r="V1295">
        <v>13</v>
      </c>
      <c r="W1295" t="s">
        <v>45</v>
      </c>
      <c r="X1295">
        <v>7</v>
      </c>
      <c r="Y1295">
        <v>2</v>
      </c>
      <c r="Z1295" t="s">
        <v>46</v>
      </c>
      <c r="AA1295">
        <v>3</v>
      </c>
      <c r="AB1295" t="s">
        <v>48</v>
      </c>
      <c r="AC1295">
        <v>2</v>
      </c>
      <c r="AD1295" t="s">
        <v>48</v>
      </c>
      <c r="AE1295">
        <v>1</v>
      </c>
      <c r="AF1295" t="s">
        <v>49</v>
      </c>
    </row>
    <row r="1296" spans="1:32" x14ac:dyDescent="0.25">
      <c r="A1296">
        <v>41</v>
      </c>
      <c r="B1296" t="s">
        <v>32</v>
      </c>
      <c r="C1296" t="s">
        <v>50</v>
      </c>
      <c r="D1296" t="s">
        <v>34</v>
      </c>
      <c r="E1296" t="s">
        <v>52</v>
      </c>
      <c r="F1296">
        <v>5</v>
      </c>
      <c r="G1296" t="s">
        <v>36</v>
      </c>
      <c r="H1296">
        <v>2</v>
      </c>
      <c r="I1296" t="s">
        <v>37</v>
      </c>
      <c r="J1296" t="s">
        <v>54</v>
      </c>
      <c r="K1296">
        <v>4</v>
      </c>
      <c r="L1296" t="s">
        <v>65</v>
      </c>
      <c r="M1296">
        <v>2</v>
      </c>
      <c r="N1296" t="s">
        <v>40</v>
      </c>
      <c r="O1296" t="s">
        <v>70</v>
      </c>
      <c r="P1296">
        <v>2</v>
      </c>
      <c r="Q1296" t="s">
        <v>57</v>
      </c>
      <c r="R1296" t="s">
        <v>43</v>
      </c>
      <c r="S1296">
        <v>3</v>
      </c>
      <c r="T1296" t="s">
        <v>44</v>
      </c>
      <c r="U1296" t="s">
        <v>59</v>
      </c>
      <c r="V1296">
        <v>12</v>
      </c>
      <c r="W1296" t="s">
        <v>45</v>
      </c>
      <c r="X1296">
        <v>11</v>
      </c>
      <c r="Y1296">
        <v>1</v>
      </c>
      <c r="Z1296" t="s">
        <v>46</v>
      </c>
      <c r="AA1296">
        <v>3</v>
      </c>
      <c r="AB1296" t="s">
        <v>48</v>
      </c>
      <c r="AC1296">
        <v>2</v>
      </c>
      <c r="AD1296" t="s">
        <v>48</v>
      </c>
      <c r="AE1296">
        <v>1</v>
      </c>
      <c r="AF1296" t="s">
        <v>49</v>
      </c>
    </row>
    <row r="1297" spans="1:32" x14ac:dyDescent="0.25">
      <c r="A1297">
        <v>41</v>
      </c>
      <c r="B1297" t="s">
        <v>32</v>
      </c>
      <c r="C1297" t="s">
        <v>50</v>
      </c>
      <c r="D1297" t="s">
        <v>34</v>
      </c>
      <c r="E1297" t="s">
        <v>35</v>
      </c>
      <c r="F1297">
        <v>4</v>
      </c>
      <c r="G1297" t="s">
        <v>36</v>
      </c>
      <c r="H1297">
        <v>3</v>
      </c>
      <c r="I1297" t="s">
        <v>42</v>
      </c>
      <c r="J1297" t="s">
        <v>38</v>
      </c>
      <c r="K1297">
        <v>3</v>
      </c>
      <c r="L1297" t="s">
        <v>39</v>
      </c>
      <c r="M1297">
        <v>3</v>
      </c>
      <c r="N1297" t="s">
        <v>68</v>
      </c>
      <c r="O1297" t="s">
        <v>41</v>
      </c>
      <c r="P1297">
        <v>3</v>
      </c>
      <c r="Q1297" t="s">
        <v>42</v>
      </c>
      <c r="R1297" t="s">
        <v>67</v>
      </c>
      <c r="S1297">
        <v>0</v>
      </c>
      <c r="T1297" t="s">
        <v>44</v>
      </c>
      <c r="U1297" t="s">
        <v>44</v>
      </c>
      <c r="V1297">
        <v>13</v>
      </c>
      <c r="W1297" t="s">
        <v>45</v>
      </c>
      <c r="X1297">
        <v>23</v>
      </c>
      <c r="Y1297">
        <v>4</v>
      </c>
      <c r="Z1297" t="s">
        <v>61</v>
      </c>
      <c r="AA1297">
        <v>22</v>
      </c>
      <c r="AB1297" t="s">
        <v>74</v>
      </c>
      <c r="AC1297">
        <v>14</v>
      </c>
      <c r="AD1297" t="s">
        <v>74</v>
      </c>
      <c r="AE1297">
        <v>13</v>
      </c>
      <c r="AF1297" t="s">
        <v>71</v>
      </c>
    </row>
    <row r="1298" spans="1:32" x14ac:dyDescent="0.25">
      <c r="A1298">
        <v>30</v>
      </c>
      <c r="B1298" t="s">
        <v>32</v>
      </c>
      <c r="C1298" t="s">
        <v>50</v>
      </c>
      <c r="D1298" t="s">
        <v>34</v>
      </c>
      <c r="E1298" t="s">
        <v>52</v>
      </c>
      <c r="F1298">
        <v>10</v>
      </c>
      <c r="G1298" t="s">
        <v>53</v>
      </c>
      <c r="H1298">
        <v>1</v>
      </c>
      <c r="I1298" t="s">
        <v>37</v>
      </c>
      <c r="J1298" t="s">
        <v>38</v>
      </c>
      <c r="K1298">
        <v>3</v>
      </c>
      <c r="L1298" t="s">
        <v>39</v>
      </c>
      <c r="M1298">
        <v>3</v>
      </c>
      <c r="N1298" t="s">
        <v>68</v>
      </c>
      <c r="O1298" t="s">
        <v>69</v>
      </c>
      <c r="P1298">
        <v>3</v>
      </c>
      <c r="Q1298" t="s">
        <v>42</v>
      </c>
      <c r="R1298" t="s">
        <v>43</v>
      </c>
      <c r="S1298">
        <v>9</v>
      </c>
      <c r="T1298" t="s">
        <v>44</v>
      </c>
      <c r="U1298" t="s">
        <v>59</v>
      </c>
      <c r="V1298">
        <v>14</v>
      </c>
      <c r="W1298" t="s">
        <v>45</v>
      </c>
      <c r="X1298">
        <v>9</v>
      </c>
      <c r="Y1298">
        <v>3</v>
      </c>
      <c r="Z1298" t="s">
        <v>61</v>
      </c>
      <c r="AA1298">
        <v>7</v>
      </c>
      <c r="AB1298" t="s">
        <v>47</v>
      </c>
      <c r="AC1298">
        <v>7</v>
      </c>
      <c r="AD1298" t="s">
        <v>47</v>
      </c>
      <c r="AE1298">
        <v>0</v>
      </c>
      <c r="AF1298" t="s">
        <v>49</v>
      </c>
    </row>
    <row r="1299" spans="1:32" x14ac:dyDescent="0.25">
      <c r="A1299">
        <v>26</v>
      </c>
      <c r="B1299" t="s">
        <v>63</v>
      </c>
      <c r="C1299" t="s">
        <v>33</v>
      </c>
      <c r="D1299" t="s">
        <v>34</v>
      </c>
      <c r="E1299" t="s">
        <v>77</v>
      </c>
      <c r="F1299">
        <v>20</v>
      </c>
      <c r="G1299" t="s">
        <v>66</v>
      </c>
      <c r="H1299">
        <v>4</v>
      </c>
      <c r="I1299" t="s">
        <v>42</v>
      </c>
      <c r="J1299" t="s">
        <v>38</v>
      </c>
      <c r="K1299">
        <v>3</v>
      </c>
      <c r="L1299" t="s">
        <v>39</v>
      </c>
      <c r="M1299">
        <v>1</v>
      </c>
      <c r="N1299" t="s">
        <v>40</v>
      </c>
      <c r="O1299" t="s">
        <v>77</v>
      </c>
      <c r="P1299">
        <v>2</v>
      </c>
      <c r="Q1299" t="s">
        <v>57</v>
      </c>
      <c r="R1299" t="s">
        <v>58</v>
      </c>
      <c r="S1299">
        <v>0</v>
      </c>
      <c r="T1299" t="s">
        <v>44</v>
      </c>
      <c r="U1299" t="s">
        <v>44</v>
      </c>
      <c r="V1299">
        <v>11</v>
      </c>
      <c r="W1299" t="s">
        <v>45</v>
      </c>
      <c r="X1299">
        <v>6</v>
      </c>
      <c r="Y1299">
        <v>3</v>
      </c>
      <c r="Z1299" t="s">
        <v>61</v>
      </c>
      <c r="AA1299">
        <v>5</v>
      </c>
      <c r="AB1299" t="s">
        <v>47</v>
      </c>
      <c r="AC1299">
        <v>1</v>
      </c>
      <c r="AD1299" t="s">
        <v>48</v>
      </c>
      <c r="AE1299">
        <v>1</v>
      </c>
      <c r="AF1299" t="s">
        <v>49</v>
      </c>
    </row>
    <row r="1300" spans="1:32" x14ac:dyDescent="0.25">
      <c r="A1300">
        <v>46</v>
      </c>
      <c r="B1300" t="s">
        <v>32</v>
      </c>
      <c r="C1300" t="s">
        <v>33</v>
      </c>
      <c r="D1300" t="s">
        <v>34</v>
      </c>
      <c r="E1300" t="s">
        <v>52</v>
      </c>
      <c r="F1300">
        <v>21</v>
      </c>
      <c r="G1300" t="s">
        <v>66</v>
      </c>
      <c r="H1300">
        <v>4</v>
      </c>
      <c r="I1300" t="s">
        <v>42</v>
      </c>
      <c r="J1300" t="s">
        <v>38</v>
      </c>
      <c r="K1300">
        <v>3</v>
      </c>
      <c r="L1300" t="s">
        <v>39</v>
      </c>
      <c r="M1300">
        <v>2</v>
      </c>
      <c r="N1300" t="s">
        <v>40</v>
      </c>
      <c r="O1300" t="s">
        <v>70</v>
      </c>
      <c r="P1300">
        <v>2</v>
      </c>
      <c r="Q1300" t="s">
        <v>57</v>
      </c>
      <c r="R1300" t="s">
        <v>58</v>
      </c>
      <c r="S1300">
        <v>4</v>
      </c>
      <c r="T1300" t="s">
        <v>44</v>
      </c>
      <c r="U1300" t="s">
        <v>59</v>
      </c>
      <c r="V1300">
        <v>22</v>
      </c>
      <c r="W1300" t="s">
        <v>60</v>
      </c>
      <c r="X1300">
        <v>13</v>
      </c>
      <c r="Y1300">
        <v>4</v>
      </c>
      <c r="Z1300" t="s">
        <v>61</v>
      </c>
      <c r="AA1300">
        <v>9</v>
      </c>
      <c r="AB1300" t="s">
        <v>47</v>
      </c>
      <c r="AC1300">
        <v>7</v>
      </c>
      <c r="AD1300" t="s">
        <v>47</v>
      </c>
      <c r="AE1300">
        <v>3</v>
      </c>
      <c r="AF1300" t="s">
        <v>49</v>
      </c>
    </row>
    <row r="1301" spans="1:32" x14ac:dyDescent="0.25">
      <c r="A1301">
        <v>40</v>
      </c>
      <c r="B1301" t="s">
        <v>32</v>
      </c>
      <c r="C1301" t="s">
        <v>50</v>
      </c>
      <c r="D1301" t="s">
        <v>34</v>
      </c>
      <c r="E1301" t="s">
        <v>52</v>
      </c>
      <c r="F1301">
        <v>1</v>
      </c>
      <c r="G1301" t="s">
        <v>36</v>
      </c>
      <c r="H1301">
        <v>3</v>
      </c>
      <c r="I1301" t="s">
        <v>42</v>
      </c>
      <c r="J1301" t="s">
        <v>38</v>
      </c>
      <c r="K1301">
        <v>3</v>
      </c>
      <c r="L1301" t="s">
        <v>39</v>
      </c>
      <c r="M1301">
        <v>2</v>
      </c>
      <c r="N1301" t="s">
        <v>40</v>
      </c>
      <c r="O1301" t="s">
        <v>70</v>
      </c>
      <c r="P1301">
        <v>4</v>
      </c>
      <c r="Q1301" t="s">
        <v>42</v>
      </c>
      <c r="R1301" t="s">
        <v>67</v>
      </c>
      <c r="S1301">
        <v>4</v>
      </c>
      <c r="T1301" t="s">
        <v>44</v>
      </c>
      <c r="U1301" t="s">
        <v>59</v>
      </c>
      <c r="V1301">
        <v>17</v>
      </c>
      <c r="W1301" t="s">
        <v>45</v>
      </c>
      <c r="X1301">
        <v>12</v>
      </c>
      <c r="Y1301">
        <v>3</v>
      </c>
      <c r="Z1301" t="s">
        <v>61</v>
      </c>
      <c r="AA1301">
        <v>5</v>
      </c>
      <c r="AB1301" t="s">
        <v>47</v>
      </c>
      <c r="AC1301">
        <v>3</v>
      </c>
      <c r="AD1301" t="s">
        <v>48</v>
      </c>
      <c r="AE1301">
        <v>0</v>
      </c>
      <c r="AF1301" t="s">
        <v>49</v>
      </c>
    </row>
    <row r="1302" spans="1:32" x14ac:dyDescent="0.25">
      <c r="A1302">
        <v>34</v>
      </c>
      <c r="B1302" t="s">
        <v>32</v>
      </c>
      <c r="C1302" t="s">
        <v>50</v>
      </c>
      <c r="D1302" t="s">
        <v>34</v>
      </c>
      <c r="E1302" t="s">
        <v>35</v>
      </c>
      <c r="F1302">
        <v>8</v>
      </c>
      <c r="G1302" t="s">
        <v>53</v>
      </c>
      <c r="H1302">
        <v>2</v>
      </c>
      <c r="I1302" t="s">
        <v>37</v>
      </c>
      <c r="J1302" t="s">
        <v>54</v>
      </c>
      <c r="K1302">
        <v>4</v>
      </c>
      <c r="L1302" t="s">
        <v>65</v>
      </c>
      <c r="M1302">
        <v>2</v>
      </c>
      <c r="N1302" t="s">
        <v>40</v>
      </c>
      <c r="O1302" t="s">
        <v>41</v>
      </c>
      <c r="P1302">
        <v>3</v>
      </c>
      <c r="Q1302" t="s">
        <v>42</v>
      </c>
      <c r="R1302" t="s">
        <v>58</v>
      </c>
      <c r="S1302">
        <v>1</v>
      </c>
      <c r="T1302" t="s">
        <v>44</v>
      </c>
      <c r="U1302" t="s">
        <v>59</v>
      </c>
      <c r="V1302">
        <v>21</v>
      </c>
      <c r="W1302" t="s">
        <v>60</v>
      </c>
      <c r="X1302">
        <v>10</v>
      </c>
      <c r="Y1302">
        <v>3</v>
      </c>
      <c r="Z1302" t="s">
        <v>61</v>
      </c>
      <c r="AA1302">
        <v>10</v>
      </c>
      <c r="AB1302" t="s">
        <v>47</v>
      </c>
      <c r="AC1302">
        <v>8</v>
      </c>
      <c r="AD1302" t="s">
        <v>47</v>
      </c>
      <c r="AE1302">
        <v>4</v>
      </c>
      <c r="AF1302" t="s">
        <v>71</v>
      </c>
    </row>
    <row r="1303" spans="1:32" x14ac:dyDescent="0.25">
      <c r="A1303">
        <v>58</v>
      </c>
      <c r="B1303" t="s">
        <v>64</v>
      </c>
      <c r="C1303" t="s">
        <v>50</v>
      </c>
      <c r="D1303" t="s">
        <v>34</v>
      </c>
      <c r="E1303" t="s">
        <v>35</v>
      </c>
      <c r="F1303">
        <v>2</v>
      </c>
      <c r="G1303" t="s">
        <v>36</v>
      </c>
      <c r="H1303">
        <v>2</v>
      </c>
      <c r="I1303" t="s">
        <v>37</v>
      </c>
      <c r="J1303" t="s">
        <v>54</v>
      </c>
      <c r="K1303">
        <v>3</v>
      </c>
      <c r="L1303" t="s">
        <v>39</v>
      </c>
      <c r="M1303">
        <v>4</v>
      </c>
      <c r="N1303" t="s">
        <v>72</v>
      </c>
      <c r="O1303" t="s">
        <v>73</v>
      </c>
      <c r="P1303">
        <v>2</v>
      </c>
      <c r="Q1303" t="s">
        <v>57</v>
      </c>
      <c r="R1303" t="s">
        <v>67</v>
      </c>
      <c r="S1303">
        <v>4</v>
      </c>
      <c r="T1303" t="s">
        <v>44</v>
      </c>
      <c r="U1303" t="s">
        <v>59</v>
      </c>
      <c r="V1303">
        <v>22</v>
      </c>
      <c r="W1303" t="s">
        <v>60</v>
      </c>
      <c r="X1303">
        <v>37</v>
      </c>
      <c r="Y1303">
        <v>2</v>
      </c>
      <c r="Z1303" t="s">
        <v>46</v>
      </c>
      <c r="AA1303">
        <v>16</v>
      </c>
      <c r="AB1303" t="s">
        <v>74</v>
      </c>
      <c r="AC1303">
        <v>9</v>
      </c>
      <c r="AD1303" t="s">
        <v>47</v>
      </c>
      <c r="AE1303">
        <v>14</v>
      </c>
      <c r="AF1303" t="s">
        <v>71</v>
      </c>
    </row>
    <row r="1304" spans="1:32" x14ac:dyDescent="0.25">
      <c r="A1304">
        <v>35</v>
      </c>
      <c r="B1304" t="s">
        <v>32</v>
      </c>
      <c r="C1304" t="s">
        <v>50</v>
      </c>
      <c r="D1304" t="s">
        <v>34</v>
      </c>
      <c r="E1304" t="s">
        <v>52</v>
      </c>
      <c r="F1304">
        <v>23</v>
      </c>
      <c r="G1304" t="s">
        <v>66</v>
      </c>
      <c r="H1304">
        <v>2</v>
      </c>
      <c r="I1304" t="s">
        <v>37</v>
      </c>
      <c r="J1304" t="s">
        <v>54</v>
      </c>
      <c r="K1304">
        <v>1</v>
      </c>
      <c r="L1304" t="s">
        <v>55</v>
      </c>
      <c r="M1304">
        <v>1</v>
      </c>
      <c r="N1304" t="s">
        <v>40</v>
      </c>
      <c r="O1304" t="s">
        <v>62</v>
      </c>
      <c r="P1304">
        <v>3</v>
      </c>
      <c r="Q1304" t="s">
        <v>42</v>
      </c>
      <c r="R1304" t="s">
        <v>58</v>
      </c>
      <c r="S1304">
        <v>0</v>
      </c>
      <c r="T1304" t="s">
        <v>44</v>
      </c>
      <c r="U1304" t="s">
        <v>59</v>
      </c>
      <c r="V1304">
        <v>16</v>
      </c>
      <c r="W1304" t="s">
        <v>45</v>
      </c>
      <c r="X1304">
        <v>6</v>
      </c>
      <c r="Y1304">
        <v>4</v>
      </c>
      <c r="Z1304" t="s">
        <v>61</v>
      </c>
      <c r="AA1304">
        <v>5</v>
      </c>
      <c r="AB1304" t="s">
        <v>47</v>
      </c>
      <c r="AC1304">
        <v>4</v>
      </c>
      <c r="AD1304" t="s">
        <v>48</v>
      </c>
      <c r="AE1304">
        <v>0</v>
      </c>
      <c r="AF1304" t="s">
        <v>49</v>
      </c>
    </row>
    <row r="1305" spans="1:32" x14ac:dyDescent="0.25">
      <c r="A1305">
        <v>47</v>
      </c>
      <c r="B1305" t="s">
        <v>32</v>
      </c>
      <c r="C1305" t="s">
        <v>50</v>
      </c>
      <c r="D1305" t="s">
        <v>34</v>
      </c>
      <c r="E1305" t="s">
        <v>52</v>
      </c>
      <c r="F1305">
        <v>4</v>
      </c>
      <c r="G1305" t="s">
        <v>36</v>
      </c>
      <c r="H1305">
        <v>3</v>
      </c>
      <c r="I1305" t="s">
        <v>42</v>
      </c>
      <c r="J1305" t="s">
        <v>38</v>
      </c>
      <c r="K1305">
        <v>2</v>
      </c>
      <c r="L1305" t="s">
        <v>55</v>
      </c>
      <c r="M1305">
        <v>3</v>
      </c>
      <c r="N1305" t="s">
        <v>68</v>
      </c>
      <c r="O1305" t="s">
        <v>69</v>
      </c>
      <c r="P1305">
        <v>2</v>
      </c>
      <c r="Q1305" t="s">
        <v>57</v>
      </c>
      <c r="R1305" t="s">
        <v>67</v>
      </c>
      <c r="S1305">
        <v>8</v>
      </c>
      <c r="T1305" t="s">
        <v>44</v>
      </c>
      <c r="U1305" t="s">
        <v>44</v>
      </c>
      <c r="V1305">
        <v>12</v>
      </c>
      <c r="W1305" t="s">
        <v>45</v>
      </c>
      <c r="X1305">
        <v>28</v>
      </c>
      <c r="Y1305">
        <v>3</v>
      </c>
      <c r="Z1305" t="s">
        <v>61</v>
      </c>
      <c r="AA1305">
        <v>22</v>
      </c>
      <c r="AB1305" t="s">
        <v>74</v>
      </c>
      <c r="AC1305">
        <v>11</v>
      </c>
      <c r="AD1305" t="s">
        <v>74</v>
      </c>
      <c r="AE1305">
        <v>14</v>
      </c>
      <c r="AF1305" t="s">
        <v>71</v>
      </c>
    </row>
    <row r="1306" spans="1:32" x14ac:dyDescent="0.25">
      <c r="A1306">
        <v>40</v>
      </c>
      <c r="B1306" t="s">
        <v>32</v>
      </c>
      <c r="C1306" t="s">
        <v>50</v>
      </c>
      <c r="D1306" t="s">
        <v>34</v>
      </c>
      <c r="E1306" t="s">
        <v>52</v>
      </c>
      <c r="F1306">
        <v>12</v>
      </c>
      <c r="G1306" t="s">
        <v>53</v>
      </c>
      <c r="H1306">
        <v>2</v>
      </c>
      <c r="I1306" t="s">
        <v>37</v>
      </c>
      <c r="J1306" t="s">
        <v>38</v>
      </c>
      <c r="K1306">
        <v>3</v>
      </c>
      <c r="L1306" t="s">
        <v>39</v>
      </c>
      <c r="M1306">
        <v>2</v>
      </c>
      <c r="N1306" t="s">
        <v>40</v>
      </c>
      <c r="O1306" t="s">
        <v>70</v>
      </c>
      <c r="P1306">
        <v>1</v>
      </c>
      <c r="Q1306" t="s">
        <v>57</v>
      </c>
      <c r="R1306" t="s">
        <v>67</v>
      </c>
      <c r="S1306">
        <v>2</v>
      </c>
      <c r="T1306" t="s">
        <v>44</v>
      </c>
      <c r="U1306" t="s">
        <v>59</v>
      </c>
      <c r="V1306">
        <v>12</v>
      </c>
      <c r="W1306" t="s">
        <v>45</v>
      </c>
      <c r="X1306">
        <v>15</v>
      </c>
      <c r="Y1306">
        <v>3</v>
      </c>
      <c r="Z1306" t="s">
        <v>61</v>
      </c>
      <c r="AA1306">
        <v>7</v>
      </c>
      <c r="AB1306" t="s">
        <v>47</v>
      </c>
      <c r="AC1306">
        <v>4</v>
      </c>
      <c r="AD1306" t="s">
        <v>48</v>
      </c>
      <c r="AE1306">
        <v>7</v>
      </c>
      <c r="AF1306" t="s">
        <v>71</v>
      </c>
    </row>
    <row r="1307" spans="1:32" x14ac:dyDescent="0.25">
      <c r="A1307">
        <v>54</v>
      </c>
      <c r="B1307" t="s">
        <v>64</v>
      </c>
      <c r="C1307" t="s">
        <v>50</v>
      </c>
      <c r="D1307" t="s">
        <v>34</v>
      </c>
      <c r="E1307" t="s">
        <v>52</v>
      </c>
      <c r="F1307">
        <v>7</v>
      </c>
      <c r="G1307" t="s">
        <v>53</v>
      </c>
      <c r="H1307">
        <v>4</v>
      </c>
      <c r="I1307" t="s">
        <v>42</v>
      </c>
      <c r="J1307" t="s">
        <v>38</v>
      </c>
      <c r="K1307">
        <v>3</v>
      </c>
      <c r="L1307" t="s">
        <v>39</v>
      </c>
      <c r="M1307">
        <v>2</v>
      </c>
      <c r="N1307" t="s">
        <v>40</v>
      </c>
      <c r="O1307" t="s">
        <v>56</v>
      </c>
      <c r="P1307">
        <v>4</v>
      </c>
      <c r="Q1307" t="s">
        <v>42</v>
      </c>
      <c r="R1307" t="s">
        <v>58</v>
      </c>
      <c r="S1307">
        <v>4</v>
      </c>
      <c r="T1307" t="s">
        <v>44</v>
      </c>
      <c r="U1307" t="s">
        <v>59</v>
      </c>
      <c r="V1307">
        <v>15</v>
      </c>
      <c r="W1307" t="s">
        <v>45</v>
      </c>
      <c r="X1307">
        <v>14</v>
      </c>
      <c r="Y1307">
        <v>2</v>
      </c>
      <c r="Z1307" t="s">
        <v>46</v>
      </c>
      <c r="AA1307">
        <v>7</v>
      </c>
      <c r="AB1307" t="s">
        <v>47</v>
      </c>
      <c r="AC1307">
        <v>1</v>
      </c>
      <c r="AD1307" t="s">
        <v>48</v>
      </c>
      <c r="AE1307">
        <v>1</v>
      </c>
      <c r="AF1307" t="s">
        <v>49</v>
      </c>
    </row>
    <row r="1308" spans="1:32" x14ac:dyDescent="0.25">
      <c r="A1308">
        <v>31</v>
      </c>
      <c r="B1308" t="s">
        <v>32</v>
      </c>
      <c r="C1308" t="s">
        <v>50</v>
      </c>
      <c r="D1308" t="s">
        <v>51</v>
      </c>
      <c r="E1308" t="s">
        <v>35</v>
      </c>
      <c r="F1308">
        <v>7</v>
      </c>
      <c r="G1308" t="s">
        <v>53</v>
      </c>
      <c r="H1308">
        <v>1</v>
      </c>
      <c r="I1308" t="s">
        <v>37</v>
      </c>
      <c r="J1308" t="s">
        <v>38</v>
      </c>
      <c r="K1308">
        <v>3</v>
      </c>
      <c r="L1308" t="s">
        <v>39</v>
      </c>
      <c r="M1308">
        <v>3</v>
      </c>
      <c r="N1308" t="s">
        <v>68</v>
      </c>
      <c r="O1308" t="s">
        <v>41</v>
      </c>
      <c r="P1308">
        <v>1</v>
      </c>
      <c r="Q1308" t="s">
        <v>57</v>
      </c>
      <c r="R1308" t="s">
        <v>58</v>
      </c>
      <c r="S1308">
        <v>2</v>
      </c>
      <c r="T1308" t="s">
        <v>44</v>
      </c>
      <c r="U1308" t="s">
        <v>59</v>
      </c>
      <c r="V1308">
        <v>14</v>
      </c>
      <c r="W1308" t="s">
        <v>45</v>
      </c>
      <c r="X1308">
        <v>9</v>
      </c>
      <c r="Y1308">
        <v>3</v>
      </c>
      <c r="Z1308" t="s">
        <v>61</v>
      </c>
      <c r="AA1308">
        <v>3</v>
      </c>
      <c r="AB1308" t="s">
        <v>48</v>
      </c>
      <c r="AC1308">
        <v>2</v>
      </c>
      <c r="AD1308" t="s">
        <v>48</v>
      </c>
      <c r="AE1308">
        <v>2</v>
      </c>
      <c r="AF1308" t="s">
        <v>49</v>
      </c>
    </row>
    <row r="1309" spans="1:32" x14ac:dyDescent="0.25">
      <c r="A1309">
        <v>28</v>
      </c>
      <c r="B1309" t="s">
        <v>63</v>
      </c>
      <c r="C1309" t="s">
        <v>50</v>
      </c>
      <c r="D1309" t="s">
        <v>34</v>
      </c>
      <c r="E1309" t="s">
        <v>52</v>
      </c>
      <c r="F1309">
        <v>1</v>
      </c>
      <c r="G1309" t="s">
        <v>36</v>
      </c>
      <c r="H1309">
        <v>3</v>
      </c>
      <c r="I1309" t="s">
        <v>42</v>
      </c>
      <c r="J1309" t="s">
        <v>38</v>
      </c>
      <c r="K1309">
        <v>3</v>
      </c>
      <c r="L1309" t="s">
        <v>39</v>
      </c>
      <c r="M1309">
        <v>1</v>
      </c>
      <c r="N1309" t="s">
        <v>40</v>
      </c>
      <c r="O1309" t="s">
        <v>56</v>
      </c>
      <c r="P1309">
        <v>1</v>
      </c>
      <c r="Q1309" t="s">
        <v>57</v>
      </c>
      <c r="R1309" t="s">
        <v>58</v>
      </c>
      <c r="S1309">
        <v>1</v>
      </c>
      <c r="T1309" t="s">
        <v>44</v>
      </c>
      <c r="U1309" t="s">
        <v>59</v>
      </c>
      <c r="V1309">
        <v>25</v>
      </c>
      <c r="W1309" t="s">
        <v>60</v>
      </c>
      <c r="X1309">
        <v>3</v>
      </c>
      <c r="Y1309">
        <v>3</v>
      </c>
      <c r="Z1309" t="s">
        <v>61</v>
      </c>
      <c r="AA1309">
        <v>3</v>
      </c>
      <c r="AB1309" t="s">
        <v>48</v>
      </c>
      <c r="AC1309">
        <v>2</v>
      </c>
      <c r="AD1309" t="s">
        <v>48</v>
      </c>
      <c r="AE1309">
        <v>1</v>
      </c>
      <c r="AF1309" t="s">
        <v>49</v>
      </c>
    </row>
    <row r="1310" spans="1:32" x14ac:dyDescent="0.25">
      <c r="A1310">
        <v>38</v>
      </c>
      <c r="B1310" t="s">
        <v>32</v>
      </c>
      <c r="C1310" t="s">
        <v>50</v>
      </c>
      <c r="D1310" t="s">
        <v>34</v>
      </c>
      <c r="E1310" t="s">
        <v>35</v>
      </c>
      <c r="F1310">
        <v>2</v>
      </c>
      <c r="G1310" t="s">
        <v>36</v>
      </c>
      <c r="H1310">
        <v>2</v>
      </c>
      <c r="I1310" t="s">
        <v>37</v>
      </c>
      <c r="J1310" t="s">
        <v>38</v>
      </c>
      <c r="K1310">
        <v>1</v>
      </c>
      <c r="L1310" t="s">
        <v>55</v>
      </c>
      <c r="M1310">
        <v>2</v>
      </c>
      <c r="N1310" t="s">
        <v>40</v>
      </c>
      <c r="O1310" t="s">
        <v>75</v>
      </c>
      <c r="P1310">
        <v>4</v>
      </c>
      <c r="Q1310" t="s">
        <v>42</v>
      </c>
      <c r="R1310" t="s">
        <v>58</v>
      </c>
      <c r="S1310">
        <v>2</v>
      </c>
      <c r="T1310" t="s">
        <v>44</v>
      </c>
      <c r="U1310" t="s">
        <v>44</v>
      </c>
      <c r="V1310">
        <v>20</v>
      </c>
      <c r="W1310" t="s">
        <v>60</v>
      </c>
      <c r="X1310">
        <v>20</v>
      </c>
      <c r="Y1310">
        <v>2</v>
      </c>
      <c r="Z1310" t="s">
        <v>46</v>
      </c>
      <c r="AA1310">
        <v>4</v>
      </c>
      <c r="AB1310" t="s">
        <v>48</v>
      </c>
      <c r="AC1310">
        <v>2</v>
      </c>
      <c r="AD1310" t="s">
        <v>48</v>
      </c>
      <c r="AE1310">
        <v>0</v>
      </c>
      <c r="AF1310" t="s">
        <v>49</v>
      </c>
    </row>
    <row r="1311" spans="1:32" x14ac:dyDescent="0.25">
      <c r="A1311">
        <v>26</v>
      </c>
      <c r="B1311" t="s">
        <v>63</v>
      </c>
      <c r="C1311" t="s">
        <v>50</v>
      </c>
      <c r="D1311" t="s">
        <v>34</v>
      </c>
      <c r="E1311" t="s">
        <v>35</v>
      </c>
      <c r="F1311">
        <v>10</v>
      </c>
      <c r="G1311" t="s">
        <v>53</v>
      </c>
      <c r="H1311">
        <v>3</v>
      </c>
      <c r="I1311" t="s">
        <v>42</v>
      </c>
      <c r="J1311" t="s">
        <v>54</v>
      </c>
      <c r="K1311">
        <v>3</v>
      </c>
      <c r="L1311" t="s">
        <v>39</v>
      </c>
      <c r="M1311">
        <v>2</v>
      </c>
      <c r="N1311" t="s">
        <v>40</v>
      </c>
      <c r="O1311" t="s">
        <v>41</v>
      </c>
      <c r="P1311">
        <v>4</v>
      </c>
      <c r="Q1311" t="s">
        <v>42</v>
      </c>
      <c r="R1311" t="s">
        <v>43</v>
      </c>
      <c r="S1311">
        <v>1</v>
      </c>
      <c r="T1311" t="s">
        <v>44</v>
      </c>
      <c r="U1311" t="s">
        <v>59</v>
      </c>
      <c r="V1311">
        <v>13</v>
      </c>
      <c r="W1311" t="s">
        <v>45</v>
      </c>
      <c r="X1311">
        <v>5</v>
      </c>
      <c r="Y1311">
        <v>3</v>
      </c>
      <c r="Z1311" t="s">
        <v>61</v>
      </c>
      <c r="AA1311">
        <v>5</v>
      </c>
      <c r="AB1311" t="s">
        <v>47</v>
      </c>
      <c r="AC1311">
        <v>3</v>
      </c>
      <c r="AD1311" t="s">
        <v>48</v>
      </c>
      <c r="AE1311">
        <v>1</v>
      </c>
      <c r="AF1311" t="s">
        <v>49</v>
      </c>
    </row>
    <row r="1312" spans="1:32" x14ac:dyDescent="0.25">
      <c r="A1312">
        <v>58</v>
      </c>
      <c r="B1312" t="s">
        <v>64</v>
      </c>
      <c r="C1312" t="s">
        <v>50</v>
      </c>
      <c r="D1312" t="s">
        <v>51</v>
      </c>
      <c r="E1312" t="s">
        <v>52</v>
      </c>
      <c r="F1312">
        <v>15</v>
      </c>
      <c r="G1312" t="s">
        <v>66</v>
      </c>
      <c r="H1312">
        <v>1</v>
      </c>
      <c r="I1312" t="s">
        <v>37</v>
      </c>
      <c r="J1312" t="s">
        <v>54</v>
      </c>
      <c r="K1312">
        <v>3</v>
      </c>
      <c r="L1312" t="s">
        <v>39</v>
      </c>
      <c r="M1312">
        <v>4</v>
      </c>
      <c r="N1312" t="s">
        <v>72</v>
      </c>
      <c r="O1312" t="s">
        <v>76</v>
      </c>
      <c r="P1312">
        <v>3</v>
      </c>
      <c r="Q1312" t="s">
        <v>42</v>
      </c>
      <c r="R1312" t="s">
        <v>58</v>
      </c>
      <c r="S1312">
        <v>2</v>
      </c>
      <c r="T1312" t="s">
        <v>44</v>
      </c>
      <c r="U1312" t="s">
        <v>44</v>
      </c>
      <c r="V1312">
        <v>14</v>
      </c>
      <c r="W1312" t="s">
        <v>45</v>
      </c>
      <c r="X1312">
        <v>23</v>
      </c>
      <c r="Y1312">
        <v>3</v>
      </c>
      <c r="Z1312" t="s">
        <v>61</v>
      </c>
      <c r="AA1312">
        <v>2</v>
      </c>
      <c r="AB1312" t="s">
        <v>48</v>
      </c>
      <c r="AC1312">
        <v>2</v>
      </c>
      <c r="AD1312" t="s">
        <v>48</v>
      </c>
      <c r="AE1312">
        <v>2</v>
      </c>
      <c r="AF1312" t="s">
        <v>49</v>
      </c>
    </row>
    <row r="1313" spans="1:32" x14ac:dyDescent="0.25">
      <c r="A1313">
        <v>18</v>
      </c>
      <c r="B1313" t="s">
        <v>63</v>
      </c>
      <c r="C1313" t="s">
        <v>50</v>
      </c>
      <c r="D1313" t="s">
        <v>34</v>
      </c>
      <c r="E1313" t="s">
        <v>52</v>
      </c>
      <c r="F1313">
        <v>14</v>
      </c>
      <c r="G1313" t="s">
        <v>53</v>
      </c>
      <c r="H1313">
        <v>2</v>
      </c>
      <c r="I1313" t="s">
        <v>37</v>
      </c>
      <c r="J1313" t="s">
        <v>38</v>
      </c>
      <c r="K1313">
        <v>3</v>
      </c>
      <c r="L1313" t="s">
        <v>39</v>
      </c>
      <c r="M1313">
        <v>1</v>
      </c>
      <c r="N1313" t="s">
        <v>40</v>
      </c>
      <c r="O1313" t="s">
        <v>56</v>
      </c>
      <c r="P1313">
        <v>3</v>
      </c>
      <c r="Q1313" t="s">
        <v>42</v>
      </c>
      <c r="R1313" t="s">
        <v>43</v>
      </c>
      <c r="S1313">
        <v>1</v>
      </c>
      <c r="T1313" t="s">
        <v>44</v>
      </c>
      <c r="U1313" t="s">
        <v>59</v>
      </c>
      <c r="V1313">
        <v>16</v>
      </c>
      <c r="W1313" t="s">
        <v>45</v>
      </c>
      <c r="X1313">
        <v>0</v>
      </c>
      <c r="Y1313">
        <v>1</v>
      </c>
      <c r="Z1313" t="s">
        <v>46</v>
      </c>
      <c r="AA1313">
        <v>0</v>
      </c>
      <c r="AB1313" t="s">
        <v>48</v>
      </c>
      <c r="AC1313">
        <v>0</v>
      </c>
      <c r="AD1313" t="s">
        <v>48</v>
      </c>
      <c r="AE1313">
        <v>0</v>
      </c>
      <c r="AF1313" t="s">
        <v>49</v>
      </c>
    </row>
    <row r="1314" spans="1:32" x14ac:dyDescent="0.25">
      <c r="A1314">
        <v>31</v>
      </c>
      <c r="B1314" t="s">
        <v>32</v>
      </c>
      <c r="C1314" t="s">
        <v>33</v>
      </c>
      <c r="D1314" t="s">
        <v>34</v>
      </c>
      <c r="E1314" t="s">
        <v>77</v>
      </c>
      <c r="F1314">
        <v>18</v>
      </c>
      <c r="G1314" t="s">
        <v>66</v>
      </c>
      <c r="H1314">
        <v>4</v>
      </c>
      <c r="I1314" t="s">
        <v>42</v>
      </c>
      <c r="J1314" t="s">
        <v>54</v>
      </c>
      <c r="K1314">
        <v>4</v>
      </c>
      <c r="L1314" t="s">
        <v>65</v>
      </c>
      <c r="M1314">
        <v>1</v>
      </c>
      <c r="N1314" t="s">
        <v>40</v>
      </c>
      <c r="O1314" t="s">
        <v>77</v>
      </c>
      <c r="P1314">
        <v>1</v>
      </c>
      <c r="Q1314" t="s">
        <v>57</v>
      </c>
      <c r="R1314" t="s">
        <v>58</v>
      </c>
      <c r="S1314">
        <v>0</v>
      </c>
      <c r="T1314" t="s">
        <v>44</v>
      </c>
      <c r="U1314" t="s">
        <v>59</v>
      </c>
      <c r="V1314">
        <v>17</v>
      </c>
      <c r="W1314" t="s">
        <v>45</v>
      </c>
      <c r="X1314">
        <v>2</v>
      </c>
      <c r="Y1314">
        <v>3</v>
      </c>
      <c r="Z1314" t="s">
        <v>61</v>
      </c>
      <c r="AA1314">
        <v>1</v>
      </c>
      <c r="AB1314" t="s">
        <v>48</v>
      </c>
      <c r="AC1314">
        <v>0</v>
      </c>
      <c r="AD1314" t="s">
        <v>48</v>
      </c>
      <c r="AE1314">
        <v>0</v>
      </c>
      <c r="AF1314" t="s">
        <v>49</v>
      </c>
    </row>
    <row r="1315" spans="1:32" x14ac:dyDescent="0.25">
      <c r="A1315">
        <v>29</v>
      </c>
      <c r="B1315" t="s">
        <v>63</v>
      </c>
      <c r="C1315" t="s">
        <v>33</v>
      </c>
      <c r="D1315" t="s">
        <v>34</v>
      </c>
      <c r="E1315" t="s">
        <v>77</v>
      </c>
      <c r="F1315">
        <v>13</v>
      </c>
      <c r="G1315" t="s">
        <v>53</v>
      </c>
      <c r="H1315">
        <v>1</v>
      </c>
      <c r="I1315" t="s">
        <v>37</v>
      </c>
      <c r="J1315" t="s">
        <v>54</v>
      </c>
      <c r="K1315">
        <v>2</v>
      </c>
      <c r="L1315" t="s">
        <v>55</v>
      </c>
      <c r="M1315">
        <v>1</v>
      </c>
      <c r="N1315" t="s">
        <v>40</v>
      </c>
      <c r="O1315" t="s">
        <v>77</v>
      </c>
      <c r="P1315">
        <v>1</v>
      </c>
      <c r="Q1315" t="s">
        <v>57</v>
      </c>
      <c r="R1315" t="s">
        <v>67</v>
      </c>
      <c r="S1315">
        <v>4</v>
      </c>
      <c r="T1315" t="s">
        <v>44</v>
      </c>
      <c r="U1315" t="s">
        <v>44</v>
      </c>
      <c r="V1315">
        <v>15</v>
      </c>
      <c r="W1315" t="s">
        <v>45</v>
      </c>
      <c r="X1315">
        <v>4</v>
      </c>
      <c r="Y1315">
        <v>3</v>
      </c>
      <c r="Z1315" t="s">
        <v>61</v>
      </c>
      <c r="AA1315">
        <v>2</v>
      </c>
      <c r="AB1315" t="s">
        <v>48</v>
      </c>
      <c r="AC1315">
        <v>2</v>
      </c>
      <c r="AD1315" t="s">
        <v>48</v>
      </c>
      <c r="AE1315">
        <v>2</v>
      </c>
      <c r="AF1315" t="s">
        <v>49</v>
      </c>
    </row>
    <row r="1316" spans="1:32" x14ac:dyDescent="0.25">
      <c r="A1316">
        <v>45</v>
      </c>
      <c r="B1316" t="s">
        <v>32</v>
      </c>
      <c r="C1316" t="s">
        <v>50</v>
      </c>
      <c r="D1316" t="s">
        <v>34</v>
      </c>
      <c r="E1316" t="s">
        <v>35</v>
      </c>
      <c r="F1316">
        <v>2</v>
      </c>
      <c r="G1316" t="s">
        <v>36</v>
      </c>
      <c r="H1316">
        <v>3</v>
      </c>
      <c r="I1316" t="s">
        <v>42</v>
      </c>
      <c r="J1316" t="s">
        <v>38</v>
      </c>
      <c r="K1316">
        <v>3</v>
      </c>
      <c r="L1316" t="s">
        <v>39</v>
      </c>
      <c r="M1316">
        <v>2</v>
      </c>
      <c r="N1316" t="s">
        <v>40</v>
      </c>
      <c r="O1316" t="s">
        <v>41</v>
      </c>
      <c r="P1316">
        <v>3</v>
      </c>
      <c r="Q1316" t="s">
        <v>42</v>
      </c>
      <c r="R1316" t="s">
        <v>58</v>
      </c>
      <c r="S1316">
        <v>4</v>
      </c>
      <c r="T1316" t="s">
        <v>44</v>
      </c>
      <c r="U1316" t="s">
        <v>59</v>
      </c>
      <c r="V1316">
        <v>22</v>
      </c>
      <c r="W1316" t="s">
        <v>60</v>
      </c>
      <c r="X1316">
        <v>10</v>
      </c>
      <c r="Y1316">
        <v>4</v>
      </c>
      <c r="Z1316" t="s">
        <v>61</v>
      </c>
      <c r="AA1316">
        <v>8</v>
      </c>
      <c r="AB1316" t="s">
        <v>47</v>
      </c>
      <c r="AC1316">
        <v>7</v>
      </c>
      <c r="AD1316" t="s">
        <v>47</v>
      </c>
      <c r="AE1316">
        <v>5</v>
      </c>
      <c r="AF1316" t="s">
        <v>71</v>
      </c>
    </row>
    <row r="1317" spans="1:32" x14ac:dyDescent="0.25">
      <c r="A1317">
        <v>36</v>
      </c>
      <c r="B1317" t="s">
        <v>32</v>
      </c>
      <c r="C1317" t="s">
        <v>50</v>
      </c>
      <c r="D1317" t="s">
        <v>34</v>
      </c>
      <c r="E1317" t="s">
        <v>52</v>
      </c>
      <c r="F1317">
        <v>2</v>
      </c>
      <c r="G1317" t="s">
        <v>36</v>
      </c>
      <c r="H1317">
        <v>4</v>
      </c>
      <c r="I1317" t="s">
        <v>42</v>
      </c>
      <c r="J1317" t="s">
        <v>38</v>
      </c>
      <c r="K1317">
        <v>3</v>
      </c>
      <c r="L1317" t="s">
        <v>39</v>
      </c>
      <c r="M1317">
        <v>2</v>
      </c>
      <c r="N1317" t="s">
        <v>40</v>
      </c>
      <c r="O1317" t="s">
        <v>56</v>
      </c>
      <c r="P1317">
        <v>2</v>
      </c>
      <c r="Q1317" t="s">
        <v>57</v>
      </c>
      <c r="R1317" t="s">
        <v>58</v>
      </c>
      <c r="S1317">
        <v>4</v>
      </c>
      <c r="T1317" t="s">
        <v>44</v>
      </c>
      <c r="U1317" t="s">
        <v>44</v>
      </c>
      <c r="V1317">
        <v>22</v>
      </c>
      <c r="W1317" t="s">
        <v>60</v>
      </c>
      <c r="X1317">
        <v>15</v>
      </c>
      <c r="Y1317">
        <v>3</v>
      </c>
      <c r="Z1317" t="s">
        <v>61</v>
      </c>
      <c r="AA1317">
        <v>1</v>
      </c>
      <c r="AB1317" t="s">
        <v>48</v>
      </c>
      <c r="AC1317">
        <v>0</v>
      </c>
      <c r="AD1317" t="s">
        <v>48</v>
      </c>
      <c r="AE1317">
        <v>0</v>
      </c>
      <c r="AF1317" t="s">
        <v>49</v>
      </c>
    </row>
    <row r="1318" spans="1:32" x14ac:dyDescent="0.25">
      <c r="A1318">
        <v>43</v>
      </c>
      <c r="B1318" t="s">
        <v>32</v>
      </c>
      <c r="C1318" t="s">
        <v>50</v>
      </c>
      <c r="D1318" t="s">
        <v>51</v>
      </c>
      <c r="E1318" t="s">
        <v>35</v>
      </c>
      <c r="F1318">
        <v>2</v>
      </c>
      <c r="G1318" t="s">
        <v>36</v>
      </c>
      <c r="H1318">
        <v>1</v>
      </c>
      <c r="I1318" t="s">
        <v>37</v>
      </c>
      <c r="J1318" t="s">
        <v>54</v>
      </c>
      <c r="K1318">
        <v>3</v>
      </c>
      <c r="L1318" t="s">
        <v>39</v>
      </c>
      <c r="M1318">
        <v>2</v>
      </c>
      <c r="N1318" t="s">
        <v>40</v>
      </c>
      <c r="O1318" t="s">
        <v>41</v>
      </c>
      <c r="P1318">
        <v>4</v>
      </c>
      <c r="Q1318" t="s">
        <v>42</v>
      </c>
      <c r="R1318" t="s">
        <v>58</v>
      </c>
      <c r="S1318">
        <v>1</v>
      </c>
      <c r="T1318" t="s">
        <v>44</v>
      </c>
      <c r="U1318" t="s">
        <v>59</v>
      </c>
      <c r="V1318">
        <v>20</v>
      </c>
      <c r="W1318" t="s">
        <v>60</v>
      </c>
      <c r="X1318">
        <v>7</v>
      </c>
      <c r="Y1318">
        <v>3</v>
      </c>
      <c r="Z1318" t="s">
        <v>61</v>
      </c>
      <c r="AA1318">
        <v>7</v>
      </c>
      <c r="AB1318" t="s">
        <v>47</v>
      </c>
      <c r="AC1318">
        <v>7</v>
      </c>
      <c r="AD1318" t="s">
        <v>47</v>
      </c>
      <c r="AE1318">
        <v>7</v>
      </c>
      <c r="AF1318" t="s">
        <v>71</v>
      </c>
    </row>
    <row r="1319" spans="1:32" x14ac:dyDescent="0.25">
      <c r="A1319">
        <v>27</v>
      </c>
      <c r="B1319" t="s">
        <v>63</v>
      </c>
      <c r="C1319" t="s">
        <v>50</v>
      </c>
      <c r="D1319" t="s">
        <v>51</v>
      </c>
      <c r="E1319" t="s">
        <v>52</v>
      </c>
      <c r="F1319">
        <v>5</v>
      </c>
      <c r="G1319" t="s">
        <v>36</v>
      </c>
      <c r="H1319">
        <v>4</v>
      </c>
      <c r="I1319" t="s">
        <v>42</v>
      </c>
      <c r="J1319" t="s">
        <v>38</v>
      </c>
      <c r="K1319">
        <v>3</v>
      </c>
      <c r="L1319" t="s">
        <v>39</v>
      </c>
      <c r="M1319">
        <v>1</v>
      </c>
      <c r="N1319" t="s">
        <v>40</v>
      </c>
      <c r="O1319" t="s">
        <v>62</v>
      </c>
      <c r="P1319">
        <v>4</v>
      </c>
      <c r="Q1319" t="s">
        <v>42</v>
      </c>
      <c r="R1319" t="s">
        <v>43</v>
      </c>
      <c r="S1319">
        <v>0</v>
      </c>
      <c r="T1319" t="s">
        <v>44</v>
      </c>
      <c r="U1319" t="s">
        <v>44</v>
      </c>
      <c r="V1319">
        <v>14</v>
      </c>
      <c r="W1319" t="s">
        <v>45</v>
      </c>
      <c r="X1319">
        <v>6</v>
      </c>
      <c r="Y1319">
        <v>2</v>
      </c>
      <c r="Z1319" t="s">
        <v>46</v>
      </c>
      <c r="AA1319">
        <v>5</v>
      </c>
      <c r="AB1319" t="s">
        <v>47</v>
      </c>
      <c r="AC1319">
        <v>4</v>
      </c>
      <c r="AD1319" t="s">
        <v>48</v>
      </c>
      <c r="AE1319">
        <v>0</v>
      </c>
      <c r="AF1319" t="s">
        <v>49</v>
      </c>
    </row>
    <row r="1320" spans="1:32" x14ac:dyDescent="0.25">
      <c r="A1320">
        <v>29</v>
      </c>
      <c r="B1320" t="s">
        <v>63</v>
      </c>
      <c r="C1320" t="s">
        <v>50</v>
      </c>
      <c r="D1320" t="s">
        <v>51</v>
      </c>
      <c r="E1320" t="s">
        <v>52</v>
      </c>
      <c r="F1320">
        <v>20</v>
      </c>
      <c r="G1320" t="s">
        <v>66</v>
      </c>
      <c r="H1320">
        <v>4</v>
      </c>
      <c r="I1320" t="s">
        <v>42</v>
      </c>
      <c r="J1320" t="s">
        <v>54</v>
      </c>
      <c r="K1320">
        <v>3</v>
      </c>
      <c r="L1320" t="s">
        <v>39</v>
      </c>
      <c r="M1320">
        <v>1</v>
      </c>
      <c r="N1320" t="s">
        <v>40</v>
      </c>
      <c r="O1320" t="s">
        <v>62</v>
      </c>
      <c r="P1320">
        <v>4</v>
      </c>
      <c r="Q1320" t="s">
        <v>42</v>
      </c>
      <c r="R1320" t="s">
        <v>58</v>
      </c>
      <c r="S1320">
        <v>1</v>
      </c>
      <c r="T1320" t="s">
        <v>44</v>
      </c>
      <c r="U1320" t="s">
        <v>59</v>
      </c>
      <c r="V1320">
        <v>13</v>
      </c>
      <c r="W1320" t="s">
        <v>45</v>
      </c>
      <c r="X1320">
        <v>11</v>
      </c>
      <c r="Y1320">
        <v>4</v>
      </c>
      <c r="Z1320" t="s">
        <v>61</v>
      </c>
      <c r="AA1320">
        <v>11</v>
      </c>
      <c r="AB1320" t="s">
        <v>74</v>
      </c>
      <c r="AC1320">
        <v>8</v>
      </c>
      <c r="AD1320" t="s">
        <v>47</v>
      </c>
      <c r="AE1320">
        <v>3</v>
      </c>
      <c r="AF1320" t="s">
        <v>49</v>
      </c>
    </row>
    <row r="1321" spans="1:32" x14ac:dyDescent="0.25">
      <c r="A1321">
        <v>32</v>
      </c>
      <c r="B1321" t="s">
        <v>32</v>
      </c>
      <c r="C1321" t="s">
        <v>50</v>
      </c>
      <c r="D1321" t="s">
        <v>51</v>
      </c>
      <c r="E1321" t="s">
        <v>35</v>
      </c>
      <c r="F1321">
        <v>10</v>
      </c>
      <c r="G1321" t="s">
        <v>53</v>
      </c>
      <c r="H1321">
        <v>4</v>
      </c>
      <c r="I1321" t="s">
        <v>42</v>
      </c>
      <c r="J1321" t="s">
        <v>54</v>
      </c>
      <c r="K1321">
        <v>3</v>
      </c>
      <c r="L1321" t="s">
        <v>39</v>
      </c>
      <c r="M1321">
        <v>2</v>
      </c>
      <c r="N1321" t="s">
        <v>40</v>
      </c>
      <c r="O1321" t="s">
        <v>41</v>
      </c>
      <c r="P1321">
        <v>4</v>
      </c>
      <c r="Q1321" t="s">
        <v>42</v>
      </c>
      <c r="R1321" t="s">
        <v>43</v>
      </c>
      <c r="S1321">
        <v>8</v>
      </c>
      <c r="T1321" t="s">
        <v>44</v>
      </c>
      <c r="U1321" t="s">
        <v>59</v>
      </c>
      <c r="V1321">
        <v>13</v>
      </c>
      <c r="W1321" t="s">
        <v>45</v>
      </c>
      <c r="X1321">
        <v>4</v>
      </c>
      <c r="Y1321">
        <v>4</v>
      </c>
      <c r="Z1321" t="s">
        <v>61</v>
      </c>
      <c r="AA1321">
        <v>0</v>
      </c>
      <c r="AB1321" t="s">
        <v>48</v>
      </c>
      <c r="AC1321">
        <v>0</v>
      </c>
      <c r="AD1321" t="s">
        <v>48</v>
      </c>
      <c r="AE1321">
        <v>0</v>
      </c>
      <c r="AF1321" t="s">
        <v>49</v>
      </c>
    </row>
    <row r="1322" spans="1:32" x14ac:dyDescent="0.25">
      <c r="A1322">
        <v>42</v>
      </c>
      <c r="B1322" t="s">
        <v>32</v>
      </c>
      <c r="C1322" t="s">
        <v>50</v>
      </c>
      <c r="D1322" t="s">
        <v>34</v>
      </c>
      <c r="E1322" t="s">
        <v>52</v>
      </c>
      <c r="F1322">
        <v>10</v>
      </c>
      <c r="G1322" t="s">
        <v>53</v>
      </c>
      <c r="H1322">
        <v>3</v>
      </c>
      <c r="I1322" t="s">
        <v>42</v>
      </c>
      <c r="J1322" t="s">
        <v>54</v>
      </c>
      <c r="K1322">
        <v>3</v>
      </c>
      <c r="L1322" t="s">
        <v>39</v>
      </c>
      <c r="M1322">
        <v>1</v>
      </c>
      <c r="N1322" t="s">
        <v>40</v>
      </c>
      <c r="O1322" t="s">
        <v>56</v>
      </c>
      <c r="P1322">
        <v>3</v>
      </c>
      <c r="Q1322" t="s">
        <v>42</v>
      </c>
      <c r="R1322" t="s">
        <v>58</v>
      </c>
      <c r="S1322">
        <v>3</v>
      </c>
      <c r="T1322" t="s">
        <v>44</v>
      </c>
      <c r="U1322" t="s">
        <v>59</v>
      </c>
      <c r="V1322">
        <v>22</v>
      </c>
      <c r="W1322" t="s">
        <v>60</v>
      </c>
      <c r="X1322">
        <v>10</v>
      </c>
      <c r="Y1322">
        <v>2</v>
      </c>
      <c r="Z1322" t="s">
        <v>46</v>
      </c>
      <c r="AA1322">
        <v>6</v>
      </c>
      <c r="AB1322" t="s">
        <v>47</v>
      </c>
      <c r="AC1322">
        <v>3</v>
      </c>
      <c r="AD1322" t="s">
        <v>48</v>
      </c>
      <c r="AE1322">
        <v>3</v>
      </c>
      <c r="AF1322" t="s">
        <v>49</v>
      </c>
    </row>
    <row r="1323" spans="1:32" x14ac:dyDescent="0.25">
      <c r="A1323">
        <v>47</v>
      </c>
      <c r="B1323" t="s">
        <v>32</v>
      </c>
      <c r="C1323" t="s">
        <v>50</v>
      </c>
      <c r="D1323" t="s">
        <v>34</v>
      </c>
      <c r="E1323" t="s">
        <v>52</v>
      </c>
      <c r="F1323">
        <v>9</v>
      </c>
      <c r="G1323" t="s">
        <v>53</v>
      </c>
      <c r="H1323">
        <v>2</v>
      </c>
      <c r="I1323" t="s">
        <v>37</v>
      </c>
      <c r="J1323" t="s">
        <v>38</v>
      </c>
      <c r="K1323">
        <v>3</v>
      </c>
      <c r="L1323" t="s">
        <v>39</v>
      </c>
      <c r="M1323">
        <v>1</v>
      </c>
      <c r="N1323" t="s">
        <v>40</v>
      </c>
      <c r="O1323" t="s">
        <v>62</v>
      </c>
      <c r="P1323">
        <v>3</v>
      </c>
      <c r="Q1323" t="s">
        <v>42</v>
      </c>
      <c r="R1323" t="s">
        <v>43</v>
      </c>
      <c r="S1323">
        <v>4</v>
      </c>
      <c r="T1323" t="s">
        <v>44</v>
      </c>
      <c r="U1323" t="s">
        <v>59</v>
      </c>
      <c r="V1323">
        <v>12</v>
      </c>
      <c r="W1323" t="s">
        <v>45</v>
      </c>
      <c r="X1323">
        <v>7</v>
      </c>
      <c r="Y1323">
        <v>3</v>
      </c>
      <c r="Z1323" t="s">
        <v>61</v>
      </c>
      <c r="AA1323">
        <v>2</v>
      </c>
      <c r="AB1323" t="s">
        <v>48</v>
      </c>
      <c r="AC1323">
        <v>2</v>
      </c>
      <c r="AD1323" t="s">
        <v>48</v>
      </c>
      <c r="AE1323">
        <v>2</v>
      </c>
      <c r="AF1323" t="s">
        <v>49</v>
      </c>
    </row>
    <row r="1324" spans="1:32" x14ac:dyDescent="0.25">
      <c r="A1324">
        <v>46</v>
      </c>
      <c r="B1324" t="s">
        <v>32</v>
      </c>
      <c r="C1324" t="s">
        <v>50</v>
      </c>
      <c r="D1324" t="s">
        <v>34</v>
      </c>
      <c r="E1324" t="s">
        <v>52</v>
      </c>
      <c r="F1324">
        <v>2</v>
      </c>
      <c r="G1324" t="s">
        <v>36</v>
      </c>
      <c r="H1324">
        <v>4</v>
      </c>
      <c r="I1324" t="s">
        <v>42</v>
      </c>
      <c r="J1324" t="s">
        <v>54</v>
      </c>
      <c r="K1324">
        <v>3</v>
      </c>
      <c r="L1324" t="s">
        <v>39</v>
      </c>
      <c r="M1324">
        <v>3</v>
      </c>
      <c r="N1324" t="s">
        <v>68</v>
      </c>
      <c r="O1324" t="s">
        <v>69</v>
      </c>
      <c r="P1324">
        <v>4</v>
      </c>
      <c r="Q1324" t="s">
        <v>42</v>
      </c>
      <c r="R1324" t="s">
        <v>67</v>
      </c>
      <c r="S1324">
        <v>3</v>
      </c>
      <c r="T1324" t="s">
        <v>44</v>
      </c>
      <c r="U1324" t="s">
        <v>59</v>
      </c>
      <c r="V1324">
        <v>14</v>
      </c>
      <c r="W1324" t="s">
        <v>45</v>
      </c>
      <c r="X1324">
        <v>12</v>
      </c>
      <c r="Y1324">
        <v>2</v>
      </c>
      <c r="Z1324" t="s">
        <v>46</v>
      </c>
      <c r="AA1324">
        <v>9</v>
      </c>
      <c r="AB1324" t="s">
        <v>47</v>
      </c>
      <c r="AC1324">
        <v>8</v>
      </c>
      <c r="AD1324" t="s">
        <v>47</v>
      </c>
      <c r="AE1324">
        <v>4</v>
      </c>
      <c r="AF1324" t="s">
        <v>71</v>
      </c>
    </row>
    <row r="1325" spans="1:32" x14ac:dyDescent="0.25">
      <c r="A1325">
        <v>28</v>
      </c>
      <c r="B1325" t="s">
        <v>63</v>
      </c>
      <c r="C1325" t="s">
        <v>50</v>
      </c>
      <c r="D1325" t="s">
        <v>34</v>
      </c>
      <c r="E1325" t="s">
        <v>77</v>
      </c>
      <c r="F1325">
        <v>1</v>
      </c>
      <c r="G1325" t="s">
        <v>36</v>
      </c>
      <c r="H1325">
        <v>3</v>
      </c>
      <c r="I1325" t="s">
        <v>42</v>
      </c>
      <c r="J1325" t="s">
        <v>54</v>
      </c>
      <c r="K1325">
        <v>3</v>
      </c>
      <c r="L1325" t="s">
        <v>39</v>
      </c>
      <c r="M1325">
        <v>1</v>
      </c>
      <c r="N1325" t="s">
        <v>40</v>
      </c>
      <c r="O1325" t="s">
        <v>77</v>
      </c>
      <c r="P1325">
        <v>4</v>
      </c>
      <c r="Q1325" t="s">
        <v>42</v>
      </c>
      <c r="R1325" t="s">
        <v>67</v>
      </c>
      <c r="S1325">
        <v>1</v>
      </c>
      <c r="T1325" t="s">
        <v>44</v>
      </c>
      <c r="U1325" t="s">
        <v>59</v>
      </c>
      <c r="V1325">
        <v>15</v>
      </c>
      <c r="W1325" t="s">
        <v>45</v>
      </c>
      <c r="X1325">
        <v>3</v>
      </c>
      <c r="Y1325">
        <v>3</v>
      </c>
      <c r="Z1325" t="s">
        <v>61</v>
      </c>
      <c r="AA1325">
        <v>3</v>
      </c>
      <c r="AB1325" t="s">
        <v>48</v>
      </c>
      <c r="AC1325">
        <v>2</v>
      </c>
      <c r="AD1325" t="s">
        <v>48</v>
      </c>
      <c r="AE1325">
        <v>2</v>
      </c>
      <c r="AF1325" t="s">
        <v>49</v>
      </c>
    </row>
    <row r="1326" spans="1:32" x14ac:dyDescent="0.25">
      <c r="A1326">
        <v>29</v>
      </c>
      <c r="B1326" t="s">
        <v>63</v>
      </c>
      <c r="C1326" t="s">
        <v>50</v>
      </c>
      <c r="D1326" t="s">
        <v>34</v>
      </c>
      <c r="E1326" t="s">
        <v>52</v>
      </c>
      <c r="F1326">
        <v>29</v>
      </c>
      <c r="G1326" t="s">
        <v>66</v>
      </c>
      <c r="H1326">
        <v>4</v>
      </c>
      <c r="I1326" t="s">
        <v>42</v>
      </c>
      <c r="J1326" t="s">
        <v>54</v>
      </c>
      <c r="K1326">
        <v>1</v>
      </c>
      <c r="L1326" t="s">
        <v>55</v>
      </c>
      <c r="M1326">
        <v>2</v>
      </c>
      <c r="N1326" t="s">
        <v>40</v>
      </c>
      <c r="O1326" t="s">
        <v>70</v>
      </c>
      <c r="P1326">
        <v>3</v>
      </c>
      <c r="Q1326" t="s">
        <v>42</v>
      </c>
      <c r="R1326" t="s">
        <v>67</v>
      </c>
      <c r="S1326">
        <v>8</v>
      </c>
      <c r="T1326" t="s">
        <v>44</v>
      </c>
      <c r="U1326" t="s">
        <v>59</v>
      </c>
      <c r="V1326">
        <v>17</v>
      </c>
      <c r="W1326" t="s">
        <v>45</v>
      </c>
      <c r="X1326">
        <v>11</v>
      </c>
      <c r="Y1326">
        <v>3</v>
      </c>
      <c r="Z1326" t="s">
        <v>61</v>
      </c>
      <c r="AA1326">
        <v>7</v>
      </c>
      <c r="AB1326" t="s">
        <v>47</v>
      </c>
      <c r="AC1326">
        <v>0</v>
      </c>
      <c r="AD1326" t="s">
        <v>48</v>
      </c>
      <c r="AE1326">
        <v>1</v>
      </c>
      <c r="AF1326" t="s">
        <v>49</v>
      </c>
    </row>
    <row r="1327" spans="1:32" x14ac:dyDescent="0.25">
      <c r="A1327">
        <v>42</v>
      </c>
      <c r="B1327" t="s">
        <v>32</v>
      </c>
      <c r="C1327" t="s">
        <v>50</v>
      </c>
      <c r="D1327" t="s">
        <v>34</v>
      </c>
      <c r="E1327" t="s">
        <v>52</v>
      </c>
      <c r="F1327">
        <v>8</v>
      </c>
      <c r="G1327" t="s">
        <v>53</v>
      </c>
      <c r="H1327">
        <v>4</v>
      </c>
      <c r="I1327" t="s">
        <v>42</v>
      </c>
      <c r="J1327" t="s">
        <v>54</v>
      </c>
      <c r="K1327">
        <v>3</v>
      </c>
      <c r="L1327" t="s">
        <v>39</v>
      </c>
      <c r="M1327">
        <v>1</v>
      </c>
      <c r="N1327" t="s">
        <v>40</v>
      </c>
      <c r="O1327" t="s">
        <v>62</v>
      </c>
      <c r="P1327">
        <v>3</v>
      </c>
      <c r="Q1327" t="s">
        <v>42</v>
      </c>
      <c r="R1327" t="s">
        <v>43</v>
      </c>
      <c r="S1327">
        <v>4</v>
      </c>
      <c r="T1327" t="s">
        <v>44</v>
      </c>
      <c r="U1327" t="s">
        <v>59</v>
      </c>
      <c r="V1327">
        <v>13</v>
      </c>
      <c r="W1327" t="s">
        <v>45</v>
      </c>
      <c r="X1327">
        <v>8</v>
      </c>
      <c r="Y1327">
        <v>3</v>
      </c>
      <c r="Z1327" t="s">
        <v>61</v>
      </c>
      <c r="AA1327">
        <v>0</v>
      </c>
      <c r="AB1327" t="s">
        <v>48</v>
      </c>
      <c r="AC1327">
        <v>0</v>
      </c>
      <c r="AD1327" t="s">
        <v>48</v>
      </c>
      <c r="AE1327">
        <v>0</v>
      </c>
      <c r="AF1327" t="s">
        <v>49</v>
      </c>
    </row>
    <row r="1328" spans="1:32" x14ac:dyDescent="0.25">
      <c r="A1328">
        <v>32</v>
      </c>
      <c r="B1328" t="s">
        <v>32</v>
      </c>
      <c r="C1328" t="s">
        <v>33</v>
      </c>
      <c r="D1328" t="s">
        <v>34</v>
      </c>
      <c r="E1328" t="s">
        <v>35</v>
      </c>
      <c r="F1328">
        <v>2</v>
      </c>
      <c r="G1328" t="s">
        <v>36</v>
      </c>
      <c r="H1328">
        <v>3</v>
      </c>
      <c r="I1328" t="s">
        <v>42</v>
      </c>
      <c r="J1328" t="s">
        <v>54</v>
      </c>
      <c r="K1328">
        <v>2</v>
      </c>
      <c r="L1328" t="s">
        <v>55</v>
      </c>
      <c r="M1328">
        <v>2</v>
      </c>
      <c r="N1328" t="s">
        <v>40</v>
      </c>
      <c r="O1328" t="s">
        <v>41</v>
      </c>
      <c r="P1328">
        <v>2</v>
      </c>
      <c r="Q1328" t="s">
        <v>57</v>
      </c>
      <c r="R1328" t="s">
        <v>43</v>
      </c>
      <c r="S1328">
        <v>7</v>
      </c>
      <c r="T1328" t="s">
        <v>44</v>
      </c>
      <c r="U1328" t="s">
        <v>44</v>
      </c>
      <c r="V1328">
        <v>12</v>
      </c>
      <c r="W1328" t="s">
        <v>45</v>
      </c>
      <c r="X1328">
        <v>7</v>
      </c>
      <c r="Y1328">
        <v>2</v>
      </c>
      <c r="Z1328" t="s">
        <v>46</v>
      </c>
      <c r="AA1328">
        <v>2</v>
      </c>
      <c r="AB1328" t="s">
        <v>48</v>
      </c>
      <c r="AC1328">
        <v>2</v>
      </c>
      <c r="AD1328" t="s">
        <v>48</v>
      </c>
      <c r="AE1328">
        <v>2</v>
      </c>
      <c r="AF1328" t="s">
        <v>49</v>
      </c>
    </row>
    <row r="1329" spans="1:32" x14ac:dyDescent="0.25">
      <c r="A1329">
        <v>46</v>
      </c>
      <c r="B1329" t="s">
        <v>32</v>
      </c>
      <c r="C1329" t="s">
        <v>50</v>
      </c>
      <c r="D1329" t="s">
        <v>34</v>
      </c>
      <c r="E1329" t="s">
        <v>35</v>
      </c>
      <c r="F1329">
        <v>3</v>
      </c>
      <c r="G1329" t="s">
        <v>36</v>
      </c>
      <c r="H1329">
        <v>1</v>
      </c>
      <c r="I1329" t="s">
        <v>37</v>
      </c>
      <c r="J1329" t="s">
        <v>38</v>
      </c>
      <c r="K1329">
        <v>4</v>
      </c>
      <c r="L1329" t="s">
        <v>65</v>
      </c>
      <c r="M1329">
        <v>4</v>
      </c>
      <c r="N1329" t="s">
        <v>72</v>
      </c>
      <c r="O1329" t="s">
        <v>41</v>
      </c>
      <c r="P1329">
        <v>1</v>
      </c>
      <c r="Q1329" t="s">
        <v>57</v>
      </c>
      <c r="R1329" t="s">
        <v>67</v>
      </c>
      <c r="S1329">
        <v>2</v>
      </c>
      <c r="T1329" t="s">
        <v>44</v>
      </c>
      <c r="U1329" t="s">
        <v>59</v>
      </c>
      <c r="V1329">
        <v>12</v>
      </c>
      <c r="W1329" t="s">
        <v>45</v>
      </c>
      <c r="X1329">
        <v>25</v>
      </c>
      <c r="Y1329">
        <v>3</v>
      </c>
      <c r="Z1329" t="s">
        <v>61</v>
      </c>
      <c r="AA1329">
        <v>19</v>
      </c>
      <c r="AB1329" t="s">
        <v>74</v>
      </c>
      <c r="AC1329">
        <v>17</v>
      </c>
      <c r="AD1329" t="s">
        <v>74</v>
      </c>
      <c r="AE1329">
        <v>2</v>
      </c>
      <c r="AF1329" t="s">
        <v>49</v>
      </c>
    </row>
    <row r="1330" spans="1:32" x14ac:dyDescent="0.25">
      <c r="A1330">
        <v>27</v>
      </c>
      <c r="B1330" t="s">
        <v>63</v>
      </c>
      <c r="C1330" t="s">
        <v>50</v>
      </c>
      <c r="D1330" t="s">
        <v>34</v>
      </c>
      <c r="E1330" t="s">
        <v>35</v>
      </c>
      <c r="F1330">
        <v>23</v>
      </c>
      <c r="G1330" t="s">
        <v>66</v>
      </c>
      <c r="H1330">
        <v>2</v>
      </c>
      <c r="I1330" t="s">
        <v>37</v>
      </c>
      <c r="J1330" t="s">
        <v>38</v>
      </c>
      <c r="K1330">
        <v>2</v>
      </c>
      <c r="L1330" t="s">
        <v>55</v>
      </c>
      <c r="M1330">
        <v>2</v>
      </c>
      <c r="N1330" t="s">
        <v>40</v>
      </c>
      <c r="O1330" t="s">
        <v>75</v>
      </c>
      <c r="P1330">
        <v>3</v>
      </c>
      <c r="Q1330" t="s">
        <v>42</v>
      </c>
      <c r="R1330" t="s">
        <v>58</v>
      </c>
      <c r="S1330">
        <v>1</v>
      </c>
      <c r="T1330" t="s">
        <v>44</v>
      </c>
      <c r="U1330" t="s">
        <v>59</v>
      </c>
      <c r="V1330">
        <v>21</v>
      </c>
      <c r="W1330" t="s">
        <v>60</v>
      </c>
      <c r="X1330">
        <v>9</v>
      </c>
      <c r="Y1330">
        <v>3</v>
      </c>
      <c r="Z1330" t="s">
        <v>61</v>
      </c>
      <c r="AA1330">
        <v>9</v>
      </c>
      <c r="AB1330" t="s">
        <v>47</v>
      </c>
      <c r="AC1330">
        <v>8</v>
      </c>
      <c r="AD1330" t="s">
        <v>47</v>
      </c>
      <c r="AE1330">
        <v>5</v>
      </c>
      <c r="AF1330" t="s">
        <v>71</v>
      </c>
    </row>
    <row r="1331" spans="1:32" x14ac:dyDescent="0.25">
      <c r="A1331">
        <v>29</v>
      </c>
      <c r="B1331" t="s">
        <v>63</v>
      </c>
      <c r="C1331" t="s">
        <v>50</v>
      </c>
      <c r="D1331" t="s">
        <v>34</v>
      </c>
      <c r="E1331" t="s">
        <v>77</v>
      </c>
      <c r="F1331">
        <v>6</v>
      </c>
      <c r="G1331" t="s">
        <v>53</v>
      </c>
      <c r="H1331">
        <v>4</v>
      </c>
      <c r="I1331" t="s">
        <v>42</v>
      </c>
      <c r="J1331" t="s">
        <v>54</v>
      </c>
      <c r="K1331">
        <v>2</v>
      </c>
      <c r="L1331" t="s">
        <v>55</v>
      </c>
      <c r="M1331">
        <v>1</v>
      </c>
      <c r="N1331" t="s">
        <v>40</v>
      </c>
      <c r="O1331" t="s">
        <v>77</v>
      </c>
      <c r="P1331">
        <v>2</v>
      </c>
      <c r="Q1331" t="s">
        <v>57</v>
      </c>
      <c r="R1331" t="s">
        <v>58</v>
      </c>
      <c r="S1331">
        <v>1</v>
      </c>
      <c r="T1331" t="s">
        <v>44</v>
      </c>
      <c r="U1331" t="s">
        <v>59</v>
      </c>
      <c r="V1331">
        <v>11</v>
      </c>
      <c r="W1331" t="s">
        <v>45</v>
      </c>
      <c r="X1331">
        <v>1</v>
      </c>
      <c r="Y1331">
        <v>3</v>
      </c>
      <c r="Z1331" t="s">
        <v>61</v>
      </c>
      <c r="AA1331">
        <v>1</v>
      </c>
      <c r="AB1331" t="s">
        <v>48</v>
      </c>
      <c r="AC1331">
        <v>0</v>
      </c>
      <c r="AD1331" t="s">
        <v>48</v>
      </c>
      <c r="AE1331">
        <v>0</v>
      </c>
      <c r="AF1331" t="s">
        <v>49</v>
      </c>
    </row>
    <row r="1332" spans="1:32" x14ac:dyDescent="0.25">
      <c r="A1332">
        <v>43</v>
      </c>
      <c r="B1332" t="s">
        <v>32</v>
      </c>
      <c r="C1332" t="s">
        <v>50</v>
      </c>
      <c r="D1332" t="s">
        <v>34</v>
      </c>
      <c r="E1332" t="s">
        <v>52</v>
      </c>
      <c r="F1332">
        <v>6</v>
      </c>
      <c r="G1332" t="s">
        <v>53</v>
      </c>
      <c r="H1332">
        <v>1</v>
      </c>
      <c r="I1332" t="s">
        <v>37</v>
      </c>
      <c r="J1332" t="s">
        <v>38</v>
      </c>
      <c r="K1332">
        <v>2</v>
      </c>
      <c r="L1332" t="s">
        <v>55</v>
      </c>
      <c r="M1332">
        <v>5</v>
      </c>
      <c r="N1332" t="s">
        <v>72</v>
      </c>
      <c r="O1332" t="s">
        <v>73</v>
      </c>
      <c r="P1332">
        <v>3</v>
      </c>
      <c r="Q1332" t="s">
        <v>42</v>
      </c>
      <c r="R1332" t="s">
        <v>58</v>
      </c>
      <c r="S1332">
        <v>7</v>
      </c>
      <c r="T1332" t="s">
        <v>44</v>
      </c>
      <c r="U1332" t="s">
        <v>59</v>
      </c>
      <c r="V1332">
        <v>13</v>
      </c>
      <c r="W1332" t="s">
        <v>45</v>
      </c>
      <c r="X1332">
        <v>21</v>
      </c>
      <c r="Y1332">
        <v>3</v>
      </c>
      <c r="Z1332" t="s">
        <v>61</v>
      </c>
      <c r="AA1332">
        <v>16</v>
      </c>
      <c r="AB1332" t="s">
        <v>74</v>
      </c>
      <c r="AC1332">
        <v>12</v>
      </c>
      <c r="AD1332" t="s">
        <v>74</v>
      </c>
      <c r="AE1332">
        <v>6</v>
      </c>
      <c r="AF1332" t="s">
        <v>71</v>
      </c>
    </row>
    <row r="1333" spans="1:32" x14ac:dyDescent="0.25">
      <c r="A1333">
        <v>48</v>
      </c>
      <c r="B1333" t="s">
        <v>32</v>
      </c>
      <c r="C1333" t="s">
        <v>50</v>
      </c>
      <c r="D1333" t="s">
        <v>34</v>
      </c>
      <c r="E1333" t="s">
        <v>52</v>
      </c>
      <c r="F1333">
        <v>10</v>
      </c>
      <c r="G1333" t="s">
        <v>53</v>
      </c>
      <c r="H1333">
        <v>4</v>
      </c>
      <c r="I1333" t="s">
        <v>42</v>
      </c>
      <c r="J1333" t="s">
        <v>54</v>
      </c>
      <c r="K1333">
        <v>2</v>
      </c>
      <c r="L1333" t="s">
        <v>55</v>
      </c>
      <c r="M1333">
        <v>5</v>
      </c>
      <c r="N1333" t="s">
        <v>72</v>
      </c>
      <c r="O1333" t="s">
        <v>76</v>
      </c>
      <c r="P1333">
        <v>2</v>
      </c>
      <c r="Q1333" t="s">
        <v>57</v>
      </c>
      <c r="R1333" t="s">
        <v>58</v>
      </c>
      <c r="S1333">
        <v>4</v>
      </c>
      <c r="T1333" t="s">
        <v>44</v>
      </c>
      <c r="U1333" t="s">
        <v>59</v>
      </c>
      <c r="V1333">
        <v>12</v>
      </c>
      <c r="W1333" t="s">
        <v>45</v>
      </c>
      <c r="X1333">
        <v>29</v>
      </c>
      <c r="Y1333">
        <v>3</v>
      </c>
      <c r="Z1333" t="s">
        <v>61</v>
      </c>
      <c r="AA1333">
        <v>22</v>
      </c>
      <c r="AB1333" t="s">
        <v>74</v>
      </c>
      <c r="AC1333">
        <v>10</v>
      </c>
      <c r="AD1333" t="s">
        <v>47</v>
      </c>
      <c r="AE1333">
        <v>12</v>
      </c>
      <c r="AF1333" t="s">
        <v>71</v>
      </c>
    </row>
    <row r="1334" spans="1:32" x14ac:dyDescent="0.25">
      <c r="A1334">
        <v>29</v>
      </c>
      <c r="B1334" t="s">
        <v>63</v>
      </c>
      <c r="C1334" t="s">
        <v>33</v>
      </c>
      <c r="D1334" t="s">
        <v>51</v>
      </c>
      <c r="E1334" t="s">
        <v>52</v>
      </c>
      <c r="F1334">
        <v>24</v>
      </c>
      <c r="G1334" t="s">
        <v>66</v>
      </c>
      <c r="H1334">
        <v>4</v>
      </c>
      <c r="I1334" t="s">
        <v>42</v>
      </c>
      <c r="J1334" t="s">
        <v>54</v>
      </c>
      <c r="K1334">
        <v>2</v>
      </c>
      <c r="L1334" t="s">
        <v>55</v>
      </c>
      <c r="M1334">
        <v>1</v>
      </c>
      <c r="N1334" t="s">
        <v>40</v>
      </c>
      <c r="O1334" t="s">
        <v>56</v>
      </c>
      <c r="P1334">
        <v>4</v>
      </c>
      <c r="Q1334" t="s">
        <v>42</v>
      </c>
      <c r="R1334" t="s">
        <v>43</v>
      </c>
      <c r="S1334">
        <v>1</v>
      </c>
      <c r="T1334" t="s">
        <v>44</v>
      </c>
      <c r="U1334" t="s">
        <v>44</v>
      </c>
      <c r="V1334">
        <v>24</v>
      </c>
      <c r="W1334" t="s">
        <v>60</v>
      </c>
      <c r="X1334">
        <v>1</v>
      </c>
      <c r="Y1334">
        <v>2</v>
      </c>
      <c r="Z1334" t="s">
        <v>46</v>
      </c>
      <c r="AA1334">
        <v>1</v>
      </c>
      <c r="AB1334" t="s">
        <v>48</v>
      </c>
      <c r="AC1334">
        <v>0</v>
      </c>
      <c r="AD1334" t="s">
        <v>48</v>
      </c>
      <c r="AE1334">
        <v>1</v>
      </c>
      <c r="AF1334" t="s">
        <v>49</v>
      </c>
    </row>
    <row r="1335" spans="1:32" x14ac:dyDescent="0.25">
      <c r="A1335">
        <v>46</v>
      </c>
      <c r="B1335" t="s">
        <v>32</v>
      </c>
      <c r="C1335" t="s">
        <v>33</v>
      </c>
      <c r="D1335" t="s">
        <v>34</v>
      </c>
      <c r="E1335" t="s">
        <v>35</v>
      </c>
      <c r="F1335">
        <v>10</v>
      </c>
      <c r="G1335" t="s">
        <v>53</v>
      </c>
      <c r="H1335">
        <v>3</v>
      </c>
      <c r="I1335" t="s">
        <v>42</v>
      </c>
      <c r="J1335" t="s">
        <v>38</v>
      </c>
      <c r="K1335">
        <v>3</v>
      </c>
      <c r="L1335" t="s">
        <v>39</v>
      </c>
      <c r="M1335">
        <v>3</v>
      </c>
      <c r="N1335" t="s">
        <v>68</v>
      </c>
      <c r="O1335" t="s">
        <v>41</v>
      </c>
      <c r="P1335">
        <v>2</v>
      </c>
      <c r="Q1335" t="s">
        <v>57</v>
      </c>
      <c r="R1335" t="s">
        <v>58</v>
      </c>
      <c r="S1335">
        <v>5</v>
      </c>
      <c r="T1335" t="s">
        <v>44</v>
      </c>
      <c r="U1335" t="s">
        <v>59</v>
      </c>
      <c r="V1335">
        <v>21</v>
      </c>
      <c r="W1335" t="s">
        <v>60</v>
      </c>
      <c r="X1335">
        <v>14</v>
      </c>
      <c r="Y1335">
        <v>3</v>
      </c>
      <c r="Z1335" t="s">
        <v>61</v>
      </c>
      <c r="AA1335">
        <v>8</v>
      </c>
      <c r="AB1335" t="s">
        <v>47</v>
      </c>
      <c r="AC1335">
        <v>7</v>
      </c>
      <c r="AD1335" t="s">
        <v>47</v>
      </c>
      <c r="AE1335">
        <v>0</v>
      </c>
      <c r="AF1335" t="s">
        <v>49</v>
      </c>
    </row>
    <row r="1336" spans="1:32" x14ac:dyDescent="0.25">
      <c r="A1336">
        <v>27</v>
      </c>
      <c r="B1336" t="s">
        <v>63</v>
      </c>
      <c r="C1336" t="s">
        <v>50</v>
      </c>
      <c r="D1336" t="s">
        <v>51</v>
      </c>
      <c r="E1336" t="s">
        <v>52</v>
      </c>
      <c r="F1336">
        <v>15</v>
      </c>
      <c r="G1336" t="s">
        <v>66</v>
      </c>
      <c r="H1336">
        <v>4</v>
      </c>
      <c r="I1336" t="s">
        <v>42</v>
      </c>
      <c r="J1336" t="s">
        <v>38</v>
      </c>
      <c r="K1336">
        <v>2</v>
      </c>
      <c r="L1336" t="s">
        <v>55</v>
      </c>
      <c r="M1336">
        <v>1</v>
      </c>
      <c r="N1336" t="s">
        <v>40</v>
      </c>
      <c r="O1336" t="s">
        <v>56</v>
      </c>
      <c r="P1336">
        <v>1</v>
      </c>
      <c r="Q1336" t="s">
        <v>57</v>
      </c>
      <c r="R1336" t="s">
        <v>58</v>
      </c>
      <c r="S1336">
        <v>0</v>
      </c>
      <c r="T1336" t="s">
        <v>44</v>
      </c>
      <c r="U1336" t="s">
        <v>59</v>
      </c>
      <c r="V1336">
        <v>19</v>
      </c>
      <c r="W1336" t="s">
        <v>45</v>
      </c>
      <c r="X1336">
        <v>8</v>
      </c>
      <c r="Y1336">
        <v>2</v>
      </c>
      <c r="Z1336" t="s">
        <v>46</v>
      </c>
      <c r="AA1336">
        <v>7</v>
      </c>
      <c r="AB1336" t="s">
        <v>47</v>
      </c>
      <c r="AC1336">
        <v>6</v>
      </c>
      <c r="AD1336" t="s">
        <v>47</v>
      </c>
      <c r="AE1336">
        <v>7</v>
      </c>
      <c r="AF1336" t="s">
        <v>71</v>
      </c>
    </row>
    <row r="1337" spans="1:32" x14ac:dyDescent="0.25">
      <c r="A1337">
        <v>39</v>
      </c>
      <c r="B1337" t="s">
        <v>32</v>
      </c>
      <c r="C1337" t="s">
        <v>50</v>
      </c>
      <c r="D1337" t="s">
        <v>34</v>
      </c>
      <c r="E1337" t="s">
        <v>52</v>
      </c>
      <c r="F1337">
        <v>19</v>
      </c>
      <c r="G1337" t="s">
        <v>66</v>
      </c>
      <c r="H1337">
        <v>4</v>
      </c>
      <c r="I1337" t="s">
        <v>42</v>
      </c>
      <c r="J1337" t="s">
        <v>54</v>
      </c>
      <c r="K1337">
        <v>3</v>
      </c>
      <c r="L1337" t="s">
        <v>39</v>
      </c>
      <c r="M1337">
        <v>2</v>
      </c>
      <c r="N1337" t="s">
        <v>40</v>
      </c>
      <c r="O1337" t="s">
        <v>56</v>
      </c>
      <c r="P1337">
        <v>4</v>
      </c>
      <c r="Q1337" t="s">
        <v>42</v>
      </c>
      <c r="R1337" t="s">
        <v>67</v>
      </c>
      <c r="S1337">
        <v>8</v>
      </c>
      <c r="T1337" t="s">
        <v>44</v>
      </c>
      <c r="U1337" t="s">
        <v>59</v>
      </c>
      <c r="V1337">
        <v>14</v>
      </c>
      <c r="W1337" t="s">
        <v>45</v>
      </c>
      <c r="X1337">
        <v>7</v>
      </c>
      <c r="Y1337">
        <v>3</v>
      </c>
      <c r="Z1337" t="s">
        <v>61</v>
      </c>
      <c r="AA1337">
        <v>2</v>
      </c>
      <c r="AB1337" t="s">
        <v>48</v>
      </c>
      <c r="AC1337">
        <v>2</v>
      </c>
      <c r="AD1337" t="s">
        <v>48</v>
      </c>
      <c r="AE1337">
        <v>2</v>
      </c>
      <c r="AF1337" t="s">
        <v>49</v>
      </c>
    </row>
    <row r="1338" spans="1:32" x14ac:dyDescent="0.25">
      <c r="A1338">
        <v>55</v>
      </c>
      <c r="B1338" t="s">
        <v>64</v>
      </c>
      <c r="C1338" t="s">
        <v>50</v>
      </c>
      <c r="D1338" t="s">
        <v>34</v>
      </c>
      <c r="E1338" t="s">
        <v>52</v>
      </c>
      <c r="F1338">
        <v>2</v>
      </c>
      <c r="G1338" t="s">
        <v>36</v>
      </c>
      <c r="H1338">
        <v>2</v>
      </c>
      <c r="I1338" t="s">
        <v>37</v>
      </c>
      <c r="J1338" t="s">
        <v>54</v>
      </c>
      <c r="K1338">
        <v>2</v>
      </c>
      <c r="L1338" t="s">
        <v>55</v>
      </c>
      <c r="M1338">
        <v>1</v>
      </c>
      <c r="N1338" t="s">
        <v>40</v>
      </c>
      <c r="O1338" t="s">
        <v>56</v>
      </c>
      <c r="P1338">
        <v>4</v>
      </c>
      <c r="Q1338" t="s">
        <v>42</v>
      </c>
      <c r="R1338" t="s">
        <v>58</v>
      </c>
      <c r="S1338">
        <v>8</v>
      </c>
      <c r="T1338" t="s">
        <v>44</v>
      </c>
      <c r="U1338" t="s">
        <v>59</v>
      </c>
      <c r="V1338">
        <v>20</v>
      </c>
      <c r="W1338" t="s">
        <v>60</v>
      </c>
      <c r="X1338">
        <v>19</v>
      </c>
      <c r="Y1338">
        <v>4</v>
      </c>
      <c r="Z1338" t="s">
        <v>61</v>
      </c>
      <c r="AA1338">
        <v>5</v>
      </c>
      <c r="AB1338" t="s">
        <v>47</v>
      </c>
      <c r="AC1338">
        <v>2</v>
      </c>
      <c r="AD1338" t="s">
        <v>48</v>
      </c>
      <c r="AE1338">
        <v>0</v>
      </c>
      <c r="AF1338" t="s">
        <v>49</v>
      </c>
    </row>
    <row r="1339" spans="1:32" x14ac:dyDescent="0.25">
      <c r="A1339">
        <v>28</v>
      </c>
      <c r="B1339" t="s">
        <v>63</v>
      </c>
      <c r="C1339" t="s">
        <v>50</v>
      </c>
      <c r="D1339" t="s">
        <v>34</v>
      </c>
      <c r="E1339" t="s">
        <v>35</v>
      </c>
      <c r="F1339">
        <v>3</v>
      </c>
      <c r="G1339" t="s">
        <v>36</v>
      </c>
      <c r="H1339">
        <v>2</v>
      </c>
      <c r="I1339" t="s">
        <v>37</v>
      </c>
      <c r="J1339" t="s">
        <v>38</v>
      </c>
      <c r="K1339">
        <v>3</v>
      </c>
      <c r="L1339" t="s">
        <v>39</v>
      </c>
      <c r="M1339">
        <v>1</v>
      </c>
      <c r="N1339" t="s">
        <v>40</v>
      </c>
      <c r="O1339" t="s">
        <v>75</v>
      </c>
      <c r="P1339">
        <v>2</v>
      </c>
      <c r="Q1339" t="s">
        <v>57</v>
      </c>
      <c r="R1339" t="s">
        <v>58</v>
      </c>
      <c r="S1339">
        <v>1</v>
      </c>
      <c r="T1339" t="s">
        <v>44</v>
      </c>
      <c r="U1339" t="s">
        <v>59</v>
      </c>
      <c r="V1339">
        <v>19</v>
      </c>
      <c r="W1339" t="s">
        <v>45</v>
      </c>
      <c r="X1339">
        <v>1</v>
      </c>
      <c r="Y1339">
        <v>3</v>
      </c>
      <c r="Z1339" t="s">
        <v>61</v>
      </c>
      <c r="AA1339">
        <v>1</v>
      </c>
      <c r="AB1339" t="s">
        <v>48</v>
      </c>
      <c r="AC1339">
        <v>0</v>
      </c>
      <c r="AD1339" t="s">
        <v>48</v>
      </c>
      <c r="AE1339">
        <v>0</v>
      </c>
      <c r="AF1339" t="s">
        <v>49</v>
      </c>
    </row>
    <row r="1340" spans="1:32" x14ac:dyDescent="0.25">
      <c r="A1340">
        <v>30</v>
      </c>
      <c r="B1340" t="s">
        <v>32</v>
      </c>
      <c r="C1340" t="s">
        <v>33</v>
      </c>
      <c r="D1340" t="s">
        <v>34</v>
      </c>
      <c r="E1340" t="s">
        <v>35</v>
      </c>
      <c r="F1340">
        <v>9</v>
      </c>
      <c r="G1340" t="s">
        <v>53</v>
      </c>
      <c r="H1340">
        <v>2</v>
      </c>
      <c r="I1340" t="s">
        <v>37</v>
      </c>
      <c r="J1340" t="s">
        <v>54</v>
      </c>
      <c r="K1340">
        <v>3</v>
      </c>
      <c r="L1340" t="s">
        <v>39</v>
      </c>
      <c r="M1340">
        <v>1</v>
      </c>
      <c r="N1340" t="s">
        <v>40</v>
      </c>
      <c r="O1340" t="s">
        <v>75</v>
      </c>
      <c r="P1340">
        <v>4</v>
      </c>
      <c r="Q1340" t="s">
        <v>42</v>
      </c>
      <c r="R1340" t="s">
        <v>43</v>
      </c>
      <c r="S1340">
        <v>1</v>
      </c>
      <c r="T1340" t="s">
        <v>44</v>
      </c>
      <c r="U1340" t="s">
        <v>59</v>
      </c>
      <c r="V1340">
        <v>13</v>
      </c>
      <c r="W1340" t="s">
        <v>45</v>
      </c>
      <c r="X1340">
        <v>1</v>
      </c>
      <c r="Y1340">
        <v>2</v>
      </c>
      <c r="Z1340" t="s">
        <v>46</v>
      </c>
      <c r="AA1340">
        <v>1</v>
      </c>
      <c r="AB1340" t="s">
        <v>48</v>
      </c>
      <c r="AC1340">
        <v>0</v>
      </c>
      <c r="AD1340" t="s">
        <v>48</v>
      </c>
      <c r="AE1340">
        <v>0</v>
      </c>
      <c r="AF1340" t="s">
        <v>49</v>
      </c>
    </row>
    <row r="1341" spans="1:32" x14ac:dyDescent="0.25">
      <c r="A1341">
        <v>22</v>
      </c>
      <c r="B1341" t="s">
        <v>63</v>
      </c>
      <c r="C1341" t="s">
        <v>33</v>
      </c>
      <c r="D1341" t="s">
        <v>34</v>
      </c>
      <c r="E1341" t="s">
        <v>52</v>
      </c>
      <c r="F1341">
        <v>7</v>
      </c>
      <c r="G1341" t="s">
        <v>53</v>
      </c>
      <c r="H1341">
        <v>4</v>
      </c>
      <c r="I1341" t="s">
        <v>42</v>
      </c>
      <c r="J1341" t="s">
        <v>54</v>
      </c>
      <c r="K1341">
        <v>3</v>
      </c>
      <c r="L1341" t="s">
        <v>39</v>
      </c>
      <c r="M1341">
        <v>1</v>
      </c>
      <c r="N1341" t="s">
        <v>40</v>
      </c>
      <c r="O1341" t="s">
        <v>56</v>
      </c>
      <c r="P1341">
        <v>2</v>
      </c>
      <c r="Q1341" t="s">
        <v>57</v>
      </c>
      <c r="R1341" t="s">
        <v>43</v>
      </c>
      <c r="S1341">
        <v>1</v>
      </c>
      <c r="T1341" t="s">
        <v>44</v>
      </c>
      <c r="U1341" t="s">
        <v>44</v>
      </c>
      <c r="V1341">
        <v>23</v>
      </c>
      <c r="W1341" t="s">
        <v>60</v>
      </c>
      <c r="X1341">
        <v>1</v>
      </c>
      <c r="Y1341">
        <v>3</v>
      </c>
      <c r="Z1341" t="s">
        <v>61</v>
      </c>
      <c r="AA1341">
        <v>1</v>
      </c>
      <c r="AB1341" t="s">
        <v>48</v>
      </c>
      <c r="AC1341">
        <v>0</v>
      </c>
      <c r="AD1341" t="s">
        <v>48</v>
      </c>
      <c r="AE1341">
        <v>0</v>
      </c>
      <c r="AF1341" t="s">
        <v>49</v>
      </c>
    </row>
    <row r="1342" spans="1:32" x14ac:dyDescent="0.25">
      <c r="A1342">
        <v>36</v>
      </c>
      <c r="B1342" t="s">
        <v>32</v>
      </c>
      <c r="C1342" t="s">
        <v>50</v>
      </c>
      <c r="D1342" t="s">
        <v>34</v>
      </c>
      <c r="E1342" t="s">
        <v>35</v>
      </c>
      <c r="F1342">
        <v>10</v>
      </c>
      <c r="G1342" t="s">
        <v>53</v>
      </c>
      <c r="H1342">
        <v>2</v>
      </c>
      <c r="I1342" t="s">
        <v>37</v>
      </c>
      <c r="J1342" t="s">
        <v>38</v>
      </c>
      <c r="K1342">
        <v>2</v>
      </c>
      <c r="L1342" t="s">
        <v>55</v>
      </c>
      <c r="M1342">
        <v>2</v>
      </c>
      <c r="N1342" t="s">
        <v>40</v>
      </c>
      <c r="O1342" t="s">
        <v>41</v>
      </c>
      <c r="P1342">
        <v>3</v>
      </c>
      <c r="Q1342" t="s">
        <v>42</v>
      </c>
      <c r="R1342" t="s">
        <v>58</v>
      </c>
      <c r="S1342">
        <v>1</v>
      </c>
      <c r="T1342" t="s">
        <v>44</v>
      </c>
      <c r="U1342" t="s">
        <v>44</v>
      </c>
      <c r="V1342">
        <v>13</v>
      </c>
      <c r="W1342" t="s">
        <v>45</v>
      </c>
      <c r="X1342">
        <v>10</v>
      </c>
      <c r="Y1342">
        <v>3</v>
      </c>
      <c r="Z1342" t="s">
        <v>61</v>
      </c>
      <c r="AA1342">
        <v>10</v>
      </c>
      <c r="AB1342" t="s">
        <v>47</v>
      </c>
      <c r="AC1342">
        <v>9</v>
      </c>
      <c r="AD1342" t="s">
        <v>47</v>
      </c>
      <c r="AE1342">
        <v>1</v>
      </c>
      <c r="AF1342" t="s">
        <v>49</v>
      </c>
    </row>
    <row r="1343" spans="1:32" x14ac:dyDescent="0.25">
      <c r="A1343">
        <v>31</v>
      </c>
      <c r="B1343" t="s">
        <v>32</v>
      </c>
      <c r="C1343" t="s">
        <v>50</v>
      </c>
      <c r="D1343" t="s">
        <v>34</v>
      </c>
      <c r="E1343" t="s">
        <v>52</v>
      </c>
      <c r="F1343">
        <v>20</v>
      </c>
      <c r="G1343" t="s">
        <v>66</v>
      </c>
      <c r="H1343">
        <v>2</v>
      </c>
      <c r="I1343" t="s">
        <v>37</v>
      </c>
      <c r="J1343" t="s">
        <v>54</v>
      </c>
      <c r="K1343">
        <v>3</v>
      </c>
      <c r="L1343" t="s">
        <v>39</v>
      </c>
      <c r="M1343">
        <v>2</v>
      </c>
      <c r="N1343" t="s">
        <v>40</v>
      </c>
      <c r="O1343" t="s">
        <v>62</v>
      </c>
      <c r="P1343">
        <v>3</v>
      </c>
      <c r="Q1343" t="s">
        <v>42</v>
      </c>
      <c r="R1343" t="s">
        <v>67</v>
      </c>
      <c r="S1343">
        <v>1</v>
      </c>
      <c r="T1343" t="s">
        <v>44</v>
      </c>
      <c r="U1343" t="s">
        <v>59</v>
      </c>
      <c r="V1343">
        <v>11</v>
      </c>
      <c r="W1343" t="s">
        <v>45</v>
      </c>
      <c r="X1343">
        <v>10</v>
      </c>
      <c r="Y1343">
        <v>3</v>
      </c>
      <c r="Z1343" t="s">
        <v>61</v>
      </c>
      <c r="AA1343">
        <v>10</v>
      </c>
      <c r="AB1343" t="s">
        <v>47</v>
      </c>
      <c r="AC1343">
        <v>8</v>
      </c>
      <c r="AD1343" t="s">
        <v>47</v>
      </c>
      <c r="AE1343">
        <v>0</v>
      </c>
      <c r="AF1343" t="s">
        <v>49</v>
      </c>
    </row>
    <row r="1344" spans="1:32" x14ac:dyDescent="0.25">
      <c r="A1344">
        <v>34</v>
      </c>
      <c r="B1344" t="s">
        <v>32</v>
      </c>
      <c r="C1344" t="s">
        <v>50</v>
      </c>
      <c r="D1344" t="s">
        <v>34</v>
      </c>
      <c r="E1344" t="s">
        <v>35</v>
      </c>
      <c r="F1344">
        <v>4</v>
      </c>
      <c r="G1344" t="s">
        <v>36</v>
      </c>
      <c r="H1344">
        <v>3</v>
      </c>
      <c r="I1344" t="s">
        <v>42</v>
      </c>
      <c r="J1344" t="s">
        <v>54</v>
      </c>
      <c r="K1344">
        <v>3</v>
      </c>
      <c r="L1344" t="s">
        <v>39</v>
      </c>
      <c r="M1344">
        <v>3</v>
      </c>
      <c r="N1344" t="s">
        <v>68</v>
      </c>
      <c r="O1344" t="s">
        <v>41</v>
      </c>
      <c r="P1344">
        <v>4</v>
      </c>
      <c r="Q1344" t="s">
        <v>42</v>
      </c>
      <c r="R1344" t="s">
        <v>58</v>
      </c>
      <c r="S1344">
        <v>2</v>
      </c>
      <c r="T1344" t="s">
        <v>44</v>
      </c>
      <c r="U1344" t="s">
        <v>44</v>
      </c>
      <c r="V1344">
        <v>13</v>
      </c>
      <c r="W1344" t="s">
        <v>45</v>
      </c>
      <c r="X1344">
        <v>9</v>
      </c>
      <c r="Y1344">
        <v>3</v>
      </c>
      <c r="Z1344" t="s">
        <v>61</v>
      </c>
      <c r="AA1344">
        <v>5</v>
      </c>
      <c r="AB1344" t="s">
        <v>47</v>
      </c>
      <c r="AC1344">
        <v>3</v>
      </c>
      <c r="AD1344" t="s">
        <v>48</v>
      </c>
      <c r="AE1344">
        <v>1</v>
      </c>
      <c r="AF1344" t="s">
        <v>49</v>
      </c>
    </row>
    <row r="1345" spans="1:32" x14ac:dyDescent="0.25">
      <c r="A1345">
        <v>29</v>
      </c>
      <c r="B1345" t="s">
        <v>63</v>
      </c>
      <c r="C1345" t="s">
        <v>50</v>
      </c>
      <c r="D1345" t="s">
        <v>34</v>
      </c>
      <c r="E1345" t="s">
        <v>52</v>
      </c>
      <c r="F1345">
        <v>7</v>
      </c>
      <c r="G1345" t="s">
        <v>53</v>
      </c>
      <c r="H1345">
        <v>4</v>
      </c>
      <c r="I1345" t="s">
        <v>42</v>
      </c>
      <c r="J1345" t="s">
        <v>54</v>
      </c>
      <c r="K1345">
        <v>3</v>
      </c>
      <c r="L1345" t="s">
        <v>39</v>
      </c>
      <c r="M1345">
        <v>1</v>
      </c>
      <c r="N1345" t="s">
        <v>40</v>
      </c>
      <c r="O1345" t="s">
        <v>62</v>
      </c>
      <c r="P1345">
        <v>1</v>
      </c>
      <c r="Q1345" t="s">
        <v>57</v>
      </c>
      <c r="R1345" t="s">
        <v>43</v>
      </c>
      <c r="S1345">
        <v>3</v>
      </c>
      <c r="T1345" t="s">
        <v>44</v>
      </c>
      <c r="U1345" t="s">
        <v>59</v>
      </c>
      <c r="V1345">
        <v>14</v>
      </c>
      <c r="W1345" t="s">
        <v>45</v>
      </c>
      <c r="X1345">
        <v>11</v>
      </c>
      <c r="Y1345">
        <v>3</v>
      </c>
      <c r="Z1345" t="s">
        <v>61</v>
      </c>
      <c r="AA1345">
        <v>3</v>
      </c>
      <c r="AB1345" t="s">
        <v>48</v>
      </c>
      <c r="AC1345">
        <v>2</v>
      </c>
      <c r="AD1345" t="s">
        <v>48</v>
      </c>
      <c r="AE1345">
        <v>1</v>
      </c>
      <c r="AF1345" t="s">
        <v>49</v>
      </c>
    </row>
    <row r="1346" spans="1:32" x14ac:dyDescent="0.25">
      <c r="A1346">
        <v>37</v>
      </c>
      <c r="B1346" t="s">
        <v>32</v>
      </c>
      <c r="C1346" t="s">
        <v>50</v>
      </c>
      <c r="D1346" t="s">
        <v>34</v>
      </c>
      <c r="E1346" t="s">
        <v>52</v>
      </c>
      <c r="F1346">
        <v>7</v>
      </c>
      <c r="G1346" t="s">
        <v>53</v>
      </c>
      <c r="H1346">
        <v>4</v>
      </c>
      <c r="I1346" t="s">
        <v>42</v>
      </c>
      <c r="J1346" t="s">
        <v>54</v>
      </c>
      <c r="K1346">
        <v>3</v>
      </c>
      <c r="L1346" t="s">
        <v>39</v>
      </c>
      <c r="M1346">
        <v>2</v>
      </c>
      <c r="N1346" t="s">
        <v>40</v>
      </c>
      <c r="O1346" t="s">
        <v>56</v>
      </c>
      <c r="P1346">
        <v>1</v>
      </c>
      <c r="Q1346" t="s">
        <v>57</v>
      </c>
      <c r="R1346" t="s">
        <v>58</v>
      </c>
      <c r="S1346">
        <v>5</v>
      </c>
      <c r="T1346" t="s">
        <v>44</v>
      </c>
      <c r="U1346" t="s">
        <v>44</v>
      </c>
      <c r="V1346">
        <v>22</v>
      </c>
      <c r="W1346" t="s">
        <v>60</v>
      </c>
      <c r="X1346">
        <v>16</v>
      </c>
      <c r="Y1346">
        <v>3</v>
      </c>
      <c r="Z1346" t="s">
        <v>61</v>
      </c>
      <c r="AA1346">
        <v>5</v>
      </c>
      <c r="AB1346" t="s">
        <v>47</v>
      </c>
      <c r="AC1346">
        <v>3</v>
      </c>
      <c r="AD1346" t="s">
        <v>48</v>
      </c>
      <c r="AE1346">
        <v>0</v>
      </c>
      <c r="AF1346" t="s">
        <v>49</v>
      </c>
    </row>
    <row r="1347" spans="1:32" x14ac:dyDescent="0.25">
      <c r="A1347">
        <v>35</v>
      </c>
      <c r="B1347" t="s">
        <v>32</v>
      </c>
      <c r="C1347" t="s">
        <v>50</v>
      </c>
      <c r="D1347" t="s">
        <v>34</v>
      </c>
      <c r="E1347" t="s">
        <v>52</v>
      </c>
      <c r="F1347">
        <v>16</v>
      </c>
      <c r="G1347" t="s">
        <v>66</v>
      </c>
      <c r="H1347">
        <v>4</v>
      </c>
      <c r="I1347" t="s">
        <v>42</v>
      </c>
      <c r="J1347" t="s">
        <v>38</v>
      </c>
      <c r="K1347">
        <v>2</v>
      </c>
      <c r="L1347" t="s">
        <v>55</v>
      </c>
      <c r="M1347">
        <v>2</v>
      </c>
      <c r="N1347" t="s">
        <v>40</v>
      </c>
      <c r="O1347" t="s">
        <v>69</v>
      </c>
      <c r="P1347">
        <v>2</v>
      </c>
      <c r="Q1347" t="s">
        <v>57</v>
      </c>
      <c r="R1347" t="s">
        <v>58</v>
      </c>
      <c r="S1347">
        <v>0</v>
      </c>
      <c r="T1347" t="s">
        <v>44</v>
      </c>
      <c r="U1347" t="s">
        <v>44</v>
      </c>
      <c r="V1347">
        <v>11</v>
      </c>
      <c r="W1347" t="s">
        <v>45</v>
      </c>
      <c r="X1347">
        <v>4</v>
      </c>
      <c r="Y1347">
        <v>3</v>
      </c>
      <c r="Z1347" t="s">
        <v>61</v>
      </c>
      <c r="AA1347">
        <v>3</v>
      </c>
      <c r="AB1347" t="s">
        <v>48</v>
      </c>
      <c r="AC1347">
        <v>2</v>
      </c>
      <c r="AD1347" t="s">
        <v>48</v>
      </c>
      <c r="AE1347">
        <v>0</v>
      </c>
      <c r="AF1347" t="s">
        <v>49</v>
      </c>
    </row>
    <row r="1348" spans="1:32" x14ac:dyDescent="0.25">
      <c r="A1348">
        <v>45</v>
      </c>
      <c r="B1348" t="s">
        <v>32</v>
      </c>
      <c r="C1348" t="s">
        <v>50</v>
      </c>
      <c r="D1348" t="s">
        <v>34</v>
      </c>
      <c r="E1348" t="s">
        <v>52</v>
      </c>
      <c r="F1348">
        <v>25</v>
      </c>
      <c r="G1348" t="s">
        <v>66</v>
      </c>
      <c r="H1348">
        <v>2</v>
      </c>
      <c r="I1348" t="s">
        <v>37</v>
      </c>
      <c r="J1348" t="s">
        <v>38</v>
      </c>
      <c r="K1348">
        <v>2</v>
      </c>
      <c r="L1348" t="s">
        <v>55</v>
      </c>
      <c r="M1348">
        <v>2</v>
      </c>
      <c r="N1348" t="s">
        <v>40</v>
      </c>
      <c r="O1348" t="s">
        <v>69</v>
      </c>
      <c r="P1348">
        <v>4</v>
      </c>
      <c r="Q1348" t="s">
        <v>42</v>
      </c>
      <c r="R1348" t="s">
        <v>58</v>
      </c>
      <c r="S1348">
        <v>0</v>
      </c>
      <c r="T1348" t="s">
        <v>44</v>
      </c>
      <c r="U1348" t="s">
        <v>59</v>
      </c>
      <c r="V1348">
        <v>13</v>
      </c>
      <c r="W1348" t="s">
        <v>45</v>
      </c>
      <c r="X1348">
        <v>10</v>
      </c>
      <c r="Y1348">
        <v>2</v>
      </c>
      <c r="Z1348" t="s">
        <v>46</v>
      </c>
      <c r="AA1348">
        <v>9</v>
      </c>
      <c r="AB1348" t="s">
        <v>47</v>
      </c>
      <c r="AC1348">
        <v>8</v>
      </c>
      <c r="AD1348" t="s">
        <v>47</v>
      </c>
      <c r="AE1348">
        <v>3</v>
      </c>
      <c r="AF1348" t="s">
        <v>49</v>
      </c>
    </row>
    <row r="1349" spans="1:32" x14ac:dyDescent="0.25">
      <c r="A1349">
        <v>36</v>
      </c>
      <c r="B1349" t="s">
        <v>32</v>
      </c>
      <c r="C1349" t="s">
        <v>50</v>
      </c>
      <c r="D1349" t="s">
        <v>51</v>
      </c>
      <c r="E1349" t="s">
        <v>77</v>
      </c>
      <c r="F1349">
        <v>2</v>
      </c>
      <c r="G1349" t="s">
        <v>36</v>
      </c>
      <c r="H1349">
        <v>2</v>
      </c>
      <c r="I1349" t="s">
        <v>37</v>
      </c>
      <c r="J1349" t="s">
        <v>54</v>
      </c>
      <c r="K1349">
        <v>2</v>
      </c>
      <c r="L1349" t="s">
        <v>55</v>
      </c>
      <c r="M1349">
        <v>2</v>
      </c>
      <c r="N1349" t="s">
        <v>40</v>
      </c>
      <c r="O1349" t="s">
        <v>77</v>
      </c>
      <c r="P1349">
        <v>4</v>
      </c>
      <c r="Q1349" t="s">
        <v>42</v>
      </c>
      <c r="R1349" t="s">
        <v>43</v>
      </c>
      <c r="S1349">
        <v>1</v>
      </c>
      <c r="T1349" t="s">
        <v>44</v>
      </c>
      <c r="U1349" t="s">
        <v>59</v>
      </c>
      <c r="V1349">
        <v>21</v>
      </c>
      <c r="W1349" t="s">
        <v>60</v>
      </c>
      <c r="X1349">
        <v>10</v>
      </c>
      <c r="Y1349">
        <v>2</v>
      </c>
      <c r="Z1349" t="s">
        <v>46</v>
      </c>
      <c r="AA1349">
        <v>10</v>
      </c>
      <c r="AB1349" t="s">
        <v>47</v>
      </c>
      <c r="AC1349">
        <v>1</v>
      </c>
      <c r="AD1349" t="s">
        <v>48</v>
      </c>
      <c r="AE1349">
        <v>0</v>
      </c>
      <c r="AF1349" t="s">
        <v>49</v>
      </c>
    </row>
    <row r="1350" spans="1:32" x14ac:dyDescent="0.25">
      <c r="A1350">
        <v>40</v>
      </c>
      <c r="B1350" t="s">
        <v>32</v>
      </c>
      <c r="C1350" t="s">
        <v>50</v>
      </c>
      <c r="D1350" t="s">
        <v>34</v>
      </c>
      <c r="E1350" t="s">
        <v>52</v>
      </c>
      <c r="F1350">
        <v>1</v>
      </c>
      <c r="G1350" t="s">
        <v>36</v>
      </c>
      <c r="H1350">
        <v>1</v>
      </c>
      <c r="I1350" t="s">
        <v>37</v>
      </c>
      <c r="J1350" t="s">
        <v>54</v>
      </c>
      <c r="K1350">
        <v>3</v>
      </c>
      <c r="L1350" t="s">
        <v>39</v>
      </c>
      <c r="M1350">
        <v>4</v>
      </c>
      <c r="N1350" t="s">
        <v>72</v>
      </c>
      <c r="O1350" t="s">
        <v>73</v>
      </c>
      <c r="P1350">
        <v>1</v>
      </c>
      <c r="Q1350" t="s">
        <v>57</v>
      </c>
      <c r="R1350" t="s">
        <v>67</v>
      </c>
      <c r="S1350">
        <v>2</v>
      </c>
      <c r="T1350" t="s">
        <v>44</v>
      </c>
      <c r="U1350" t="s">
        <v>59</v>
      </c>
      <c r="V1350">
        <v>11</v>
      </c>
      <c r="W1350" t="s">
        <v>45</v>
      </c>
      <c r="X1350">
        <v>22</v>
      </c>
      <c r="Y1350">
        <v>3</v>
      </c>
      <c r="Z1350" t="s">
        <v>61</v>
      </c>
      <c r="AA1350">
        <v>19</v>
      </c>
      <c r="AB1350" t="s">
        <v>74</v>
      </c>
      <c r="AC1350">
        <v>7</v>
      </c>
      <c r="AD1350" t="s">
        <v>47</v>
      </c>
      <c r="AE1350">
        <v>11</v>
      </c>
      <c r="AF1350" t="s">
        <v>71</v>
      </c>
    </row>
    <row r="1351" spans="1:32" x14ac:dyDescent="0.25">
      <c r="A1351">
        <v>26</v>
      </c>
      <c r="B1351" t="s">
        <v>63</v>
      </c>
      <c r="C1351" t="s">
        <v>50</v>
      </c>
      <c r="D1351" t="s">
        <v>34</v>
      </c>
      <c r="E1351" t="s">
        <v>52</v>
      </c>
      <c r="F1351">
        <v>1</v>
      </c>
      <c r="G1351" t="s">
        <v>36</v>
      </c>
      <c r="H1351">
        <v>2</v>
      </c>
      <c r="I1351" t="s">
        <v>37</v>
      </c>
      <c r="J1351" t="s">
        <v>38</v>
      </c>
      <c r="K1351">
        <v>2</v>
      </c>
      <c r="L1351" t="s">
        <v>55</v>
      </c>
      <c r="M1351">
        <v>1</v>
      </c>
      <c r="N1351" t="s">
        <v>40</v>
      </c>
      <c r="O1351" t="s">
        <v>56</v>
      </c>
      <c r="P1351">
        <v>3</v>
      </c>
      <c r="Q1351" t="s">
        <v>42</v>
      </c>
      <c r="R1351" t="s">
        <v>58</v>
      </c>
      <c r="S1351">
        <v>1</v>
      </c>
      <c r="T1351" t="s">
        <v>44</v>
      </c>
      <c r="U1351" t="s">
        <v>44</v>
      </c>
      <c r="V1351">
        <v>13</v>
      </c>
      <c r="W1351" t="s">
        <v>45</v>
      </c>
      <c r="X1351">
        <v>1</v>
      </c>
      <c r="Y1351">
        <v>2</v>
      </c>
      <c r="Z1351" t="s">
        <v>46</v>
      </c>
      <c r="AA1351">
        <v>1</v>
      </c>
      <c r="AB1351" t="s">
        <v>48</v>
      </c>
      <c r="AC1351">
        <v>0</v>
      </c>
      <c r="AD1351" t="s">
        <v>48</v>
      </c>
      <c r="AE1351">
        <v>1</v>
      </c>
      <c r="AF1351" t="s">
        <v>49</v>
      </c>
    </row>
    <row r="1352" spans="1:32" x14ac:dyDescent="0.25">
      <c r="A1352">
        <v>27</v>
      </c>
      <c r="B1352" t="s">
        <v>63</v>
      </c>
      <c r="C1352" t="s">
        <v>50</v>
      </c>
      <c r="D1352" t="s">
        <v>34</v>
      </c>
      <c r="E1352" t="s">
        <v>35</v>
      </c>
      <c r="F1352">
        <v>2</v>
      </c>
      <c r="G1352" t="s">
        <v>36</v>
      </c>
      <c r="H1352">
        <v>1</v>
      </c>
      <c r="I1352" t="s">
        <v>37</v>
      </c>
      <c r="J1352" t="s">
        <v>38</v>
      </c>
      <c r="K1352">
        <v>4</v>
      </c>
      <c r="L1352" t="s">
        <v>65</v>
      </c>
      <c r="M1352">
        <v>2</v>
      </c>
      <c r="N1352" t="s">
        <v>40</v>
      </c>
      <c r="O1352" t="s">
        <v>41</v>
      </c>
      <c r="P1352">
        <v>3</v>
      </c>
      <c r="Q1352" t="s">
        <v>42</v>
      </c>
      <c r="R1352" t="s">
        <v>43</v>
      </c>
      <c r="S1352">
        <v>0</v>
      </c>
      <c r="T1352" t="s">
        <v>44</v>
      </c>
      <c r="U1352" t="s">
        <v>59</v>
      </c>
      <c r="V1352">
        <v>14</v>
      </c>
      <c r="W1352" t="s">
        <v>45</v>
      </c>
      <c r="X1352">
        <v>9</v>
      </c>
      <c r="Y1352">
        <v>2</v>
      </c>
      <c r="Z1352" t="s">
        <v>46</v>
      </c>
      <c r="AA1352">
        <v>8</v>
      </c>
      <c r="AB1352" t="s">
        <v>47</v>
      </c>
      <c r="AC1352">
        <v>7</v>
      </c>
      <c r="AD1352" t="s">
        <v>47</v>
      </c>
      <c r="AE1352">
        <v>0</v>
      </c>
      <c r="AF1352" t="s">
        <v>49</v>
      </c>
    </row>
    <row r="1353" spans="1:32" x14ac:dyDescent="0.25">
      <c r="A1353">
        <v>48</v>
      </c>
      <c r="B1353" t="s">
        <v>32</v>
      </c>
      <c r="C1353" t="s">
        <v>50</v>
      </c>
      <c r="D1353" t="s">
        <v>51</v>
      </c>
      <c r="E1353" t="s">
        <v>52</v>
      </c>
      <c r="F1353">
        <v>22</v>
      </c>
      <c r="G1353" t="s">
        <v>66</v>
      </c>
      <c r="H1353">
        <v>4</v>
      </c>
      <c r="I1353" t="s">
        <v>42</v>
      </c>
      <c r="J1353" t="s">
        <v>38</v>
      </c>
      <c r="K1353">
        <v>3</v>
      </c>
      <c r="L1353" t="s">
        <v>39</v>
      </c>
      <c r="M1353">
        <v>4</v>
      </c>
      <c r="N1353" t="s">
        <v>72</v>
      </c>
      <c r="O1353" t="s">
        <v>73</v>
      </c>
      <c r="P1353">
        <v>4</v>
      </c>
      <c r="Q1353" t="s">
        <v>42</v>
      </c>
      <c r="R1353" t="s">
        <v>67</v>
      </c>
      <c r="S1353">
        <v>3</v>
      </c>
      <c r="T1353" t="s">
        <v>44</v>
      </c>
      <c r="U1353" t="s">
        <v>59</v>
      </c>
      <c r="V1353">
        <v>11</v>
      </c>
      <c r="W1353" t="s">
        <v>45</v>
      </c>
      <c r="X1353">
        <v>24</v>
      </c>
      <c r="Y1353">
        <v>3</v>
      </c>
      <c r="Z1353" t="s">
        <v>61</v>
      </c>
      <c r="AA1353">
        <v>22</v>
      </c>
      <c r="AB1353" t="s">
        <v>74</v>
      </c>
      <c r="AC1353">
        <v>17</v>
      </c>
      <c r="AD1353" t="s">
        <v>74</v>
      </c>
      <c r="AE1353">
        <v>4</v>
      </c>
      <c r="AF1353" t="s">
        <v>71</v>
      </c>
    </row>
    <row r="1354" spans="1:32" x14ac:dyDescent="0.25">
      <c r="A1354">
        <v>44</v>
      </c>
      <c r="B1354" t="s">
        <v>32</v>
      </c>
      <c r="C1354" t="s">
        <v>50</v>
      </c>
      <c r="D1354" t="s">
        <v>34</v>
      </c>
      <c r="E1354" t="s">
        <v>52</v>
      </c>
      <c r="F1354">
        <v>1</v>
      </c>
      <c r="G1354" t="s">
        <v>36</v>
      </c>
      <c r="H1354">
        <v>2</v>
      </c>
      <c r="I1354" t="s">
        <v>37</v>
      </c>
      <c r="J1354" t="s">
        <v>54</v>
      </c>
      <c r="K1354">
        <v>4</v>
      </c>
      <c r="L1354" t="s">
        <v>65</v>
      </c>
      <c r="M1354">
        <v>2</v>
      </c>
      <c r="N1354" t="s">
        <v>40</v>
      </c>
      <c r="O1354" t="s">
        <v>70</v>
      </c>
      <c r="P1354">
        <v>1</v>
      </c>
      <c r="Q1354" t="s">
        <v>57</v>
      </c>
      <c r="R1354" t="s">
        <v>58</v>
      </c>
      <c r="S1354">
        <v>2</v>
      </c>
      <c r="T1354" t="s">
        <v>44</v>
      </c>
      <c r="U1354" t="s">
        <v>59</v>
      </c>
      <c r="V1354">
        <v>15</v>
      </c>
      <c r="W1354" t="s">
        <v>45</v>
      </c>
      <c r="X1354">
        <v>10</v>
      </c>
      <c r="Y1354">
        <v>3</v>
      </c>
      <c r="Z1354" t="s">
        <v>61</v>
      </c>
      <c r="AA1354">
        <v>2</v>
      </c>
      <c r="AB1354" t="s">
        <v>48</v>
      </c>
      <c r="AC1354">
        <v>0</v>
      </c>
      <c r="AD1354" t="s">
        <v>48</v>
      </c>
      <c r="AE1354">
        <v>2</v>
      </c>
      <c r="AF1354" t="s">
        <v>49</v>
      </c>
    </row>
    <row r="1355" spans="1:32" x14ac:dyDescent="0.25">
      <c r="A1355">
        <v>34</v>
      </c>
      <c r="B1355" t="s">
        <v>32</v>
      </c>
      <c r="C1355" t="s">
        <v>33</v>
      </c>
      <c r="D1355" t="s">
        <v>34</v>
      </c>
      <c r="E1355" t="s">
        <v>52</v>
      </c>
      <c r="F1355">
        <v>16</v>
      </c>
      <c r="G1355" t="s">
        <v>66</v>
      </c>
      <c r="H1355">
        <v>4</v>
      </c>
      <c r="I1355" t="s">
        <v>42</v>
      </c>
      <c r="J1355" t="s">
        <v>54</v>
      </c>
      <c r="K1355">
        <v>1</v>
      </c>
      <c r="L1355" t="s">
        <v>55</v>
      </c>
      <c r="M1355">
        <v>1</v>
      </c>
      <c r="N1355" t="s">
        <v>40</v>
      </c>
      <c r="O1355" t="s">
        <v>56</v>
      </c>
      <c r="P1355">
        <v>1</v>
      </c>
      <c r="Q1355" t="s">
        <v>57</v>
      </c>
      <c r="R1355" t="s">
        <v>58</v>
      </c>
      <c r="S1355">
        <v>1</v>
      </c>
      <c r="T1355" t="s">
        <v>44</v>
      </c>
      <c r="U1355" t="s">
        <v>44</v>
      </c>
      <c r="V1355">
        <v>23</v>
      </c>
      <c r="W1355" t="s">
        <v>60</v>
      </c>
      <c r="X1355">
        <v>5</v>
      </c>
      <c r="Y1355">
        <v>3</v>
      </c>
      <c r="Z1355" t="s">
        <v>61</v>
      </c>
      <c r="AA1355">
        <v>5</v>
      </c>
      <c r="AB1355" t="s">
        <v>47</v>
      </c>
      <c r="AC1355">
        <v>2</v>
      </c>
      <c r="AD1355" t="s">
        <v>48</v>
      </c>
      <c r="AE1355">
        <v>3</v>
      </c>
      <c r="AF1355" t="s">
        <v>49</v>
      </c>
    </row>
    <row r="1356" spans="1:32" x14ac:dyDescent="0.25">
      <c r="A1356">
        <v>56</v>
      </c>
      <c r="B1356" t="s">
        <v>64</v>
      </c>
      <c r="C1356" t="s">
        <v>33</v>
      </c>
      <c r="D1356" t="s">
        <v>34</v>
      </c>
      <c r="E1356" t="s">
        <v>52</v>
      </c>
      <c r="F1356">
        <v>24</v>
      </c>
      <c r="G1356" t="s">
        <v>66</v>
      </c>
      <c r="H1356">
        <v>1</v>
      </c>
      <c r="I1356" t="s">
        <v>37</v>
      </c>
      <c r="J1356" t="s">
        <v>54</v>
      </c>
      <c r="K1356">
        <v>3</v>
      </c>
      <c r="L1356" t="s">
        <v>39</v>
      </c>
      <c r="M1356">
        <v>1</v>
      </c>
      <c r="N1356" t="s">
        <v>40</v>
      </c>
      <c r="O1356" t="s">
        <v>62</v>
      </c>
      <c r="P1356">
        <v>4</v>
      </c>
      <c r="Q1356" t="s">
        <v>42</v>
      </c>
      <c r="R1356" t="s">
        <v>43</v>
      </c>
      <c r="S1356">
        <v>1</v>
      </c>
      <c r="T1356" t="s">
        <v>44</v>
      </c>
      <c r="U1356" t="s">
        <v>59</v>
      </c>
      <c r="V1356">
        <v>16</v>
      </c>
      <c r="W1356" t="s">
        <v>45</v>
      </c>
      <c r="X1356">
        <v>5</v>
      </c>
      <c r="Y1356">
        <v>3</v>
      </c>
      <c r="Z1356" t="s">
        <v>61</v>
      </c>
      <c r="AA1356">
        <v>4</v>
      </c>
      <c r="AB1356" t="s">
        <v>48</v>
      </c>
      <c r="AC1356">
        <v>2</v>
      </c>
      <c r="AD1356" t="s">
        <v>48</v>
      </c>
      <c r="AE1356">
        <v>1</v>
      </c>
      <c r="AF1356" t="s">
        <v>49</v>
      </c>
    </row>
    <row r="1357" spans="1:32" x14ac:dyDescent="0.25">
      <c r="A1357">
        <v>36</v>
      </c>
      <c r="B1357" t="s">
        <v>32</v>
      </c>
      <c r="C1357" t="s">
        <v>50</v>
      </c>
      <c r="D1357" t="s">
        <v>34</v>
      </c>
      <c r="E1357" t="s">
        <v>35</v>
      </c>
      <c r="F1357">
        <v>17</v>
      </c>
      <c r="G1357" t="s">
        <v>66</v>
      </c>
      <c r="H1357">
        <v>3</v>
      </c>
      <c r="I1357" t="s">
        <v>42</v>
      </c>
      <c r="J1357" t="s">
        <v>54</v>
      </c>
      <c r="K1357">
        <v>2</v>
      </c>
      <c r="L1357" t="s">
        <v>55</v>
      </c>
      <c r="M1357">
        <v>2</v>
      </c>
      <c r="N1357" t="s">
        <v>40</v>
      </c>
      <c r="O1357" t="s">
        <v>41</v>
      </c>
      <c r="P1357">
        <v>2</v>
      </c>
      <c r="Q1357" t="s">
        <v>57</v>
      </c>
      <c r="R1357" t="s">
        <v>58</v>
      </c>
      <c r="S1357">
        <v>2</v>
      </c>
      <c r="T1357" t="s">
        <v>44</v>
      </c>
      <c r="U1357" t="s">
        <v>59</v>
      </c>
      <c r="V1357">
        <v>16</v>
      </c>
      <c r="W1357" t="s">
        <v>45</v>
      </c>
      <c r="X1357">
        <v>12</v>
      </c>
      <c r="Y1357">
        <v>1</v>
      </c>
      <c r="Z1357" t="s">
        <v>46</v>
      </c>
      <c r="AA1357">
        <v>4</v>
      </c>
      <c r="AB1357" t="s">
        <v>48</v>
      </c>
      <c r="AC1357">
        <v>2</v>
      </c>
      <c r="AD1357" t="s">
        <v>48</v>
      </c>
      <c r="AE1357">
        <v>1</v>
      </c>
      <c r="AF1357" t="s">
        <v>49</v>
      </c>
    </row>
    <row r="1358" spans="1:32" x14ac:dyDescent="0.25">
      <c r="A1358">
        <v>41</v>
      </c>
      <c r="B1358" t="s">
        <v>32</v>
      </c>
      <c r="C1358" t="s">
        <v>50</v>
      </c>
      <c r="D1358" t="s">
        <v>34</v>
      </c>
      <c r="E1358" t="s">
        <v>35</v>
      </c>
      <c r="F1358">
        <v>8</v>
      </c>
      <c r="G1358" t="s">
        <v>53</v>
      </c>
      <c r="H1358">
        <v>3</v>
      </c>
      <c r="I1358" t="s">
        <v>42</v>
      </c>
      <c r="J1358" t="s">
        <v>38</v>
      </c>
      <c r="K1358">
        <v>3</v>
      </c>
      <c r="L1358" t="s">
        <v>39</v>
      </c>
      <c r="M1358">
        <v>2</v>
      </c>
      <c r="N1358" t="s">
        <v>40</v>
      </c>
      <c r="O1358" t="s">
        <v>41</v>
      </c>
      <c r="P1358">
        <v>2</v>
      </c>
      <c r="Q1358" t="s">
        <v>57</v>
      </c>
      <c r="R1358" t="s">
        <v>58</v>
      </c>
      <c r="S1358">
        <v>5</v>
      </c>
      <c r="T1358" t="s">
        <v>44</v>
      </c>
      <c r="U1358" t="s">
        <v>59</v>
      </c>
      <c r="V1358">
        <v>21</v>
      </c>
      <c r="W1358" t="s">
        <v>60</v>
      </c>
      <c r="X1358">
        <v>14</v>
      </c>
      <c r="Y1358">
        <v>3</v>
      </c>
      <c r="Z1358" t="s">
        <v>61</v>
      </c>
      <c r="AA1358">
        <v>5</v>
      </c>
      <c r="AB1358" t="s">
        <v>47</v>
      </c>
      <c r="AC1358">
        <v>4</v>
      </c>
      <c r="AD1358" t="s">
        <v>48</v>
      </c>
      <c r="AE1358">
        <v>1</v>
      </c>
      <c r="AF1358" t="s">
        <v>49</v>
      </c>
    </row>
    <row r="1359" spans="1:32" x14ac:dyDescent="0.25">
      <c r="A1359">
        <v>42</v>
      </c>
      <c r="B1359" t="s">
        <v>32</v>
      </c>
      <c r="C1359" t="s">
        <v>50</v>
      </c>
      <c r="D1359" t="s">
        <v>34</v>
      </c>
      <c r="E1359" t="s">
        <v>52</v>
      </c>
      <c r="F1359">
        <v>6</v>
      </c>
      <c r="G1359" t="s">
        <v>53</v>
      </c>
      <c r="H1359">
        <v>3</v>
      </c>
      <c r="I1359" t="s">
        <v>42</v>
      </c>
      <c r="J1359" t="s">
        <v>54</v>
      </c>
      <c r="K1359">
        <v>3</v>
      </c>
      <c r="L1359" t="s">
        <v>39</v>
      </c>
      <c r="M1359">
        <v>3</v>
      </c>
      <c r="N1359" t="s">
        <v>68</v>
      </c>
      <c r="O1359" t="s">
        <v>76</v>
      </c>
      <c r="P1359">
        <v>1</v>
      </c>
      <c r="Q1359" t="s">
        <v>57</v>
      </c>
      <c r="R1359" t="s">
        <v>58</v>
      </c>
      <c r="S1359">
        <v>9</v>
      </c>
      <c r="T1359" t="s">
        <v>44</v>
      </c>
      <c r="U1359" t="s">
        <v>59</v>
      </c>
      <c r="V1359">
        <v>13</v>
      </c>
      <c r="W1359" t="s">
        <v>45</v>
      </c>
      <c r="X1359">
        <v>18</v>
      </c>
      <c r="Y1359">
        <v>4</v>
      </c>
      <c r="Z1359" t="s">
        <v>61</v>
      </c>
      <c r="AA1359">
        <v>13</v>
      </c>
      <c r="AB1359" t="s">
        <v>74</v>
      </c>
      <c r="AC1359">
        <v>7</v>
      </c>
      <c r="AD1359" t="s">
        <v>47</v>
      </c>
      <c r="AE1359">
        <v>5</v>
      </c>
      <c r="AF1359" t="s">
        <v>71</v>
      </c>
    </row>
    <row r="1360" spans="1:32" x14ac:dyDescent="0.25">
      <c r="A1360">
        <v>31</v>
      </c>
      <c r="B1360" t="s">
        <v>32</v>
      </c>
      <c r="C1360" t="s">
        <v>50</v>
      </c>
      <c r="D1360" t="s">
        <v>34</v>
      </c>
      <c r="E1360" t="s">
        <v>35</v>
      </c>
      <c r="F1360">
        <v>10</v>
      </c>
      <c r="G1360" t="s">
        <v>53</v>
      </c>
      <c r="H1360">
        <v>3</v>
      </c>
      <c r="I1360" t="s">
        <v>42</v>
      </c>
      <c r="J1360" t="s">
        <v>38</v>
      </c>
      <c r="K1360">
        <v>3</v>
      </c>
      <c r="L1360" t="s">
        <v>39</v>
      </c>
      <c r="M1360">
        <v>2</v>
      </c>
      <c r="N1360" t="s">
        <v>40</v>
      </c>
      <c r="O1360" t="s">
        <v>41</v>
      </c>
      <c r="P1360">
        <v>4</v>
      </c>
      <c r="Q1360" t="s">
        <v>42</v>
      </c>
      <c r="R1360" t="s">
        <v>67</v>
      </c>
      <c r="S1360">
        <v>2</v>
      </c>
      <c r="T1360" t="s">
        <v>44</v>
      </c>
      <c r="U1360" t="s">
        <v>44</v>
      </c>
      <c r="V1360">
        <v>11</v>
      </c>
      <c r="W1360" t="s">
        <v>45</v>
      </c>
      <c r="X1360">
        <v>8</v>
      </c>
      <c r="Y1360">
        <v>3</v>
      </c>
      <c r="Z1360" t="s">
        <v>61</v>
      </c>
      <c r="AA1360">
        <v>5</v>
      </c>
      <c r="AB1360" t="s">
        <v>47</v>
      </c>
      <c r="AC1360">
        <v>2</v>
      </c>
      <c r="AD1360" t="s">
        <v>48</v>
      </c>
      <c r="AE1360">
        <v>1</v>
      </c>
      <c r="AF1360" t="s">
        <v>49</v>
      </c>
    </row>
    <row r="1361" spans="1:32" x14ac:dyDescent="0.25">
      <c r="A1361">
        <v>34</v>
      </c>
      <c r="B1361" t="s">
        <v>32</v>
      </c>
      <c r="C1361" t="s">
        <v>50</v>
      </c>
      <c r="D1361" t="s">
        <v>34</v>
      </c>
      <c r="E1361" t="s">
        <v>35</v>
      </c>
      <c r="F1361">
        <v>3</v>
      </c>
      <c r="G1361" t="s">
        <v>36</v>
      </c>
      <c r="H1361">
        <v>4</v>
      </c>
      <c r="I1361" t="s">
        <v>42</v>
      </c>
      <c r="J1361" t="s">
        <v>38</v>
      </c>
      <c r="K1361">
        <v>2</v>
      </c>
      <c r="L1361" t="s">
        <v>55</v>
      </c>
      <c r="M1361">
        <v>2</v>
      </c>
      <c r="N1361" t="s">
        <v>40</v>
      </c>
      <c r="O1361" t="s">
        <v>41</v>
      </c>
      <c r="P1361">
        <v>4</v>
      </c>
      <c r="Q1361" t="s">
        <v>42</v>
      </c>
      <c r="R1361" t="s">
        <v>58</v>
      </c>
      <c r="S1361">
        <v>3</v>
      </c>
      <c r="T1361" t="s">
        <v>44</v>
      </c>
      <c r="U1361" t="s">
        <v>44</v>
      </c>
      <c r="V1361">
        <v>12</v>
      </c>
      <c r="W1361" t="s">
        <v>45</v>
      </c>
      <c r="X1361">
        <v>9</v>
      </c>
      <c r="Y1361">
        <v>2</v>
      </c>
      <c r="Z1361" t="s">
        <v>46</v>
      </c>
      <c r="AA1361">
        <v>4</v>
      </c>
      <c r="AB1361" t="s">
        <v>48</v>
      </c>
      <c r="AC1361">
        <v>2</v>
      </c>
      <c r="AD1361" t="s">
        <v>48</v>
      </c>
      <c r="AE1361">
        <v>0</v>
      </c>
      <c r="AF1361" t="s">
        <v>49</v>
      </c>
    </row>
    <row r="1362" spans="1:32" x14ac:dyDescent="0.25">
      <c r="A1362">
        <v>31</v>
      </c>
      <c r="B1362" t="s">
        <v>32</v>
      </c>
      <c r="C1362" t="s">
        <v>50</v>
      </c>
      <c r="D1362" t="s">
        <v>34</v>
      </c>
      <c r="E1362" t="s">
        <v>52</v>
      </c>
      <c r="F1362">
        <v>4</v>
      </c>
      <c r="G1362" t="s">
        <v>36</v>
      </c>
      <c r="H1362">
        <v>1</v>
      </c>
      <c r="I1362" t="s">
        <v>37</v>
      </c>
      <c r="J1362" t="s">
        <v>38</v>
      </c>
      <c r="K1362">
        <v>4</v>
      </c>
      <c r="L1362" t="s">
        <v>65</v>
      </c>
      <c r="M1362">
        <v>1</v>
      </c>
      <c r="N1362" t="s">
        <v>40</v>
      </c>
      <c r="O1362" t="s">
        <v>62</v>
      </c>
      <c r="P1362">
        <v>3</v>
      </c>
      <c r="Q1362" t="s">
        <v>42</v>
      </c>
      <c r="R1362" t="s">
        <v>67</v>
      </c>
      <c r="S1362">
        <v>8</v>
      </c>
      <c r="T1362" t="s">
        <v>44</v>
      </c>
      <c r="U1362" t="s">
        <v>59</v>
      </c>
      <c r="V1362">
        <v>12</v>
      </c>
      <c r="W1362" t="s">
        <v>45</v>
      </c>
      <c r="X1362">
        <v>4</v>
      </c>
      <c r="Y1362">
        <v>2</v>
      </c>
      <c r="Z1362" t="s">
        <v>46</v>
      </c>
      <c r="AA1362">
        <v>2</v>
      </c>
      <c r="AB1362" t="s">
        <v>48</v>
      </c>
      <c r="AC1362">
        <v>2</v>
      </c>
      <c r="AD1362" t="s">
        <v>48</v>
      </c>
      <c r="AE1362">
        <v>2</v>
      </c>
      <c r="AF1362" t="s">
        <v>49</v>
      </c>
    </row>
    <row r="1363" spans="1:32" x14ac:dyDescent="0.25">
      <c r="A1363">
        <v>26</v>
      </c>
      <c r="B1363" t="s">
        <v>63</v>
      </c>
      <c r="C1363" t="s">
        <v>50</v>
      </c>
      <c r="D1363" t="s">
        <v>51</v>
      </c>
      <c r="E1363" t="s">
        <v>52</v>
      </c>
      <c r="F1363">
        <v>6</v>
      </c>
      <c r="G1363" t="s">
        <v>53</v>
      </c>
      <c r="H1363">
        <v>3</v>
      </c>
      <c r="I1363" t="s">
        <v>42</v>
      </c>
      <c r="J1363" t="s">
        <v>54</v>
      </c>
      <c r="K1363">
        <v>4</v>
      </c>
      <c r="L1363" t="s">
        <v>65</v>
      </c>
      <c r="M1363">
        <v>1</v>
      </c>
      <c r="N1363" t="s">
        <v>40</v>
      </c>
      <c r="O1363" t="s">
        <v>62</v>
      </c>
      <c r="P1363">
        <v>4</v>
      </c>
      <c r="Q1363" t="s">
        <v>42</v>
      </c>
      <c r="R1363" t="s">
        <v>58</v>
      </c>
      <c r="S1363">
        <v>0</v>
      </c>
      <c r="T1363" t="s">
        <v>44</v>
      </c>
      <c r="U1363" t="s">
        <v>59</v>
      </c>
      <c r="V1363">
        <v>18</v>
      </c>
      <c r="W1363" t="s">
        <v>45</v>
      </c>
      <c r="X1363">
        <v>8</v>
      </c>
      <c r="Y1363">
        <v>3</v>
      </c>
      <c r="Z1363" t="s">
        <v>61</v>
      </c>
      <c r="AA1363">
        <v>7</v>
      </c>
      <c r="AB1363" t="s">
        <v>47</v>
      </c>
      <c r="AC1363">
        <v>7</v>
      </c>
      <c r="AD1363" t="s">
        <v>47</v>
      </c>
      <c r="AE1363">
        <v>7</v>
      </c>
      <c r="AF1363" t="s">
        <v>71</v>
      </c>
    </row>
    <row r="1364" spans="1:32" x14ac:dyDescent="0.25">
      <c r="A1364">
        <v>45</v>
      </c>
      <c r="B1364" t="s">
        <v>32</v>
      </c>
      <c r="C1364" t="s">
        <v>50</v>
      </c>
      <c r="D1364" t="s">
        <v>51</v>
      </c>
      <c r="E1364" t="s">
        <v>52</v>
      </c>
      <c r="F1364">
        <v>1</v>
      </c>
      <c r="G1364" t="s">
        <v>36</v>
      </c>
      <c r="H1364">
        <v>2</v>
      </c>
      <c r="I1364" t="s">
        <v>37</v>
      </c>
      <c r="J1364" t="s">
        <v>54</v>
      </c>
      <c r="K1364">
        <v>3</v>
      </c>
      <c r="L1364" t="s">
        <v>39</v>
      </c>
      <c r="M1364">
        <v>2</v>
      </c>
      <c r="N1364" t="s">
        <v>40</v>
      </c>
      <c r="O1364" t="s">
        <v>70</v>
      </c>
      <c r="P1364">
        <v>3</v>
      </c>
      <c r="Q1364" t="s">
        <v>42</v>
      </c>
      <c r="R1364" t="s">
        <v>43</v>
      </c>
      <c r="S1364">
        <v>4</v>
      </c>
      <c r="T1364" t="s">
        <v>44</v>
      </c>
      <c r="U1364" t="s">
        <v>59</v>
      </c>
      <c r="V1364">
        <v>12</v>
      </c>
      <c r="W1364" t="s">
        <v>45</v>
      </c>
      <c r="X1364">
        <v>12</v>
      </c>
      <c r="Y1364">
        <v>3</v>
      </c>
      <c r="Z1364" t="s">
        <v>61</v>
      </c>
      <c r="AA1364">
        <v>4</v>
      </c>
      <c r="AB1364" t="s">
        <v>48</v>
      </c>
      <c r="AC1364">
        <v>2</v>
      </c>
      <c r="AD1364" t="s">
        <v>48</v>
      </c>
      <c r="AE1364">
        <v>0</v>
      </c>
      <c r="AF1364" t="s">
        <v>49</v>
      </c>
    </row>
    <row r="1365" spans="1:32" x14ac:dyDescent="0.25">
      <c r="A1365">
        <v>33</v>
      </c>
      <c r="B1365" t="s">
        <v>32</v>
      </c>
      <c r="C1365" t="s">
        <v>50</v>
      </c>
      <c r="D1365" t="s">
        <v>34</v>
      </c>
      <c r="E1365" t="s">
        <v>35</v>
      </c>
      <c r="F1365">
        <v>10</v>
      </c>
      <c r="G1365" t="s">
        <v>53</v>
      </c>
      <c r="H1365">
        <v>2</v>
      </c>
      <c r="I1365" t="s">
        <v>37</v>
      </c>
      <c r="J1365" t="s">
        <v>54</v>
      </c>
      <c r="K1365">
        <v>3</v>
      </c>
      <c r="L1365" t="s">
        <v>39</v>
      </c>
      <c r="M1365">
        <v>2</v>
      </c>
      <c r="N1365" t="s">
        <v>40</v>
      </c>
      <c r="O1365" t="s">
        <v>41</v>
      </c>
      <c r="P1365">
        <v>3</v>
      </c>
      <c r="Q1365" t="s">
        <v>42</v>
      </c>
      <c r="R1365" t="s">
        <v>43</v>
      </c>
      <c r="S1365">
        <v>1</v>
      </c>
      <c r="T1365" t="s">
        <v>44</v>
      </c>
      <c r="U1365" t="s">
        <v>59</v>
      </c>
      <c r="V1365">
        <v>14</v>
      </c>
      <c r="W1365" t="s">
        <v>45</v>
      </c>
      <c r="X1365">
        <v>10</v>
      </c>
      <c r="Y1365">
        <v>2</v>
      </c>
      <c r="Z1365" t="s">
        <v>46</v>
      </c>
      <c r="AA1365">
        <v>10</v>
      </c>
      <c r="AB1365" t="s">
        <v>47</v>
      </c>
      <c r="AC1365">
        <v>4</v>
      </c>
      <c r="AD1365" t="s">
        <v>48</v>
      </c>
      <c r="AE1365">
        <v>0</v>
      </c>
      <c r="AF1365" t="s">
        <v>49</v>
      </c>
    </row>
    <row r="1366" spans="1:32" x14ac:dyDescent="0.25">
      <c r="A1366">
        <v>28</v>
      </c>
      <c r="B1366" t="s">
        <v>63</v>
      </c>
      <c r="C1366" t="s">
        <v>50</v>
      </c>
      <c r="D1366" t="s">
        <v>51</v>
      </c>
      <c r="E1366" t="s">
        <v>35</v>
      </c>
      <c r="F1366">
        <v>1</v>
      </c>
      <c r="G1366" t="s">
        <v>36</v>
      </c>
      <c r="H1366">
        <v>3</v>
      </c>
      <c r="I1366" t="s">
        <v>42</v>
      </c>
      <c r="J1366" t="s">
        <v>54</v>
      </c>
      <c r="K1366">
        <v>2</v>
      </c>
      <c r="L1366" t="s">
        <v>55</v>
      </c>
      <c r="M1366">
        <v>2</v>
      </c>
      <c r="N1366" t="s">
        <v>40</v>
      </c>
      <c r="O1366" t="s">
        <v>41</v>
      </c>
      <c r="P1366">
        <v>4</v>
      </c>
      <c r="Q1366" t="s">
        <v>42</v>
      </c>
      <c r="R1366" t="s">
        <v>58</v>
      </c>
      <c r="S1366">
        <v>1</v>
      </c>
      <c r="T1366" t="s">
        <v>44</v>
      </c>
      <c r="U1366" t="s">
        <v>44</v>
      </c>
      <c r="V1366">
        <v>12</v>
      </c>
      <c r="W1366" t="s">
        <v>45</v>
      </c>
      <c r="X1366">
        <v>7</v>
      </c>
      <c r="Y1366">
        <v>3</v>
      </c>
      <c r="Z1366" t="s">
        <v>61</v>
      </c>
      <c r="AA1366">
        <v>7</v>
      </c>
      <c r="AB1366" t="s">
        <v>47</v>
      </c>
      <c r="AC1366">
        <v>7</v>
      </c>
      <c r="AD1366" t="s">
        <v>47</v>
      </c>
      <c r="AE1366">
        <v>0</v>
      </c>
      <c r="AF1366" t="s">
        <v>49</v>
      </c>
    </row>
    <row r="1367" spans="1:32" x14ac:dyDescent="0.25">
      <c r="A1367">
        <v>29</v>
      </c>
      <c r="B1367" t="s">
        <v>63</v>
      </c>
      <c r="C1367" t="s">
        <v>33</v>
      </c>
      <c r="D1367" t="s">
        <v>51</v>
      </c>
      <c r="E1367" t="s">
        <v>35</v>
      </c>
      <c r="F1367">
        <v>24</v>
      </c>
      <c r="G1367" t="s">
        <v>66</v>
      </c>
      <c r="H1367">
        <v>3</v>
      </c>
      <c r="I1367" t="s">
        <v>42</v>
      </c>
      <c r="J1367" t="s">
        <v>54</v>
      </c>
      <c r="K1367">
        <v>4</v>
      </c>
      <c r="L1367" t="s">
        <v>65</v>
      </c>
      <c r="M1367">
        <v>1</v>
      </c>
      <c r="N1367" t="s">
        <v>40</v>
      </c>
      <c r="O1367" t="s">
        <v>75</v>
      </c>
      <c r="P1367">
        <v>1</v>
      </c>
      <c r="Q1367" t="s">
        <v>57</v>
      </c>
      <c r="R1367" t="s">
        <v>43</v>
      </c>
      <c r="S1367">
        <v>1</v>
      </c>
      <c r="T1367" t="s">
        <v>44</v>
      </c>
      <c r="U1367" t="s">
        <v>59</v>
      </c>
      <c r="V1367">
        <v>17</v>
      </c>
      <c r="W1367" t="s">
        <v>45</v>
      </c>
      <c r="X1367">
        <v>1</v>
      </c>
      <c r="Y1367">
        <v>3</v>
      </c>
      <c r="Z1367" t="s">
        <v>61</v>
      </c>
      <c r="AA1367">
        <v>1</v>
      </c>
      <c r="AB1367" t="s">
        <v>48</v>
      </c>
      <c r="AC1367">
        <v>0</v>
      </c>
      <c r="AD1367" t="s">
        <v>48</v>
      </c>
      <c r="AE1367">
        <v>0</v>
      </c>
      <c r="AF1367" t="s">
        <v>49</v>
      </c>
    </row>
    <row r="1368" spans="1:32" x14ac:dyDescent="0.25">
      <c r="A1368">
        <v>39</v>
      </c>
      <c r="B1368" t="s">
        <v>32</v>
      </c>
      <c r="C1368" t="s">
        <v>50</v>
      </c>
      <c r="D1368" t="s">
        <v>34</v>
      </c>
      <c r="E1368" t="s">
        <v>35</v>
      </c>
      <c r="F1368">
        <v>21</v>
      </c>
      <c r="G1368" t="s">
        <v>66</v>
      </c>
      <c r="H1368">
        <v>1</v>
      </c>
      <c r="I1368" t="s">
        <v>37</v>
      </c>
      <c r="J1368" t="s">
        <v>38</v>
      </c>
      <c r="K1368">
        <v>1</v>
      </c>
      <c r="L1368" t="s">
        <v>55</v>
      </c>
      <c r="M1368">
        <v>2</v>
      </c>
      <c r="N1368" t="s">
        <v>40</v>
      </c>
      <c r="O1368" t="s">
        <v>41</v>
      </c>
      <c r="P1368">
        <v>3</v>
      </c>
      <c r="Q1368" t="s">
        <v>42</v>
      </c>
      <c r="R1368" t="s">
        <v>58</v>
      </c>
      <c r="S1368">
        <v>6</v>
      </c>
      <c r="T1368" t="s">
        <v>44</v>
      </c>
      <c r="U1368" t="s">
        <v>59</v>
      </c>
      <c r="V1368">
        <v>19</v>
      </c>
      <c r="W1368" t="s">
        <v>45</v>
      </c>
      <c r="X1368">
        <v>10</v>
      </c>
      <c r="Y1368">
        <v>3</v>
      </c>
      <c r="Z1368" t="s">
        <v>61</v>
      </c>
      <c r="AA1368">
        <v>3</v>
      </c>
      <c r="AB1368" t="s">
        <v>48</v>
      </c>
      <c r="AC1368">
        <v>2</v>
      </c>
      <c r="AD1368" t="s">
        <v>48</v>
      </c>
      <c r="AE1368">
        <v>1</v>
      </c>
      <c r="AF1368" t="s">
        <v>49</v>
      </c>
    </row>
    <row r="1369" spans="1:32" x14ac:dyDescent="0.25">
      <c r="A1369">
        <v>27</v>
      </c>
      <c r="B1369" t="s">
        <v>63</v>
      </c>
      <c r="C1369" t="s">
        <v>50</v>
      </c>
      <c r="D1369" t="s">
        <v>34</v>
      </c>
      <c r="E1369" t="s">
        <v>52</v>
      </c>
      <c r="F1369">
        <v>2</v>
      </c>
      <c r="G1369" t="s">
        <v>36</v>
      </c>
      <c r="H1369">
        <v>2</v>
      </c>
      <c r="I1369" t="s">
        <v>37</v>
      </c>
      <c r="J1369" t="s">
        <v>54</v>
      </c>
      <c r="K1369">
        <v>3</v>
      </c>
      <c r="L1369" t="s">
        <v>39</v>
      </c>
      <c r="M1369">
        <v>1</v>
      </c>
      <c r="N1369" t="s">
        <v>40</v>
      </c>
      <c r="O1369" t="s">
        <v>56</v>
      </c>
      <c r="P1369">
        <v>2</v>
      </c>
      <c r="Q1369" t="s">
        <v>57</v>
      </c>
      <c r="R1369" t="s">
        <v>58</v>
      </c>
      <c r="S1369">
        <v>1</v>
      </c>
      <c r="T1369" t="s">
        <v>44</v>
      </c>
      <c r="U1369" t="s">
        <v>59</v>
      </c>
      <c r="V1369">
        <v>11</v>
      </c>
      <c r="W1369" t="s">
        <v>45</v>
      </c>
      <c r="X1369">
        <v>6</v>
      </c>
      <c r="Y1369">
        <v>2</v>
      </c>
      <c r="Z1369" t="s">
        <v>46</v>
      </c>
      <c r="AA1369">
        <v>5</v>
      </c>
      <c r="AB1369" t="s">
        <v>47</v>
      </c>
      <c r="AC1369">
        <v>3</v>
      </c>
      <c r="AD1369" t="s">
        <v>48</v>
      </c>
      <c r="AE1369">
        <v>1</v>
      </c>
      <c r="AF1369" t="s">
        <v>49</v>
      </c>
    </row>
    <row r="1370" spans="1:32" x14ac:dyDescent="0.25">
      <c r="A1370">
        <v>34</v>
      </c>
      <c r="B1370" t="s">
        <v>32</v>
      </c>
      <c r="C1370" t="s">
        <v>50</v>
      </c>
      <c r="D1370" t="s">
        <v>51</v>
      </c>
      <c r="E1370" t="s">
        <v>52</v>
      </c>
      <c r="F1370">
        <v>22</v>
      </c>
      <c r="G1370" t="s">
        <v>66</v>
      </c>
      <c r="H1370">
        <v>3</v>
      </c>
      <c r="I1370" t="s">
        <v>42</v>
      </c>
      <c r="J1370" t="s">
        <v>54</v>
      </c>
      <c r="K1370">
        <v>2</v>
      </c>
      <c r="L1370" t="s">
        <v>55</v>
      </c>
      <c r="M1370">
        <v>2</v>
      </c>
      <c r="N1370" t="s">
        <v>40</v>
      </c>
      <c r="O1370" t="s">
        <v>56</v>
      </c>
      <c r="P1370">
        <v>4</v>
      </c>
      <c r="Q1370" t="s">
        <v>42</v>
      </c>
      <c r="R1370" t="s">
        <v>58</v>
      </c>
      <c r="S1370">
        <v>1</v>
      </c>
      <c r="T1370" t="s">
        <v>44</v>
      </c>
      <c r="U1370" t="s">
        <v>44</v>
      </c>
      <c r="V1370">
        <v>15</v>
      </c>
      <c r="W1370" t="s">
        <v>45</v>
      </c>
      <c r="X1370">
        <v>16</v>
      </c>
      <c r="Y1370">
        <v>3</v>
      </c>
      <c r="Z1370" t="s">
        <v>61</v>
      </c>
      <c r="AA1370">
        <v>15</v>
      </c>
      <c r="AB1370" t="s">
        <v>74</v>
      </c>
      <c r="AC1370">
        <v>10</v>
      </c>
      <c r="AD1370" t="s">
        <v>47</v>
      </c>
      <c r="AE1370">
        <v>6</v>
      </c>
      <c r="AF1370" t="s">
        <v>71</v>
      </c>
    </row>
    <row r="1371" spans="1:32" x14ac:dyDescent="0.25">
      <c r="A1371">
        <v>28</v>
      </c>
      <c r="B1371" t="s">
        <v>63</v>
      </c>
      <c r="C1371" t="s">
        <v>33</v>
      </c>
      <c r="D1371" t="s">
        <v>34</v>
      </c>
      <c r="E1371" t="s">
        <v>35</v>
      </c>
      <c r="F1371">
        <v>13</v>
      </c>
      <c r="G1371" t="s">
        <v>53</v>
      </c>
      <c r="H1371">
        <v>4</v>
      </c>
      <c r="I1371" t="s">
        <v>42</v>
      </c>
      <c r="J1371" t="s">
        <v>38</v>
      </c>
      <c r="K1371">
        <v>3</v>
      </c>
      <c r="L1371" t="s">
        <v>39</v>
      </c>
      <c r="M1371">
        <v>2</v>
      </c>
      <c r="N1371" t="s">
        <v>40</v>
      </c>
      <c r="O1371" t="s">
        <v>41</v>
      </c>
      <c r="P1371">
        <v>3</v>
      </c>
      <c r="Q1371" t="s">
        <v>42</v>
      </c>
      <c r="R1371" t="s">
        <v>43</v>
      </c>
      <c r="S1371">
        <v>3</v>
      </c>
      <c r="T1371" t="s">
        <v>44</v>
      </c>
      <c r="U1371" t="s">
        <v>44</v>
      </c>
      <c r="V1371">
        <v>11</v>
      </c>
      <c r="W1371" t="s">
        <v>45</v>
      </c>
      <c r="X1371">
        <v>6</v>
      </c>
      <c r="Y1371">
        <v>3</v>
      </c>
      <c r="Z1371" t="s">
        <v>61</v>
      </c>
      <c r="AA1371">
        <v>2</v>
      </c>
      <c r="AB1371" t="s">
        <v>48</v>
      </c>
      <c r="AC1371">
        <v>0</v>
      </c>
      <c r="AD1371" t="s">
        <v>48</v>
      </c>
      <c r="AE1371">
        <v>2</v>
      </c>
      <c r="AF1371" t="s">
        <v>49</v>
      </c>
    </row>
    <row r="1372" spans="1:32" x14ac:dyDescent="0.25">
      <c r="A1372">
        <v>47</v>
      </c>
      <c r="B1372" t="s">
        <v>32</v>
      </c>
      <c r="C1372" t="s">
        <v>50</v>
      </c>
      <c r="D1372" t="s">
        <v>34</v>
      </c>
      <c r="E1372" t="s">
        <v>52</v>
      </c>
      <c r="F1372">
        <v>14</v>
      </c>
      <c r="G1372" t="s">
        <v>53</v>
      </c>
      <c r="H1372">
        <v>3</v>
      </c>
      <c r="I1372" t="s">
        <v>42</v>
      </c>
      <c r="J1372" t="s">
        <v>54</v>
      </c>
      <c r="K1372">
        <v>3</v>
      </c>
      <c r="L1372" t="s">
        <v>39</v>
      </c>
      <c r="M1372">
        <v>2</v>
      </c>
      <c r="N1372" t="s">
        <v>40</v>
      </c>
      <c r="O1372" t="s">
        <v>56</v>
      </c>
      <c r="P1372">
        <v>2</v>
      </c>
      <c r="Q1372" t="s">
        <v>57</v>
      </c>
      <c r="R1372" t="s">
        <v>58</v>
      </c>
      <c r="S1372">
        <v>8</v>
      </c>
      <c r="T1372" t="s">
        <v>44</v>
      </c>
      <c r="U1372" t="s">
        <v>59</v>
      </c>
      <c r="V1372">
        <v>18</v>
      </c>
      <c r="W1372" t="s">
        <v>45</v>
      </c>
      <c r="X1372">
        <v>16</v>
      </c>
      <c r="Y1372">
        <v>4</v>
      </c>
      <c r="Z1372" t="s">
        <v>61</v>
      </c>
      <c r="AA1372">
        <v>8</v>
      </c>
      <c r="AB1372" t="s">
        <v>47</v>
      </c>
      <c r="AC1372">
        <v>7</v>
      </c>
      <c r="AD1372" t="s">
        <v>47</v>
      </c>
      <c r="AE1372">
        <v>1</v>
      </c>
      <c r="AF1372" t="s">
        <v>49</v>
      </c>
    </row>
    <row r="1373" spans="1:32" x14ac:dyDescent="0.25">
      <c r="A1373">
        <v>56</v>
      </c>
      <c r="B1373" t="s">
        <v>64</v>
      </c>
      <c r="C1373" t="s">
        <v>50</v>
      </c>
      <c r="D1373" t="s">
        <v>34</v>
      </c>
      <c r="E1373" t="s">
        <v>35</v>
      </c>
      <c r="F1373">
        <v>11</v>
      </c>
      <c r="G1373" t="s">
        <v>53</v>
      </c>
      <c r="H1373">
        <v>4</v>
      </c>
      <c r="I1373" t="s">
        <v>42</v>
      </c>
      <c r="J1373" t="s">
        <v>38</v>
      </c>
      <c r="K1373">
        <v>2</v>
      </c>
      <c r="L1373" t="s">
        <v>55</v>
      </c>
      <c r="M1373">
        <v>2</v>
      </c>
      <c r="N1373" t="s">
        <v>40</v>
      </c>
      <c r="O1373" t="s">
        <v>41</v>
      </c>
      <c r="P1373">
        <v>1</v>
      </c>
      <c r="Q1373" t="s">
        <v>57</v>
      </c>
      <c r="R1373" t="s">
        <v>58</v>
      </c>
      <c r="S1373">
        <v>4</v>
      </c>
      <c r="T1373" t="s">
        <v>44</v>
      </c>
      <c r="U1373" t="s">
        <v>59</v>
      </c>
      <c r="V1373">
        <v>16</v>
      </c>
      <c r="W1373" t="s">
        <v>45</v>
      </c>
      <c r="X1373">
        <v>6</v>
      </c>
      <c r="Y1373">
        <v>3</v>
      </c>
      <c r="Z1373" t="s">
        <v>61</v>
      </c>
      <c r="AA1373">
        <v>0</v>
      </c>
      <c r="AB1373" t="s">
        <v>48</v>
      </c>
      <c r="AC1373">
        <v>0</v>
      </c>
      <c r="AD1373" t="s">
        <v>48</v>
      </c>
      <c r="AE1373">
        <v>0</v>
      </c>
      <c r="AF1373" t="s">
        <v>49</v>
      </c>
    </row>
    <row r="1374" spans="1:32" x14ac:dyDescent="0.25">
      <c r="A1374">
        <v>39</v>
      </c>
      <c r="B1374" t="s">
        <v>32</v>
      </c>
      <c r="C1374" t="s">
        <v>50</v>
      </c>
      <c r="D1374" t="s">
        <v>34</v>
      </c>
      <c r="E1374" t="s">
        <v>52</v>
      </c>
      <c r="F1374">
        <v>9</v>
      </c>
      <c r="G1374" t="s">
        <v>53</v>
      </c>
      <c r="H1374">
        <v>1</v>
      </c>
      <c r="I1374" t="s">
        <v>37</v>
      </c>
      <c r="J1374" t="s">
        <v>54</v>
      </c>
      <c r="K1374">
        <v>3</v>
      </c>
      <c r="L1374" t="s">
        <v>39</v>
      </c>
      <c r="M1374">
        <v>2</v>
      </c>
      <c r="N1374" t="s">
        <v>40</v>
      </c>
      <c r="O1374" t="s">
        <v>69</v>
      </c>
      <c r="P1374">
        <v>1</v>
      </c>
      <c r="Q1374" t="s">
        <v>57</v>
      </c>
      <c r="R1374" t="s">
        <v>58</v>
      </c>
      <c r="S1374">
        <v>1</v>
      </c>
      <c r="T1374" t="s">
        <v>44</v>
      </c>
      <c r="U1374" t="s">
        <v>59</v>
      </c>
      <c r="V1374">
        <v>25</v>
      </c>
      <c r="W1374" t="s">
        <v>60</v>
      </c>
      <c r="X1374">
        <v>10</v>
      </c>
      <c r="Y1374">
        <v>3</v>
      </c>
      <c r="Z1374" t="s">
        <v>61</v>
      </c>
      <c r="AA1374">
        <v>10</v>
      </c>
      <c r="AB1374" t="s">
        <v>47</v>
      </c>
      <c r="AC1374">
        <v>0</v>
      </c>
      <c r="AD1374" t="s">
        <v>48</v>
      </c>
      <c r="AE1374">
        <v>7</v>
      </c>
      <c r="AF1374" t="s">
        <v>71</v>
      </c>
    </row>
    <row r="1375" spans="1:32" x14ac:dyDescent="0.25">
      <c r="A1375">
        <v>38</v>
      </c>
      <c r="B1375" t="s">
        <v>32</v>
      </c>
      <c r="C1375" t="s">
        <v>50</v>
      </c>
      <c r="D1375" t="s">
        <v>51</v>
      </c>
      <c r="E1375" t="s">
        <v>52</v>
      </c>
      <c r="F1375">
        <v>8</v>
      </c>
      <c r="G1375" t="s">
        <v>53</v>
      </c>
      <c r="H1375">
        <v>4</v>
      </c>
      <c r="I1375" t="s">
        <v>42</v>
      </c>
      <c r="J1375" t="s">
        <v>38</v>
      </c>
      <c r="K1375">
        <v>2</v>
      </c>
      <c r="L1375" t="s">
        <v>55</v>
      </c>
      <c r="M1375">
        <v>2</v>
      </c>
      <c r="N1375" t="s">
        <v>40</v>
      </c>
      <c r="O1375" t="s">
        <v>56</v>
      </c>
      <c r="P1375">
        <v>2</v>
      </c>
      <c r="Q1375" t="s">
        <v>57</v>
      </c>
      <c r="R1375" t="s">
        <v>67</v>
      </c>
      <c r="S1375">
        <v>1</v>
      </c>
      <c r="T1375" t="s">
        <v>44</v>
      </c>
      <c r="U1375" t="s">
        <v>44</v>
      </c>
      <c r="V1375">
        <v>16</v>
      </c>
      <c r="W1375" t="s">
        <v>45</v>
      </c>
      <c r="X1375">
        <v>20</v>
      </c>
      <c r="Y1375">
        <v>3</v>
      </c>
      <c r="Z1375" t="s">
        <v>61</v>
      </c>
      <c r="AA1375">
        <v>20</v>
      </c>
      <c r="AB1375" t="s">
        <v>74</v>
      </c>
      <c r="AC1375">
        <v>11</v>
      </c>
      <c r="AD1375" t="s">
        <v>74</v>
      </c>
      <c r="AE1375">
        <v>0</v>
      </c>
      <c r="AF1375" t="s">
        <v>49</v>
      </c>
    </row>
    <row r="1376" spans="1:32" x14ac:dyDescent="0.25">
      <c r="A1376">
        <v>58</v>
      </c>
      <c r="B1376" t="s">
        <v>64</v>
      </c>
      <c r="C1376" t="s">
        <v>50</v>
      </c>
      <c r="D1376" t="s">
        <v>34</v>
      </c>
      <c r="E1376" t="s">
        <v>35</v>
      </c>
      <c r="F1376">
        <v>21</v>
      </c>
      <c r="G1376" t="s">
        <v>66</v>
      </c>
      <c r="H1376">
        <v>4</v>
      </c>
      <c r="I1376" t="s">
        <v>42</v>
      </c>
      <c r="J1376" t="s">
        <v>38</v>
      </c>
      <c r="K1376">
        <v>3</v>
      </c>
      <c r="L1376" t="s">
        <v>39</v>
      </c>
      <c r="M1376">
        <v>4</v>
      </c>
      <c r="N1376" t="s">
        <v>72</v>
      </c>
      <c r="O1376" t="s">
        <v>73</v>
      </c>
      <c r="P1376">
        <v>4</v>
      </c>
      <c r="Q1376" t="s">
        <v>42</v>
      </c>
      <c r="R1376" t="s">
        <v>58</v>
      </c>
      <c r="S1376">
        <v>4</v>
      </c>
      <c r="T1376" t="s">
        <v>44</v>
      </c>
      <c r="U1376" t="s">
        <v>44</v>
      </c>
      <c r="V1376">
        <v>13</v>
      </c>
      <c r="W1376" t="s">
        <v>45</v>
      </c>
      <c r="X1376">
        <v>29</v>
      </c>
      <c r="Y1376">
        <v>2</v>
      </c>
      <c r="Z1376" t="s">
        <v>46</v>
      </c>
      <c r="AA1376">
        <v>1</v>
      </c>
      <c r="AB1376" t="s">
        <v>48</v>
      </c>
      <c r="AC1376">
        <v>0</v>
      </c>
      <c r="AD1376" t="s">
        <v>48</v>
      </c>
      <c r="AE1376">
        <v>0</v>
      </c>
      <c r="AF1376" t="s">
        <v>49</v>
      </c>
    </row>
    <row r="1377" spans="1:32" x14ac:dyDescent="0.25">
      <c r="A1377">
        <v>32</v>
      </c>
      <c r="B1377" t="s">
        <v>32</v>
      </c>
      <c r="C1377" t="s">
        <v>33</v>
      </c>
      <c r="D1377" t="s">
        <v>51</v>
      </c>
      <c r="E1377" t="s">
        <v>52</v>
      </c>
      <c r="F1377">
        <v>5</v>
      </c>
      <c r="G1377" t="s">
        <v>36</v>
      </c>
      <c r="H1377">
        <v>1</v>
      </c>
      <c r="I1377" t="s">
        <v>37</v>
      </c>
      <c r="J1377" t="s">
        <v>38</v>
      </c>
      <c r="K1377">
        <v>4</v>
      </c>
      <c r="L1377" t="s">
        <v>65</v>
      </c>
      <c r="M1377">
        <v>1</v>
      </c>
      <c r="N1377" t="s">
        <v>40</v>
      </c>
      <c r="O1377" t="s">
        <v>56</v>
      </c>
      <c r="P1377">
        <v>3</v>
      </c>
      <c r="Q1377" t="s">
        <v>42</v>
      </c>
      <c r="R1377" t="s">
        <v>43</v>
      </c>
      <c r="S1377">
        <v>3</v>
      </c>
      <c r="T1377" t="s">
        <v>44</v>
      </c>
      <c r="U1377" t="s">
        <v>44</v>
      </c>
      <c r="V1377">
        <v>14</v>
      </c>
      <c r="W1377" t="s">
        <v>45</v>
      </c>
      <c r="X1377">
        <v>8</v>
      </c>
      <c r="Y1377">
        <v>3</v>
      </c>
      <c r="Z1377" t="s">
        <v>61</v>
      </c>
      <c r="AA1377">
        <v>4</v>
      </c>
      <c r="AB1377" t="s">
        <v>48</v>
      </c>
      <c r="AC1377">
        <v>1</v>
      </c>
      <c r="AD1377" t="s">
        <v>48</v>
      </c>
      <c r="AE1377">
        <v>0</v>
      </c>
      <c r="AF1377" t="s">
        <v>49</v>
      </c>
    </row>
    <row r="1378" spans="1:32" x14ac:dyDescent="0.25">
      <c r="A1378">
        <v>38</v>
      </c>
      <c r="B1378" t="s">
        <v>32</v>
      </c>
      <c r="C1378" t="s">
        <v>50</v>
      </c>
      <c r="D1378" t="s">
        <v>34</v>
      </c>
      <c r="E1378" t="s">
        <v>52</v>
      </c>
      <c r="F1378">
        <v>9</v>
      </c>
      <c r="G1378" t="s">
        <v>53</v>
      </c>
      <c r="H1378">
        <v>2</v>
      </c>
      <c r="I1378" t="s">
        <v>37</v>
      </c>
      <c r="J1378" t="s">
        <v>54</v>
      </c>
      <c r="K1378">
        <v>3</v>
      </c>
      <c r="L1378" t="s">
        <v>39</v>
      </c>
      <c r="M1378">
        <v>1</v>
      </c>
      <c r="N1378" t="s">
        <v>40</v>
      </c>
      <c r="O1378" t="s">
        <v>56</v>
      </c>
      <c r="P1378">
        <v>4</v>
      </c>
      <c r="Q1378" t="s">
        <v>42</v>
      </c>
      <c r="R1378" t="s">
        <v>67</v>
      </c>
      <c r="S1378">
        <v>2</v>
      </c>
      <c r="T1378" t="s">
        <v>44</v>
      </c>
      <c r="U1378" t="s">
        <v>59</v>
      </c>
      <c r="V1378">
        <v>19</v>
      </c>
      <c r="W1378" t="s">
        <v>45</v>
      </c>
      <c r="X1378">
        <v>10</v>
      </c>
      <c r="Y1378">
        <v>4</v>
      </c>
      <c r="Z1378" t="s">
        <v>61</v>
      </c>
      <c r="AA1378">
        <v>5</v>
      </c>
      <c r="AB1378" t="s">
        <v>47</v>
      </c>
      <c r="AC1378">
        <v>2</v>
      </c>
      <c r="AD1378" t="s">
        <v>48</v>
      </c>
      <c r="AE1378">
        <v>0</v>
      </c>
      <c r="AF1378" t="s">
        <v>49</v>
      </c>
    </row>
    <row r="1379" spans="1:32" x14ac:dyDescent="0.25">
      <c r="A1379">
        <v>49</v>
      </c>
      <c r="B1379" t="s">
        <v>32</v>
      </c>
      <c r="C1379" t="s">
        <v>50</v>
      </c>
      <c r="D1379" t="s">
        <v>51</v>
      </c>
      <c r="E1379" t="s">
        <v>52</v>
      </c>
      <c r="F1379">
        <v>2</v>
      </c>
      <c r="G1379" t="s">
        <v>36</v>
      </c>
      <c r="H1379">
        <v>2</v>
      </c>
      <c r="I1379" t="s">
        <v>37</v>
      </c>
      <c r="J1379" t="s">
        <v>54</v>
      </c>
      <c r="K1379">
        <v>3</v>
      </c>
      <c r="L1379" t="s">
        <v>39</v>
      </c>
      <c r="M1379">
        <v>5</v>
      </c>
      <c r="N1379" t="s">
        <v>72</v>
      </c>
      <c r="O1379" t="s">
        <v>76</v>
      </c>
      <c r="P1379">
        <v>4</v>
      </c>
      <c r="Q1379" t="s">
        <v>42</v>
      </c>
      <c r="R1379" t="s">
        <v>58</v>
      </c>
      <c r="S1379">
        <v>3</v>
      </c>
      <c r="T1379" t="s">
        <v>44</v>
      </c>
      <c r="U1379" t="s">
        <v>59</v>
      </c>
      <c r="V1379">
        <v>15</v>
      </c>
      <c r="W1379" t="s">
        <v>45</v>
      </c>
      <c r="X1379">
        <v>28</v>
      </c>
      <c r="Y1379">
        <v>3</v>
      </c>
      <c r="Z1379" t="s">
        <v>61</v>
      </c>
      <c r="AA1379">
        <v>5</v>
      </c>
      <c r="AB1379" t="s">
        <v>47</v>
      </c>
      <c r="AC1379">
        <v>4</v>
      </c>
      <c r="AD1379" t="s">
        <v>48</v>
      </c>
      <c r="AE1379">
        <v>4</v>
      </c>
      <c r="AF1379" t="s">
        <v>71</v>
      </c>
    </row>
    <row r="1380" spans="1:32" x14ac:dyDescent="0.25">
      <c r="A1380">
        <v>42</v>
      </c>
      <c r="B1380" t="s">
        <v>32</v>
      </c>
      <c r="C1380" t="s">
        <v>50</v>
      </c>
      <c r="D1380" t="s">
        <v>34</v>
      </c>
      <c r="E1380" t="s">
        <v>35</v>
      </c>
      <c r="F1380">
        <v>12</v>
      </c>
      <c r="G1380" t="s">
        <v>53</v>
      </c>
      <c r="H1380">
        <v>2</v>
      </c>
      <c r="I1380" t="s">
        <v>37</v>
      </c>
      <c r="J1380" t="s">
        <v>54</v>
      </c>
      <c r="K1380">
        <v>3</v>
      </c>
      <c r="L1380" t="s">
        <v>39</v>
      </c>
      <c r="M1380">
        <v>2</v>
      </c>
      <c r="N1380" t="s">
        <v>40</v>
      </c>
      <c r="O1380" t="s">
        <v>41</v>
      </c>
      <c r="P1380">
        <v>4</v>
      </c>
      <c r="Q1380" t="s">
        <v>42</v>
      </c>
      <c r="R1380" t="s">
        <v>67</v>
      </c>
      <c r="S1380">
        <v>3</v>
      </c>
      <c r="T1380" t="s">
        <v>44</v>
      </c>
      <c r="U1380" t="s">
        <v>44</v>
      </c>
      <c r="V1380">
        <v>12</v>
      </c>
      <c r="W1380" t="s">
        <v>45</v>
      </c>
      <c r="X1380">
        <v>14</v>
      </c>
      <c r="Y1380">
        <v>3</v>
      </c>
      <c r="Z1380" t="s">
        <v>61</v>
      </c>
      <c r="AA1380">
        <v>0</v>
      </c>
      <c r="AB1380" t="s">
        <v>48</v>
      </c>
      <c r="AC1380">
        <v>0</v>
      </c>
      <c r="AD1380" t="s">
        <v>48</v>
      </c>
      <c r="AE1380">
        <v>0</v>
      </c>
      <c r="AF1380" t="s">
        <v>49</v>
      </c>
    </row>
    <row r="1381" spans="1:32" x14ac:dyDescent="0.25">
      <c r="A1381">
        <v>27</v>
      </c>
      <c r="B1381" t="s">
        <v>63</v>
      </c>
      <c r="C1381" t="s">
        <v>33</v>
      </c>
      <c r="D1381" t="s">
        <v>51</v>
      </c>
      <c r="E1381" t="s">
        <v>77</v>
      </c>
      <c r="F1381">
        <v>22</v>
      </c>
      <c r="G1381" t="s">
        <v>66</v>
      </c>
      <c r="H1381">
        <v>1</v>
      </c>
      <c r="I1381" t="s">
        <v>37</v>
      </c>
      <c r="J1381" t="s">
        <v>38</v>
      </c>
      <c r="K1381">
        <v>2</v>
      </c>
      <c r="L1381" t="s">
        <v>55</v>
      </c>
      <c r="M1381">
        <v>1</v>
      </c>
      <c r="N1381" t="s">
        <v>40</v>
      </c>
      <c r="O1381" t="s">
        <v>77</v>
      </c>
      <c r="P1381">
        <v>2</v>
      </c>
      <c r="Q1381" t="s">
        <v>57</v>
      </c>
      <c r="R1381" t="s">
        <v>58</v>
      </c>
      <c r="S1381">
        <v>1</v>
      </c>
      <c r="T1381" t="s">
        <v>44</v>
      </c>
      <c r="U1381" t="s">
        <v>59</v>
      </c>
      <c r="V1381">
        <v>12</v>
      </c>
      <c r="W1381" t="s">
        <v>45</v>
      </c>
      <c r="X1381">
        <v>1</v>
      </c>
      <c r="Y1381">
        <v>3</v>
      </c>
      <c r="Z1381" t="s">
        <v>61</v>
      </c>
      <c r="AA1381">
        <v>1</v>
      </c>
      <c r="AB1381" t="s">
        <v>48</v>
      </c>
      <c r="AC1381">
        <v>0</v>
      </c>
      <c r="AD1381" t="s">
        <v>48</v>
      </c>
      <c r="AE1381">
        <v>0</v>
      </c>
      <c r="AF1381" t="s">
        <v>49</v>
      </c>
    </row>
    <row r="1382" spans="1:32" x14ac:dyDescent="0.25">
      <c r="A1382">
        <v>35</v>
      </c>
      <c r="B1382" t="s">
        <v>32</v>
      </c>
      <c r="C1382" t="s">
        <v>50</v>
      </c>
      <c r="D1382" t="s">
        <v>34</v>
      </c>
      <c r="E1382" t="s">
        <v>35</v>
      </c>
      <c r="F1382">
        <v>18</v>
      </c>
      <c r="G1382" t="s">
        <v>66</v>
      </c>
      <c r="H1382">
        <v>2</v>
      </c>
      <c r="I1382" t="s">
        <v>37</v>
      </c>
      <c r="J1382" t="s">
        <v>54</v>
      </c>
      <c r="K1382">
        <v>3</v>
      </c>
      <c r="L1382" t="s">
        <v>39</v>
      </c>
      <c r="M1382">
        <v>2</v>
      </c>
      <c r="N1382" t="s">
        <v>40</v>
      </c>
      <c r="O1382" t="s">
        <v>41</v>
      </c>
      <c r="P1382">
        <v>1</v>
      </c>
      <c r="Q1382" t="s">
        <v>57</v>
      </c>
      <c r="R1382" t="s">
        <v>58</v>
      </c>
      <c r="S1382">
        <v>0</v>
      </c>
      <c r="T1382" t="s">
        <v>44</v>
      </c>
      <c r="U1382" t="s">
        <v>59</v>
      </c>
      <c r="V1382">
        <v>16</v>
      </c>
      <c r="W1382" t="s">
        <v>45</v>
      </c>
      <c r="X1382">
        <v>6</v>
      </c>
      <c r="Y1382">
        <v>1</v>
      </c>
      <c r="Z1382" t="s">
        <v>46</v>
      </c>
      <c r="AA1382">
        <v>5</v>
      </c>
      <c r="AB1382" t="s">
        <v>47</v>
      </c>
      <c r="AC1382">
        <v>3</v>
      </c>
      <c r="AD1382" t="s">
        <v>48</v>
      </c>
      <c r="AE1382">
        <v>0</v>
      </c>
      <c r="AF1382" t="s">
        <v>49</v>
      </c>
    </row>
    <row r="1383" spans="1:32" x14ac:dyDescent="0.25">
      <c r="A1383">
        <v>28</v>
      </c>
      <c r="B1383" t="s">
        <v>63</v>
      </c>
      <c r="C1383" t="s">
        <v>50</v>
      </c>
      <c r="D1383" t="s">
        <v>34</v>
      </c>
      <c r="E1383" t="s">
        <v>52</v>
      </c>
      <c r="F1383">
        <v>16</v>
      </c>
      <c r="G1383" t="s">
        <v>66</v>
      </c>
      <c r="H1383">
        <v>3</v>
      </c>
      <c r="I1383" t="s">
        <v>42</v>
      </c>
      <c r="J1383" t="s">
        <v>54</v>
      </c>
      <c r="K1383">
        <v>3</v>
      </c>
      <c r="L1383" t="s">
        <v>39</v>
      </c>
      <c r="M1383">
        <v>1</v>
      </c>
      <c r="N1383" t="s">
        <v>40</v>
      </c>
      <c r="O1383" t="s">
        <v>56</v>
      </c>
      <c r="P1383">
        <v>3</v>
      </c>
      <c r="Q1383" t="s">
        <v>42</v>
      </c>
      <c r="R1383" t="s">
        <v>43</v>
      </c>
      <c r="S1383">
        <v>1</v>
      </c>
      <c r="T1383" t="s">
        <v>44</v>
      </c>
      <c r="U1383" t="s">
        <v>59</v>
      </c>
      <c r="V1383">
        <v>14</v>
      </c>
      <c r="W1383" t="s">
        <v>45</v>
      </c>
      <c r="X1383">
        <v>5</v>
      </c>
      <c r="Y1383">
        <v>2</v>
      </c>
      <c r="Z1383" t="s">
        <v>46</v>
      </c>
      <c r="AA1383">
        <v>5</v>
      </c>
      <c r="AB1383" t="s">
        <v>47</v>
      </c>
      <c r="AC1383">
        <v>3</v>
      </c>
      <c r="AD1383" t="s">
        <v>48</v>
      </c>
      <c r="AE1383">
        <v>1</v>
      </c>
      <c r="AF1383" t="s">
        <v>49</v>
      </c>
    </row>
    <row r="1384" spans="1:32" x14ac:dyDescent="0.25">
      <c r="A1384">
        <v>31</v>
      </c>
      <c r="B1384" t="s">
        <v>32</v>
      </c>
      <c r="C1384" t="s">
        <v>50</v>
      </c>
      <c r="D1384" t="s">
        <v>34</v>
      </c>
      <c r="E1384" t="s">
        <v>52</v>
      </c>
      <c r="F1384">
        <v>3</v>
      </c>
      <c r="G1384" t="s">
        <v>36</v>
      </c>
      <c r="H1384">
        <v>3</v>
      </c>
      <c r="I1384" t="s">
        <v>42</v>
      </c>
      <c r="J1384" t="s">
        <v>54</v>
      </c>
      <c r="K1384">
        <v>3</v>
      </c>
      <c r="L1384" t="s">
        <v>39</v>
      </c>
      <c r="M1384">
        <v>1</v>
      </c>
      <c r="N1384" t="s">
        <v>40</v>
      </c>
      <c r="O1384" t="s">
        <v>56</v>
      </c>
      <c r="P1384">
        <v>1</v>
      </c>
      <c r="Q1384" t="s">
        <v>57</v>
      </c>
      <c r="R1384" t="s">
        <v>67</v>
      </c>
      <c r="S1384">
        <v>1</v>
      </c>
      <c r="T1384" t="s">
        <v>44</v>
      </c>
      <c r="U1384" t="s">
        <v>44</v>
      </c>
      <c r="V1384">
        <v>13</v>
      </c>
      <c r="W1384" t="s">
        <v>45</v>
      </c>
      <c r="X1384">
        <v>4</v>
      </c>
      <c r="Y1384">
        <v>4</v>
      </c>
      <c r="Z1384" t="s">
        <v>61</v>
      </c>
      <c r="AA1384">
        <v>4</v>
      </c>
      <c r="AB1384" t="s">
        <v>48</v>
      </c>
      <c r="AC1384">
        <v>2</v>
      </c>
      <c r="AD1384" t="s">
        <v>48</v>
      </c>
      <c r="AE1384">
        <v>2</v>
      </c>
      <c r="AF1384" t="s">
        <v>49</v>
      </c>
    </row>
    <row r="1385" spans="1:32" x14ac:dyDescent="0.25">
      <c r="A1385">
        <v>36</v>
      </c>
      <c r="B1385" t="s">
        <v>32</v>
      </c>
      <c r="C1385" t="s">
        <v>50</v>
      </c>
      <c r="D1385" t="s">
        <v>34</v>
      </c>
      <c r="E1385" t="s">
        <v>52</v>
      </c>
      <c r="F1385">
        <v>9</v>
      </c>
      <c r="G1385" t="s">
        <v>53</v>
      </c>
      <c r="H1385">
        <v>1</v>
      </c>
      <c r="I1385" t="s">
        <v>37</v>
      </c>
      <c r="J1385" t="s">
        <v>54</v>
      </c>
      <c r="K1385">
        <v>4</v>
      </c>
      <c r="L1385" t="s">
        <v>65</v>
      </c>
      <c r="M1385">
        <v>1</v>
      </c>
      <c r="N1385" t="s">
        <v>40</v>
      </c>
      <c r="O1385" t="s">
        <v>62</v>
      </c>
      <c r="P1385">
        <v>2</v>
      </c>
      <c r="Q1385" t="s">
        <v>57</v>
      </c>
      <c r="R1385" t="s">
        <v>58</v>
      </c>
      <c r="S1385">
        <v>1</v>
      </c>
      <c r="T1385" t="s">
        <v>44</v>
      </c>
      <c r="U1385" t="s">
        <v>59</v>
      </c>
      <c r="V1385">
        <v>22</v>
      </c>
      <c r="W1385" t="s">
        <v>60</v>
      </c>
      <c r="X1385">
        <v>5</v>
      </c>
      <c r="Y1385">
        <v>3</v>
      </c>
      <c r="Z1385" t="s">
        <v>61</v>
      </c>
      <c r="AA1385">
        <v>5</v>
      </c>
      <c r="AB1385" t="s">
        <v>47</v>
      </c>
      <c r="AC1385">
        <v>4</v>
      </c>
      <c r="AD1385" t="s">
        <v>48</v>
      </c>
      <c r="AE1385">
        <v>0</v>
      </c>
      <c r="AF1385" t="s">
        <v>49</v>
      </c>
    </row>
    <row r="1386" spans="1:32" x14ac:dyDescent="0.25">
      <c r="A1386">
        <v>34</v>
      </c>
      <c r="B1386" t="s">
        <v>32</v>
      </c>
      <c r="C1386" t="s">
        <v>50</v>
      </c>
      <c r="D1386" t="s">
        <v>34</v>
      </c>
      <c r="E1386" t="s">
        <v>35</v>
      </c>
      <c r="F1386">
        <v>1</v>
      </c>
      <c r="G1386" t="s">
        <v>36</v>
      </c>
      <c r="H1386">
        <v>1</v>
      </c>
      <c r="I1386" t="s">
        <v>37</v>
      </c>
      <c r="J1386" t="s">
        <v>54</v>
      </c>
      <c r="K1386">
        <v>3</v>
      </c>
      <c r="L1386" t="s">
        <v>39</v>
      </c>
      <c r="M1386">
        <v>3</v>
      </c>
      <c r="N1386" t="s">
        <v>68</v>
      </c>
      <c r="O1386" t="s">
        <v>41</v>
      </c>
      <c r="P1386">
        <v>4</v>
      </c>
      <c r="Q1386" t="s">
        <v>42</v>
      </c>
      <c r="R1386" t="s">
        <v>43</v>
      </c>
      <c r="S1386">
        <v>1</v>
      </c>
      <c r="T1386" t="s">
        <v>44</v>
      </c>
      <c r="U1386" t="s">
        <v>59</v>
      </c>
      <c r="V1386">
        <v>21</v>
      </c>
      <c r="W1386" t="s">
        <v>60</v>
      </c>
      <c r="X1386">
        <v>14</v>
      </c>
      <c r="Y1386">
        <v>2</v>
      </c>
      <c r="Z1386" t="s">
        <v>46</v>
      </c>
      <c r="AA1386">
        <v>14</v>
      </c>
      <c r="AB1386" t="s">
        <v>74</v>
      </c>
      <c r="AC1386">
        <v>8</v>
      </c>
      <c r="AD1386" t="s">
        <v>47</v>
      </c>
      <c r="AE1386">
        <v>2</v>
      </c>
      <c r="AF1386" t="s">
        <v>49</v>
      </c>
    </row>
    <row r="1387" spans="1:32" x14ac:dyDescent="0.25">
      <c r="A1387">
        <v>34</v>
      </c>
      <c r="B1387" t="s">
        <v>32</v>
      </c>
      <c r="C1387" t="s">
        <v>50</v>
      </c>
      <c r="D1387" t="s">
        <v>34</v>
      </c>
      <c r="E1387" t="s">
        <v>35</v>
      </c>
      <c r="F1387">
        <v>13</v>
      </c>
      <c r="G1387" t="s">
        <v>53</v>
      </c>
      <c r="H1387">
        <v>4</v>
      </c>
      <c r="I1387" t="s">
        <v>42</v>
      </c>
      <c r="J1387" t="s">
        <v>54</v>
      </c>
      <c r="K1387">
        <v>3</v>
      </c>
      <c r="L1387" t="s">
        <v>39</v>
      </c>
      <c r="M1387">
        <v>3</v>
      </c>
      <c r="N1387" t="s">
        <v>68</v>
      </c>
      <c r="O1387" t="s">
        <v>41</v>
      </c>
      <c r="P1387">
        <v>3</v>
      </c>
      <c r="Q1387" t="s">
        <v>42</v>
      </c>
      <c r="R1387" t="s">
        <v>67</v>
      </c>
      <c r="S1387">
        <v>1</v>
      </c>
      <c r="T1387" t="s">
        <v>44</v>
      </c>
      <c r="U1387" t="s">
        <v>59</v>
      </c>
      <c r="V1387">
        <v>18</v>
      </c>
      <c r="W1387" t="s">
        <v>45</v>
      </c>
      <c r="X1387">
        <v>9</v>
      </c>
      <c r="Y1387">
        <v>2</v>
      </c>
      <c r="Z1387" t="s">
        <v>46</v>
      </c>
      <c r="AA1387">
        <v>8</v>
      </c>
      <c r="AB1387" t="s">
        <v>47</v>
      </c>
      <c r="AC1387">
        <v>7</v>
      </c>
      <c r="AD1387" t="s">
        <v>47</v>
      </c>
      <c r="AE1387">
        <v>1</v>
      </c>
      <c r="AF1387" t="s">
        <v>49</v>
      </c>
    </row>
    <row r="1388" spans="1:32" x14ac:dyDescent="0.25">
      <c r="A1388">
        <v>26</v>
      </c>
      <c r="B1388" t="s">
        <v>63</v>
      </c>
      <c r="C1388" t="s">
        <v>50</v>
      </c>
      <c r="D1388" t="s">
        <v>34</v>
      </c>
      <c r="E1388" t="s">
        <v>52</v>
      </c>
      <c r="F1388">
        <v>1</v>
      </c>
      <c r="G1388" t="s">
        <v>36</v>
      </c>
      <c r="H1388">
        <v>3</v>
      </c>
      <c r="I1388" t="s">
        <v>42</v>
      </c>
      <c r="J1388" t="s">
        <v>54</v>
      </c>
      <c r="K1388">
        <v>3</v>
      </c>
      <c r="L1388" t="s">
        <v>39</v>
      </c>
      <c r="M1388">
        <v>1</v>
      </c>
      <c r="N1388" t="s">
        <v>40</v>
      </c>
      <c r="O1388" t="s">
        <v>62</v>
      </c>
      <c r="P1388">
        <v>1</v>
      </c>
      <c r="Q1388" t="s">
        <v>57</v>
      </c>
      <c r="R1388" t="s">
        <v>43</v>
      </c>
      <c r="S1388">
        <v>0</v>
      </c>
      <c r="T1388" t="s">
        <v>44</v>
      </c>
      <c r="U1388" t="s">
        <v>59</v>
      </c>
      <c r="V1388">
        <v>13</v>
      </c>
      <c r="W1388" t="s">
        <v>45</v>
      </c>
      <c r="X1388">
        <v>8</v>
      </c>
      <c r="Y1388">
        <v>2</v>
      </c>
      <c r="Z1388" t="s">
        <v>46</v>
      </c>
      <c r="AA1388">
        <v>7</v>
      </c>
      <c r="AB1388" t="s">
        <v>47</v>
      </c>
      <c r="AC1388">
        <v>7</v>
      </c>
      <c r="AD1388" t="s">
        <v>47</v>
      </c>
      <c r="AE1388">
        <v>7</v>
      </c>
      <c r="AF1388" t="s">
        <v>71</v>
      </c>
    </row>
    <row r="1389" spans="1:32" x14ac:dyDescent="0.25">
      <c r="A1389">
        <v>29</v>
      </c>
      <c r="B1389" t="s">
        <v>63</v>
      </c>
      <c r="C1389" t="s">
        <v>50</v>
      </c>
      <c r="D1389" t="s">
        <v>34</v>
      </c>
      <c r="E1389" t="s">
        <v>52</v>
      </c>
      <c r="F1389">
        <v>1</v>
      </c>
      <c r="G1389" t="s">
        <v>36</v>
      </c>
      <c r="H1389">
        <v>1</v>
      </c>
      <c r="I1389" t="s">
        <v>37</v>
      </c>
      <c r="J1389" t="s">
        <v>54</v>
      </c>
      <c r="K1389">
        <v>3</v>
      </c>
      <c r="L1389" t="s">
        <v>39</v>
      </c>
      <c r="M1389">
        <v>2</v>
      </c>
      <c r="N1389" t="s">
        <v>40</v>
      </c>
      <c r="O1389" t="s">
        <v>70</v>
      </c>
      <c r="P1389">
        <v>1</v>
      </c>
      <c r="Q1389" t="s">
        <v>57</v>
      </c>
      <c r="R1389" t="s">
        <v>58</v>
      </c>
      <c r="S1389">
        <v>0</v>
      </c>
      <c r="T1389" t="s">
        <v>44</v>
      </c>
      <c r="U1389" t="s">
        <v>59</v>
      </c>
      <c r="V1389">
        <v>12</v>
      </c>
      <c r="W1389" t="s">
        <v>45</v>
      </c>
      <c r="X1389">
        <v>6</v>
      </c>
      <c r="Y1389">
        <v>2</v>
      </c>
      <c r="Z1389" t="s">
        <v>46</v>
      </c>
      <c r="AA1389">
        <v>5</v>
      </c>
      <c r="AB1389" t="s">
        <v>47</v>
      </c>
      <c r="AC1389">
        <v>3</v>
      </c>
      <c r="AD1389" t="s">
        <v>48</v>
      </c>
      <c r="AE1389">
        <v>0</v>
      </c>
      <c r="AF1389" t="s">
        <v>49</v>
      </c>
    </row>
    <row r="1390" spans="1:32" x14ac:dyDescent="0.25">
      <c r="A1390">
        <v>32</v>
      </c>
      <c r="B1390" t="s">
        <v>32</v>
      </c>
      <c r="C1390" t="s">
        <v>50</v>
      </c>
      <c r="D1390" t="s">
        <v>34</v>
      </c>
      <c r="E1390" t="s">
        <v>52</v>
      </c>
      <c r="F1390">
        <v>15</v>
      </c>
      <c r="G1390" t="s">
        <v>66</v>
      </c>
      <c r="H1390">
        <v>3</v>
      </c>
      <c r="I1390" t="s">
        <v>42</v>
      </c>
      <c r="J1390" t="s">
        <v>38</v>
      </c>
      <c r="K1390">
        <v>3</v>
      </c>
      <c r="L1390" t="s">
        <v>39</v>
      </c>
      <c r="M1390">
        <v>2</v>
      </c>
      <c r="N1390" t="s">
        <v>40</v>
      </c>
      <c r="O1390" t="s">
        <v>70</v>
      </c>
      <c r="P1390">
        <v>4</v>
      </c>
      <c r="Q1390" t="s">
        <v>42</v>
      </c>
      <c r="R1390" t="s">
        <v>67</v>
      </c>
      <c r="S1390">
        <v>5</v>
      </c>
      <c r="T1390" t="s">
        <v>44</v>
      </c>
      <c r="U1390" t="s">
        <v>59</v>
      </c>
      <c r="V1390">
        <v>18</v>
      </c>
      <c r="W1390" t="s">
        <v>45</v>
      </c>
      <c r="X1390">
        <v>9</v>
      </c>
      <c r="Y1390">
        <v>3</v>
      </c>
      <c r="Z1390" t="s">
        <v>61</v>
      </c>
      <c r="AA1390">
        <v>5</v>
      </c>
      <c r="AB1390" t="s">
        <v>47</v>
      </c>
      <c r="AC1390">
        <v>1</v>
      </c>
      <c r="AD1390" t="s">
        <v>48</v>
      </c>
      <c r="AE1390">
        <v>1</v>
      </c>
      <c r="AF1390" t="s">
        <v>49</v>
      </c>
    </row>
    <row r="1391" spans="1:32" x14ac:dyDescent="0.25">
      <c r="A1391">
        <v>31</v>
      </c>
      <c r="B1391" t="s">
        <v>32</v>
      </c>
      <c r="C1391" t="s">
        <v>50</v>
      </c>
      <c r="D1391" t="s">
        <v>51</v>
      </c>
      <c r="E1391" t="s">
        <v>52</v>
      </c>
      <c r="F1391">
        <v>1</v>
      </c>
      <c r="G1391" t="s">
        <v>36</v>
      </c>
      <c r="H1391">
        <v>4</v>
      </c>
      <c r="I1391" t="s">
        <v>42</v>
      </c>
      <c r="J1391" t="s">
        <v>54</v>
      </c>
      <c r="K1391">
        <v>1</v>
      </c>
      <c r="L1391" t="s">
        <v>55</v>
      </c>
      <c r="M1391">
        <v>2</v>
      </c>
      <c r="N1391" t="s">
        <v>40</v>
      </c>
      <c r="O1391" t="s">
        <v>56</v>
      </c>
      <c r="P1391">
        <v>1</v>
      </c>
      <c r="Q1391" t="s">
        <v>57</v>
      </c>
      <c r="R1391" t="s">
        <v>58</v>
      </c>
      <c r="S1391">
        <v>1</v>
      </c>
      <c r="T1391" t="s">
        <v>44</v>
      </c>
      <c r="U1391" t="s">
        <v>59</v>
      </c>
      <c r="V1391">
        <v>21</v>
      </c>
      <c r="W1391" t="s">
        <v>60</v>
      </c>
      <c r="X1391">
        <v>10</v>
      </c>
      <c r="Y1391">
        <v>3</v>
      </c>
      <c r="Z1391" t="s">
        <v>61</v>
      </c>
      <c r="AA1391">
        <v>10</v>
      </c>
      <c r="AB1391" t="s">
        <v>47</v>
      </c>
      <c r="AC1391">
        <v>8</v>
      </c>
      <c r="AD1391" t="s">
        <v>47</v>
      </c>
      <c r="AE1391">
        <v>8</v>
      </c>
      <c r="AF1391" t="s">
        <v>71</v>
      </c>
    </row>
    <row r="1392" spans="1:32" x14ac:dyDescent="0.25">
      <c r="A1392">
        <v>28</v>
      </c>
      <c r="B1392" t="s">
        <v>63</v>
      </c>
      <c r="C1392" t="s">
        <v>33</v>
      </c>
      <c r="D1392" t="s">
        <v>34</v>
      </c>
      <c r="E1392" t="s">
        <v>52</v>
      </c>
      <c r="F1392">
        <v>17</v>
      </c>
      <c r="G1392" t="s">
        <v>66</v>
      </c>
      <c r="H1392">
        <v>3</v>
      </c>
      <c r="I1392" t="s">
        <v>42</v>
      </c>
      <c r="J1392" t="s">
        <v>54</v>
      </c>
      <c r="K1392">
        <v>2</v>
      </c>
      <c r="L1392" t="s">
        <v>55</v>
      </c>
      <c r="M1392">
        <v>1</v>
      </c>
      <c r="N1392" t="s">
        <v>40</v>
      </c>
      <c r="O1392" t="s">
        <v>62</v>
      </c>
      <c r="P1392">
        <v>4</v>
      </c>
      <c r="Q1392" t="s">
        <v>42</v>
      </c>
      <c r="R1392" t="s">
        <v>67</v>
      </c>
      <c r="S1392">
        <v>5</v>
      </c>
      <c r="T1392" t="s">
        <v>44</v>
      </c>
      <c r="U1392" t="s">
        <v>59</v>
      </c>
      <c r="V1392">
        <v>12</v>
      </c>
      <c r="W1392" t="s">
        <v>45</v>
      </c>
      <c r="X1392">
        <v>6</v>
      </c>
      <c r="Y1392">
        <v>2</v>
      </c>
      <c r="Z1392" t="s">
        <v>46</v>
      </c>
      <c r="AA1392">
        <v>4</v>
      </c>
      <c r="AB1392" t="s">
        <v>48</v>
      </c>
      <c r="AC1392">
        <v>1</v>
      </c>
      <c r="AD1392" t="s">
        <v>48</v>
      </c>
      <c r="AE1392">
        <v>0</v>
      </c>
      <c r="AF1392" t="s">
        <v>49</v>
      </c>
    </row>
    <row r="1393" spans="1:32" x14ac:dyDescent="0.25">
      <c r="A1393">
        <v>38</v>
      </c>
      <c r="B1393" t="s">
        <v>32</v>
      </c>
      <c r="C1393" t="s">
        <v>50</v>
      </c>
      <c r="D1393" t="s">
        <v>34</v>
      </c>
      <c r="E1393" t="s">
        <v>35</v>
      </c>
      <c r="F1393">
        <v>1</v>
      </c>
      <c r="G1393" t="s">
        <v>36</v>
      </c>
      <c r="H1393">
        <v>1</v>
      </c>
      <c r="I1393" t="s">
        <v>37</v>
      </c>
      <c r="J1393" t="s">
        <v>54</v>
      </c>
      <c r="K1393">
        <v>2</v>
      </c>
      <c r="L1393" t="s">
        <v>55</v>
      </c>
      <c r="M1393">
        <v>1</v>
      </c>
      <c r="N1393" t="s">
        <v>40</v>
      </c>
      <c r="O1393" t="s">
        <v>75</v>
      </c>
      <c r="P1393">
        <v>1</v>
      </c>
      <c r="Q1393" t="s">
        <v>57</v>
      </c>
      <c r="R1393" t="s">
        <v>43</v>
      </c>
      <c r="S1393">
        <v>4</v>
      </c>
      <c r="T1393" t="s">
        <v>44</v>
      </c>
      <c r="U1393" t="s">
        <v>59</v>
      </c>
      <c r="V1393">
        <v>14</v>
      </c>
      <c r="W1393" t="s">
        <v>45</v>
      </c>
      <c r="X1393">
        <v>20</v>
      </c>
      <c r="Y1393">
        <v>2</v>
      </c>
      <c r="Z1393" t="s">
        <v>46</v>
      </c>
      <c r="AA1393">
        <v>1</v>
      </c>
      <c r="AB1393" t="s">
        <v>48</v>
      </c>
      <c r="AC1393">
        <v>0</v>
      </c>
      <c r="AD1393" t="s">
        <v>48</v>
      </c>
      <c r="AE1393">
        <v>0</v>
      </c>
      <c r="AF1393" t="s">
        <v>49</v>
      </c>
    </row>
    <row r="1394" spans="1:32" x14ac:dyDescent="0.25">
      <c r="A1394">
        <v>35</v>
      </c>
      <c r="B1394" t="s">
        <v>32</v>
      </c>
      <c r="C1394" t="s">
        <v>50</v>
      </c>
      <c r="D1394" t="s">
        <v>34</v>
      </c>
      <c r="E1394" t="s">
        <v>35</v>
      </c>
      <c r="F1394">
        <v>7</v>
      </c>
      <c r="G1394" t="s">
        <v>53</v>
      </c>
      <c r="H1394">
        <v>3</v>
      </c>
      <c r="I1394" t="s">
        <v>42</v>
      </c>
      <c r="J1394" t="s">
        <v>38</v>
      </c>
      <c r="K1394">
        <v>3</v>
      </c>
      <c r="L1394" t="s">
        <v>39</v>
      </c>
      <c r="M1394">
        <v>2</v>
      </c>
      <c r="N1394" t="s">
        <v>40</v>
      </c>
      <c r="O1394" t="s">
        <v>41</v>
      </c>
      <c r="P1394">
        <v>4</v>
      </c>
      <c r="Q1394" t="s">
        <v>42</v>
      </c>
      <c r="R1394" t="s">
        <v>58</v>
      </c>
      <c r="S1394">
        <v>1</v>
      </c>
      <c r="T1394" t="s">
        <v>44</v>
      </c>
      <c r="U1394" t="s">
        <v>44</v>
      </c>
      <c r="V1394">
        <v>11</v>
      </c>
      <c r="W1394" t="s">
        <v>45</v>
      </c>
      <c r="X1394">
        <v>10</v>
      </c>
      <c r="Y1394">
        <v>3</v>
      </c>
      <c r="Z1394" t="s">
        <v>61</v>
      </c>
      <c r="AA1394">
        <v>10</v>
      </c>
      <c r="AB1394" t="s">
        <v>47</v>
      </c>
      <c r="AC1394">
        <v>8</v>
      </c>
      <c r="AD1394" t="s">
        <v>47</v>
      </c>
      <c r="AE1394">
        <v>0</v>
      </c>
      <c r="AF1394" t="s">
        <v>49</v>
      </c>
    </row>
    <row r="1395" spans="1:32" x14ac:dyDescent="0.25">
      <c r="A1395">
        <v>27</v>
      </c>
      <c r="B1395" t="s">
        <v>63</v>
      </c>
      <c r="C1395" t="s">
        <v>50</v>
      </c>
      <c r="D1395" t="s">
        <v>34</v>
      </c>
      <c r="E1395" t="s">
        <v>35</v>
      </c>
      <c r="F1395">
        <v>9</v>
      </c>
      <c r="G1395" t="s">
        <v>53</v>
      </c>
      <c r="H1395">
        <v>4</v>
      </c>
      <c r="I1395" t="s">
        <v>42</v>
      </c>
      <c r="J1395" t="s">
        <v>54</v>
      </c>
      <c r="K1395">
        <v>3</v>
      </c>
      <c r="L1395" t="s">
        <v>39</v>
      </c>
      <c r="M1395">
        <v>2</v>
      </c>
      <c r="N1395" t="s">
        <v>40</v>
      </c>
      <c r="O1395" t="s">
        <v>41</v>
      </c>
      <c r="P1395">
        <v>4</v>
      </c>
      <c r="Q1395" t="s">
        <v>42</v>
      </c>
      <c r="R1395" t="s">
        <v>43</v>
      </c>
      <c r="S1395">
        <v>1</v>
      </c>
      <c r="T1395" t="s">
        <v>44</v>
      </c>
      <c r="U1395" t="s">
        <v>59</v>
      </c>
      <c r="V1395">
        <v>14</v>
      </c>
      <c r="W1395" t="s">
        <v>45</v>
      </c>
      <c r="X1395">
        <v>7</v>
      </c>
      <c r="Y1395">
        <v>3</v>
      </c>
      <c r="Z1395" t="s">
        <v>61</v>
      </c>
      <c r="AA1395">
        <v>7</v>
      </c>
      <c r="AB1395" t="s">
        <v>47</v>
      </c>
      <c r="AC1395">
        <v>7</v>
      </c>
      <c r="AD1395" t="s">
        <v>47</v>
      </c>
      <c r="AE1395">
        <v>0</v>
      </c>
      <c r="AF1395" t="s">
        <v>49</v>
      </c>
    </row>
    <row r="1396" spans="1:32" x14ac:dyDescent="0.25">
      <c r="A1396">
        <v>32</v>
      </c>
      <c r="B1396" t="s">
        <v>32</v>
      </c>
      <c r="C1396" t="s">
        <v>50</v>
      </c>
      <c r="D1396" t="s">
        <v>34</v>
      </c>
      <c r="E1396" t="s">
        <v>52</v>
      </c>
      <c r="F1396">
        <v>5</v>
      </c>
      <c r="G1396" t="s">
        <v>36</v>
      </c>
      <c r="H1396">
        <v>4</v>
      </c>
      <c r="I1396" t="s">
        <v>42</v>
      </c>
      <c r="J1396" t="s">
        <v>54</v>
      </c>
      <c r="K1396">
        <v>2</v>
      </c>
      <c r="L1396" t="s">
        <v>55</v>
      </c>
      <c r="M1396">
        <v>2</v>
      </c>
      <c r="N1396" t="s">
        <v>40</v>
      </c>
      <c r="O1396" t="s">
        <v>69</v>
      </c>
      <c r="P1396">
        <v>4</v>
      </c>
      <c r="Q1396" t="s">
        <v>42</v>
      </c>
      <c r="R1396" t="s">
        <v>43</v>
      </c>
      <c r="S1396">
        <v>8</v>
      </c>
      <c r="T1396" t="s">
        <v>44</v>
      </c>
      <c r="U1396" t="s">
        <v>59</v>
      </c>
      <c r="V1396">
        <v>24</v>
      </c>
      <c r="W1396" t="s">
        <v>60</v>
      </c>
      <c r="X1396">
        <v>8</v>
      </c>
      <c r="Y1396">
        <v>3</v>
      </c>
      <c r="Z1396" t="s">
        <v>61</v>
      </c>
      <c r="AA1396">
        <v>1</v>
      </c>
      <c r="AB1396" t="s">
        <v>48</v>
      </c>
      <c r="AC1396">
        <v>0</v>
      </c>
      <c r="AD1396" t="s">
        <v>48</v>
      </c>
      <c r="AE1396">
        <v>0</v>
      </c>
      <c r="AF1396" t="s">
        <v>49</v>
      </c>
    </row>
    <row r="1397" spans="1:32" x14ac:dyDescent="0.25">
      <c r="A1397">
        <v>31</v>
      </c>
      <c r="B1397" t="s">
        <v>32</v>
      </c>
      <c r="C1397" t="s">
        <v>33</v>
      </c>
      <c r="D1397" t="s">
        <v>51</v>
      </c>
      <c r="E1397" t="s">
        <v>35</v>
      </c>
      <c r="F1397">
        <v>26</v>
      </c>
      <c r="G1397" t="s">
        <v>66</v>
      </c>
      <c r="H1397">
        <v>1</v>
      </c>
      <c r="I1397" t="s">
        <v>37</v>
      </c>
      <c r="J1397" t="s">
        <v>54</v>
      </c>
      <c r="K1397">
        <v>3</v>
      </c>
      <c r="L1397" t="s">
        <v>39</v>
      </c>
      <c r="M1397">
        <v>2</v>
      </c>
      <c r="N1397" t="s">
        <v>40</v>
      </c>
      <c r="O1397" t="s">
        <v>41</v>
      </c>
      <c r="P1397">
        <v>4</v>
      </c>
      <c r="Q1397" t="s">
        <v>42</v>
      </c>
      <c r="R1397" t="s">
        <v>58</v>
      </c>
      <c r="S1397">
        <v>1</v>
      </c>
      <c r="T1397" t="s">
        <v>44</v>
      </c>
      <c r="U1397" t="s">
        <v>44</v>
      </c>
      <c r="V1397">
        <v>11</v>
      </c>
      <c r="W1397" t="s">
        <v>45</v>
      </c>
      <c r="X1397">
        <v>10</v>
      </c>
      <c r="Y1397">
        <v>3</v>
      </c>
      <c r="Z1397" t="s">
        <v>61</v>
      </c>
      <c r="AA1397">
        <v>10</v>
      </c>
      <c r="AB1397" t="s">
        <v>47</v>
      </c>
      <c r="AC1397">
        <v>7</v>
      </c>
      <c r="AD1397" t="s">
        <v>47</v>
      </c>
      <c r="AE1397">
        <v>0</v>
      </c>
      <c r="AF1397" t="s">
        <v>49</v>
      </c>
    </row>
    <row r="1398" spans="1:32" x14ac:dyDescent="0.25">
      <c r="A1398">
        <v>53</v>
      </c>
      <c r="B1398" t="s">
        <v>64</v>
      </c>
      <c r="C1398" t="s">
        <v>33</v>
      </c>
      <c r="D1398" t="s">
        <v>34</v>
      </c>
      <c r="E1398" t="s">
        <v>35</v>
      </c>
      <c r="F1398">
        <v>24</v>
      </c>
      <c r="G1398" t="s">
        <v>66</v>
      </c>
      <c r="H1398">
        <v>1</v>
      </c>
      <c r="I1398" t="s">
        <v>37</v>
      </c>
      <c r="J1398" t="s">
        <v>54</v>
      </c>
      <c r="K1398">
        <v>3</v>
      </c>
      <c r="L1398" t="s">
        <v>39</v>
      </c>
      <c r="M1398">
        <v>3</v>
      </c>
      <c r="N1398" t="s">
        <v>68</v>
      </c>
      <c r="O1398" t="s">
        <v>41</v>
      </c>
      <c r="P1398">
        <v>1</v>
      </c>
      <c r="Q1398" t="s">
        <v>57</v>
      </c>
      <c r="R1398" t="s">
        <v>43</v>
      </c>
      <c r="S1398">
        <v>6</v>
      </c>
      <c r="T1398" t="s">
        <v>44</v>
      </c>
      <c r="U1398" t="s">
        <v>44</v>
      </c>
      <c r="V1398">
        <v>13</v>
      </c>
      <c r="W1398" t="s">
        <v>45</v>
      </c>
      <c r="X1398">
        <v>15</v>
      </c>
      <c r="Y1398">
        <v>2</v>
      </c>
      <c r="Z1398" t="s">
        <v>46</v>
      </c>
      <c r="AA1398">
        <v>2</v>
      </c>
      <c r="AB1398" t="s">
        <v>48</v>
      </c>
      <c r="AC1398">
        <v>2</v>
      </c>
      <c r="AD1398" t="s">
        <v>48</v>
      </c>
      <c r="AE1398">
        <v>2</v>
      </c>
      <c r="AF1398" t="s">
        <v>49</v>
      </c>
    </row>
    <row r="1399" spans="1:32" x14ac:dyDescent="0.25">
      <c r="A1399">
        <v>54</v>
      </c>
      <c r="B1399" t="s">
        <v>64</v>
      </c>
      <c r="C1399" t="s">
        <v>50</v>
      </c>
      <c r="D1399" t="s">
        <v>34</v>
      </c>
      <c r="E1399" t="s">
        <v>52</v>
      </c>
      <c r="F1399">
        <v>9</v>
      </c>
      <c r="G1399" t="s">
        <v>53</v>
      </c>
      <c r="H1399">
        <v>1</v>
      </c>
      <c r="I1399" t="s">
        <v>37</v>
      </c>
      <c r="J1399" t="s">
        <v>38</v>
      </c>
      <c r="K1399">
        <v>3</v>
      </c>
      <c r="L1399" t="s">
        <v>39</v>
      </c>
      <c r="M1399">
        <v>2</v>
      </c>
      <c r="N1399" t="s">
        <v>40</v>
      </c>
      <c r="O1399" t="s">
        <v>56</v>
      </c>
      <c r="P1399">
        <v>3</v>
      </c>
      <c r="Q1399" t="s">
        <v>42</v>
      </c>
      <c r="R1399" t="s">
        <v>58</v>
      </c>
      <c r="S1399">
        <v>3</v>
      </c>
      <c r="T1399" t="s">
        <v>44</v>
      </c>
      <c r="U1399" t="s">
        <v>59</v>
      </c>
      <c r="V1399">
        <v>11</v>
      </c>
      <c r="W1399" t="s">
        <v>45</v>
      </c>
      <c r="X1399">
        <v>9</v>
      </c>
      <c r="Y1399">
        <v>2</v>
      </c>
      <c r="Z1399" t="s">
        <v>46</v>
      </c>
      <c r="AA1399">
        <v>4</v>
      </c>
      <c r="AB1399" t="s">
        <v>48</v>
      </c>
      <c r="AC1399">
        <v>3</v>
      </c>
      <c r="AD1399" t="s">
        <v>48</v>
      </c>
      <c r="AE1399">
        <v>2</v>
      </c>
      <c r="AF1399" t="s">
        <v>49</v>
      </c>
    </row>
    <row r="1400" spans="1:32" x14ac:dyDescent="0.25">
      <c r="A1400">
        <v>33</v>
      </c>
      <c r="B1400" t="s">
        <v>32</v>
      </c>
      <c r="C1400" t="s">
        <v>50</v>
      </c>
      <c r="D1400" t="s">
        <v>51</v>
      </c>
      <c r="E1400" t="s">
        <v>52</v>
      </c>
      <c r="F1400">
        <v>7</v>
      </c>
      <c r="G1400" t="s">
        <v>53</v>
      </c>
      <c r="H1400">
        <v>4</v>
      </c>
      <c r="I1400" t="s">
        <v>42</v>
      </c>
      <c r="J1400" t="s">
        <v>54</v>
      </c>
      <c r="K1400">
        <v>3</v>
      </c>
      <c r="L1400" t="s">
        <v>39</v>
      </c>
      <c r="M1400">
        <v>2</v>
      </c>
      <c r="N1400" t="s">
        <v>40</v>
      </c>
      <c r="O1400" t="s">
        <v>70</v>
      </c>
      <c r="P1400">
        <v>3</v>
      </c>
      <c r="Q1400" t="s">
        <v>42</v>
      </c>
      <c r="R1400" t="s">
        <v>67</v>
      </c>
      <c r="S1400">
        <v>1</v>
      </c>
      <c r="T1400" t="s">
        <v>44</v>
      </c>
      <c r="U1400" t="s">
        <v>59</v>
      </c>
      <c r="V1400">
        <v>20</v>
      </c>
      <c r="W1400" t="s">
        <v>60</v>
      </c>
      <c r="X1400">
        <v>9</v>
      </c>
      <c r="Y1400">
        <v>3</v>
      </c>
      <c r="Z1400" t="s">
        <v>61</v>
      </c>
      <c r="AA1400">
        <v>9</v>
      </c>
      <c r="AB1400" t="s">
        <v>47</v>
      </c>
      <c r="AC1400">
        <v>7</v>
      </c>
      <c r="AD1400" t="s">
        <v>47</v>
      </c>
      <c r="AE1400">
        <v>2</v>
      </c>
      <c r="AF1400" t="s">
        <v>49</v>
      </c>
    </row>
    <row r="1401" spans="1:32" x14ac:dyDescent="0.25">
      <c r="A1401">
        <v>43</v>
      </c>
      <c r="B1401" t="s">
        <v>32</v>
      </c>
      <c r="C1401" t="s">
        <v>50</v>
      </c>
      <c r="D1401" t="s">
        <v>34</v>
      </c>
      <c r="E1401" t="s">
        <v>52</v>
      </c>
      <c r="F1401">
        <v>11</v>
      </c>
      <c r="G1401" t="s">
        <v>53</v>
      </c>
      <c r="H1401">
        <v>1</v>
      </c>
      <c r="I1401" t="s">
        <v>37</v>
      </c>
      <c r="J1401" t="s">
        <v>54</v>
      </c>
      <c r="K1401">
        <v>3</v>
      </c>
      <c r="L1401" t="s">
        <v>39</v>
      </c>
      <c r="M1401">
        <v>3</v>
      </c>
      <c r="N1401" t="s">
        <v>68</v>
      </c>
      <c r="O1401" t="s">
        <v>70</v>
      </c>
      <c r="P1401">
        <v>3</v>
      </c>
      <c r="Q1401" t="s">
        <v>42</v>
      </c>
      <c r="R1401" t="s">
        <v>58</v>
      </c>
      <c r="S1401">
        <v>1</v>
      </c>
      <c r="T1401" t="s">
        <v>44</v>
      </c>
      <c r="U1401" t="s">
        <v>59</v>
      </c>
      <c r="V1401">
        <v>17</v>
      </c>
      <c r="W1401" t="s">
        <v>45</v>
      </c>
      <c r="X1401">
        <v>10</v>
      </c>
      <c r="Y1401">
        <v>3</v>
      </c>
      <c r="Z1401" t="s">
        <v>61</v>
      </c>
      <c r="AA1401">
        <v>10</v>
      </c>
      <c r="AB1401" t="s">
        <v>47</v>
      </c>
      <c r="AC1401">
        <v>9</v>
      </c>
      <c r="AD1401" t="s">
        <v>47</v>
      </c>
      <c r="AE1401">
        <v>0</v>
      </c>
      <c r="AF1401" t="s">
        <v>49</v>
      </c>
    </row>
    <row r="1402" spans="1:32" x14ac:dyDescent="0.25">
      <c r="A1402">
        <v>38</v>
      </c>
      <c r="B1402" t="s">
        <v>32</v>
      </c>
      <c r="C1402" t="s">
        <v>50</v>
      </c>
      <c r="D1402" t="s">
        <v>51</v>
      </c>
      <c r="E1402" t="s">
        <v>77</v>
      </c>
      <c r="F1402">
        <v>1</v>
      </c>
      <c r="G1402" t="s">
        <v>36</v>
      </c>
      <c r="H1402">
        <v>4</v>
      </c>
      <c r="I1402" t="s">
        <v>42</v>
      </c>
      <c r="J1402" t="s">
        <v>54</v>
      </c>
      <c r="K1402">
        <v>3</v>
      </c>
      <c r="L1402" t="s">
        <v>39</v>
      </c>
      <c r="M1402">
        <v>1</v>
      </c>
      <c r="N1402" t="s">
        <v>40</v>
      </c>
      <c r="O1402" t="s">
        <v>77</v>
      </c>
      <c r="P1402">
        <v>2</v>
      </c>
      <c r="Q1402" t="s">
        <v>57</v>
      </c>
      <c r="R1402" t="s">
        <v>58</v>
      </c>
      <c r="S1402">
        <v>0</v>
      </c>
      <c r="T1402" t="s">
        <v>44</v>
      </c>
      <c r="U1402" t="s">
        <v>44</v>
      </c>
      <c r="V1402">
        <v>11</v>
      </c>
      <c r="W1402" t="s">
        <v>45</v>
      </c>
      <c r="X1402">
        <v>7</v>
      </c>
      <c r="Y1402">
        <v>3</v>
      </c>
      <c r="Z1402" t="s">
        <v>61</v>
      </c>
      <c r="AA1402">
        <v>6</v>
      </c>
      <c r="AB1402" t="s">
        <v>47</v>
      </c>
      <c r="AC1402">
        <v>2</v>
      </c>
      <c r="AD1402" t="s">
        <v>48</v>
      </c>
      <c r="AE1402">
        <v>1</v>
      </c>
      <c r="AF1402" t="s">
        <v>49</v>
      </c>
    </row>
    <row r="1403" spans="1:32" x14ac:dyDescent="0.25">
      <c r="A1403">
        <v>55</v>
      </c>
      <c r="B1403" t="s">
        <v>64</v>
      </c>
      <c r="C1403" t="s">
        <v>50</v>
      </c>
      <c r="D1403" t="s">
        <v>34</v>
      </c>
      <c r="E1403" t="s">
        <v>77</v>
      </c>
      <c r="F1403">
        <v>26</v>
      </c>
      <c r="G1403" t="s">
        <v>66</v>
      </c>
      <c r="H1403">
        <v>3</v>
      </c>
      <c r="I1403" t="s">
        <v>42</v>
      </c>
      <c r="J1403" t="s">
        <v>54</v>
      </c>
      <c r="K1403">
        <v>4</v>
      </c>
      <c r="L1403" t="s">
        <v>65</v>
      </c>
      <c r="M1403">
        <v>5</v>
      </c>
      <c r="N1403" t="s">
        <v>72</v>
      </c>
      <c r="O1403" t="s">
        <v>73</v>
      </c>
      <c r="P1403">
        <v>2</v>
      </c>
      <c r="Q1403" t="s">
        <v>57</v>
      </c>
      <c r="R1403" t="s">
        <v>58</v>
      </c>
      <c r="S1403">
        <v>4</v>
      </c>
      <c r="T1403" t="s">
        <v>44</v>
      </c>
      <c r="U1403" t="s">
        <v>44</v>
      </c>
      <c r="V1403">
        <v>18</v>
      </c>
      <c r="W1403" t="s">
        <v>45</v>
      </c>
      <c r="X1403">
        <v>35</v>
      </c>
      <c r="Y1403">
        <v>3</v>
      </c>
      <c r="Z1403" t="s">
        <v>61</v>
      </c>
      <c r="AA1403">
        <v>10</v>
      </c>
      <c r="AB1403" t="s">
        <v>47</v>
      </c>
      <c r="AC1403">
        <v>9</v>
      </c>
      <c r="AD1403" t="s">
        <v>47</v>
      </c>
      <c r="AE1403">
        <v>1</v>
      </c>
      <c r="AF1403" t="s">
        <v>49</v>
      </c>
    </row>
    <row r="1404" spans="1:32" x14ac:dyDescent="0.25">
      <c r="A1404">
        <v>31</v>
      </c>
      <c r="B1404" t="s">
        <v>32</v>
      </c>
      <c r="C1404" t="s">
        <v>50</v>
      </c>
      <c r="D1404" t="s">
        <v>34</v>
      </c>
      <c r="E1404" t="s">
        <v>52</v>
      </c>
      <c r="F1404">
        <v>2</v>
      </c>
      <c r="G1404" t="s">
        <v>36</v>
      </c>
      <c r="H1404">
        <v>4</v>
      </c>
      <c r="I1404" t="s">
        <v>42</v>
      </c>
      <c r="J1404" t="s">
        <v>38</v>
      </c>
      <c r="K1404">
        <v>1</v>
      </c>
      <c r="L1404" t="s">
        <v>55</v>
      </c>
      <c r="M1404">
        <v>1</v>
      </c>
      <c r="N1404" t="s">
        <v>40</v>
      </c>
      <c r="O1404" t="s">
        <v>62</v>
      </c>
      <c r="P1404">
        <v>4</v>
      </c>
      <c r="Q1404" t="s">
        <v>42</v>
      </c>
      <c r="R1404" t="s">
        <v>67</v>
      </c>
      <c r="S1404">
        <v>1</v>
      </c>
      <c r="T1404" t="s">
        <v>44</v>
      </c>
      <c r="U1404" t="s">
        <v>44</v>
      </c>
      <c r="V1404">
        <v>11</v>
      </c>
      <c r="W1404" t="s">
        <v>45</v>
      </c>
      <c r="X1404">
        <v>1</v>
      </c>
      <c r="Y1404">
        <v>3</v>
      </c>
      <c r="Z1404" t="s">
        <v>61</v>
      </c>
      <c r="AA1404">
        <v>1</v>
      </c>
      <c r="AB1404" t="s">
        <v>48</v>
      </c>
      <c r="AC1404">
        <v>0</v>
      </c>
      <c r="AD1404" t="s">
        <v>48</v>
      </c>
      <c r="AE1404">
        <v>0</v>
      </c>
      <c r="AF1404" t="s">
        <v>49</v>
      </c>
    </row>
    <row r="1405" spans="1:32" x14ac:dyDescent="0.25">
      <c r="A1405">
        <v>39</v>
      </c>
      <c r="B1405" t="s">
        <v>32</v>
      </c>
      <c r="C1405" t="s">
        <v>50</v>
      </c>
      <c r="D1405" t="s">
        <v>34</v>
      </c>
      <c r="E1405" t="s">
        <v>35</v>
      </c>
      <c r="F1405">
        <v>15</v>
      </c>
      <c r="G1405" t="s">
        <v>66</v>
      </c>
      <c r="H1405">
        <v>2</v>
      </c>
      <c r="I1405" t="s">
        <v>37</v>
      </c>
      <c r="J1405" t="s">
        <v>54</v>
      </c>
      <c r="K1405">
        <v>3</v>
      </c>
      <c r="L1405" t="s">
        <v>39</v>
      </c>
      <c r="M1405">
        <v>4</v>
      </c>
      <c r="N1405" t="s">
        <v>72</v>
      </c>
      <c r="O1405" t="s">
        <v>41</v>
      </c>
      <c r="P1405">
        <v>1</v>
      </c>
      <c r="Q1405" t="s">
        <v>57</v>
      </c>
      <c r="R1405" t="s">
        <v>43</v>
      </c>
      <c r="S1405">
        <v>0</v>
      </c>
      <c r="T1405" t="s">
        <v>44</v>
      </c>
      <c r="U1405" t="s">
        <v>59</v>
      </c>
      <c r="V1405">
        <v>12</v>
      </c>
      <c r="W1405" t="s">
        <v>45</v>
      </c>
      <c r="X1405">
        <v>21</v>
      </c>
      <c r="Y1405">
        <v>3</v>
      </c>
      <c r="Z1405" t="s">
        <v>61</v>
      </c>
      <c r="AA1405">
        <v>20</v>
      </c>
      <c r="AB1405" t="s">
        <v>74</v>
      </c>
      <c r="AC1405">
        <v>8</v>
      </c>
      <c r="AD1405" t="s">
        <v>47</v>
      </c>
      <c r="AE1405">
        <v>11</v>
      </c>
      <c r="AF1405" t="s">
        <v>71</v>
      </c>
    </row>
    <row r="1406" spans="1:32" x14ac:dyDescent="0.25">
      <c r="A1406">
        <v>42</v>
      </c>
      <c r="B1406" t="s">
        <v>32</v>
      </c>
      <c r="C1406" t="s">
        <v>50</v>
      </c>
      <c r="D1406" t="s">
        <v>34</v>
      </c>
      <c r="E1406" t="s">
        <v>52</v>
      </c>
      <c r="F1406">
        <v>23</v>
      </c>
      <c r="G1406" t="s">
        <v>66</v>
      </c>
      <c r="H1406">
        <v>4</v>
      </c>
      <c r="I1406" t="s">
        <v>42</v>
      </c>
      <c r="J1406" t="s">
        <v>54</v>
      </c>
      <c r="K1406">
        <v>2</v>
      </c>
      <c r="L1406" t="s">
        <v>55</v>
      </c>
      <c r="M1406">
        <v>2</v>
      </c>
      <c r="N1406" t="s">
        <v>40</v>
      </c>
      <c r="O1406" t="s">
        <v>56</v>
      </c>
      <c r="P1406">
        <v>3</v>
      </c>
      <c r="Q1406" t="s">
        <v>42</v>
      </c>
      <c r="R1406" t="s">
        <v>43</v>
      </c>
      <c r="S1406">
        <v>1</v>
      </c>
      <c r="T1406" t="s">
        <v>44</v>
      </c>
      <c r="U1406" t="s">
        <v>59</v>
      </c>
      <c r="V1406">
        <v>12</v>
      </c>
      <c r="W1406" t="s">
        <v>45</v>
      </c>
      <c r="X1406">
        <v>20</v>
      </c>
      <c r="Y1406">
        <v>3</v>
      </c>
      <c r="Z1406" t="s">
        <v>61</v>
      </c>
      <c r="AA1406">
        <v>20</v>
      </c>
      <c r="AB1406" t="s">
        <v>74</v>
      </c>
      <c r="AC1406">
        <v>9</v>
      </c>
      <c r="AD1406" t="s">
        <v>47</v>
      </c>
      <c r="AE1406">
        <v>3</v>
      </c>
      <c r="AF1406" t="s">
        <v>49</v>
      </c>
    </row>
    <row r="1407" spans="1:32" x14ac:dyDescent="0.25">
      <c r="A1407">
        <v>31</v>
      </c>
      <c r="B1407" t="s">
        <v>32</v>
      </c>
      <c r="C1407" t="s">
        <v>50</v>
      </c>
      <c r="D1407" t="s">
        <v>34</v>
      </c>
      <c r="E1407" t="s">
        <v>52</v>
      </c>
      <c r="F1407">
        <v>10</v>
      </c>
      <c r="G1407" t="s">
        <v>53</v>
      </c>
      <c r="H1407">
        <v>3</v>
      </c>
      <c r="I1407" t="s">
        <v>42</v>
      </c>
      <c r="J1407" t="s">
        <v>38</v>
      </c>
      <c r="K1407">
        <v>3</v>
      </c>
      <c r="L1407" t="s">
        <v>39</v>
      </c>
      <c r="M1407">
        <v>3</v>
      </c>
      <c r="N1407" t="s">
        <v>68</v>
      </c>
      <c r="O1407" t="s">
        <v>76</v>
      </c>
      <c r="P1407">
        <v>3</v>
      </c>
      <c r="Q1407" t="s">
        <v>42</v>
      </c>
      <c r="R1407" t="s">
        <v>58</v>
      </c>
      <c r="S1407">
        <v>4</v>
      </c>
      <c r="T1407" t="s">
        <v>44</v>
      </c>
      <c r="U1407" t="s">
        <v>59</v>
      </c>
      <c r="V1407">
        <v>20</v>
      </c>
      <c r="W1407" t="s">
        <v>60</v>
      </c>
      <c r="X1407">
        <v>13</v>
      </c>
      <c r="Y1407">
        <v>4</v>
      </c>
      <c r="Z1407" t="s">
        <v>61</v>
      </c>
      <c r="AA1407">
        <v>11</v>
      </c>
      <c r="AB1407" t="s">
        <v>74</v>
      </c>
      <c r="AC1407">
        <v>7</v>
      </c>
      <c r="AD1407" t="s">
        <v>47</v>
      </c>
      <c r="AE1407">
        <v>4</v>
      </c>
      <c r="AF1407" t="s">
        <v>71</v>
      </c>
    </row>
    <row r="1408" spans="1:32" x14ac:dyDescent="0.25">
      <c r="A1408">
        <v>54</v>
      </c>
      <c r="B1408" t="s">
        <v>64</v>
      </c>
      <c r="C1408" t="s">
        <v>50</v>
      </c>
      <c r="D1408" t="s">
        <v>34</v>
      </c>
      <c r="E1408" t="s">
        <v>52</v>
      </c>
      <c r="F1408">
        <v>10</v>
      </c>
      <c r="G1408" t="s">
        <v>53</v>
      </c>
      <c r="H1408">
        <v>3</v>
      </c>
      <c r="I1408" t="s">
        <v>42</v>
      </c>
      <c r="J1408" t="s">
        <v>38</v>
      </c>
      <c r="K1408">
        <v>3</v>
      </c>
      <c r="L1408" t="s">
        <v>39</v>
      </c>
      <c r="M1408">
        <v>2</v>
      </c>
      <c r="N1408" t="s">
        <v>40</v>
      </c>
      <c r="O1408" t="s">
        <v>69</v>
      </c>
      <c r="P1408">
        <v>1</v>
      </c>
      <c r="Q1408" t="s">
        <v>57</v>
      </c>
      <c r="R1408" t="s">
        <v>43</v>
      </c>
      <c r="S1408">
        <v>6</v>
      </c>
      <c r="T1408" t="s">
        <v>44</v>
      </c>
      <c r="U1408" t="s">
        <v>44</v>
      </c>
      <c r="V1408">
        <v>19</v>
      </c>
      <c r="W1408" t="s">
        <v>45</v>
      </c>
      <c r="X1408">
        <v>9</v>
      </c>
      <c r="Y1408">
        <v>3</v>
      </c>
      <c r="Z1408" t="s">
        <v>61</v>
      </c>
      <c r="AA1408">
        <v>5</v>
      </c>
      <c r="AB1408" t="s">
        <v>47</v>
      </c>
      <c r="AC1408">
        <v>2</v>
      </c>
      <c r="AD1408" t="s">
        <v>48</v>
      </c>
      <c r="AE1408">
        <v>1</v>
      </c>
      <c r="AF1408" t="s">
        <v>49</v>
      </c>
    </row>
    <row r="1409" spans="1:32" x14ac:dyDescent="0.25">
      <c r="A1409">
        <v>24</v>
      </c>
      <c r="B1409" t="s">
        <v>63</v>
      </c>
      <c r="C1409" t="s">
        <v>50</v>
      </c>
      <c r="D1409" t="s">
        <v>34</v>
      </c>
      <c r="E1409" t="s">
        <v>52</v>
      </c>
      <c r="F1409">
        <v>1</v>
      </c>
      <c r="G1409" t="s">
        <v>36</v>
      </c>
      <c r="H1409">
        <v>2</v>
      </c>
      <c r="I1409" t="s">
        <v>37</v>
      </c>
      <c r="J1409" t="s">
        <v>54</v>
      </c>
      <c r="K1409">
        <v>2</v>
      </c>
      <c r="L1409" t="s">
        <v>55</v>
      </c>
      <c r="M1409">
        <v>2</v>
      </c>
      <c r="N1409" t="s">
        <v>40</v>
      </c>
      <c r="O1409" t="s">
        <v>70</v>
      </c>
      <c r="P1409">
        <v>3</v>
      </c>
      <c r="Q1409" t="s">
        <v>42</v>
      </c>
      <c r="R1409" t="s">
        <v>43</v>
      </c>
      <c r="S1409">
        <v>1</v>
      </c>
      <c r="T1409" t="s">
        <v>44</v>
      </c>
      <c r="U1409" t="s">
        <v>59</v>
      </c>
      <c r="V1409">
        <v>12</v>
      </c>
      <c r="W1409" t="s">
        <v>45</v>
      </c>
      <c r="X1409">
        <v>4</v>
      </c>
      <c r="Y1409">
        <v>2</v>
      </c>
      <c r="Z1409" t="s">
        <v>46</v>
      </c>
      <c r="AA1409">
        <v>4</v>
      </c>
      <c r="AB1409" t="s">
        <v>48</v>
      </c>
      <c r="AC1409">
        <v>3</v>
      </c>
      <c r="AD1409" t="s">
        <v>48</v>
      </c>
      <c r="AE1409">
        <v>1</v>
      </c>
      <c r="AF1409" t="s">
        <v>49</v>
      </c>
    </row>
    <row r="1410" spans="1:32" x14ac:dyDescent="0.25">
      <c r="A1410">
        <v>23</v>
      </c>
      <c r="B1410" t="s">
        <v>63</v>
      </c>
      <c r="C1410" t="s">
        <v>50</v>
      </c>
      <c r="D1410" t="s">
        <v>34</v>
      </c>
      <c r="E1410" t="s">
        <v>52</v>
      </c>
      <c r="F1410">
        <v>12</v>
      </c>
      <c r="G1410" t="s">
        <v>53</v>
      </c>
      <c r="H1410">
        <v>4</v>
      </c>
      <c r="I1410" t="s">
        <v>42</v>
      </c>
      <c r="J1410" t="s">
        <v>54</v>
      </c>
      <c r="K1410">
        <v>3</v>
      </c>
      <c r="L1410" t="s">
        <v>39</v>
      </c>
      <c r="M1410">
        <v>1</v>
      </c>
      <c r="N1410" t="s">
        <v>40</v>
      </c>
      <c r="O1410" t="s">
        <v>62</v>
      </c>
      <c r="P1410">
        <v>4</v>
      </c>
      <c r="Q1410" t="s">
        <v>42</v>
      </c>
      <c r="R1410" t="s">
        <v>43</v>
      </c>
      <c r="S1410">
        <v>1</v>
      </c>
      <c r="T1410" t="s">
        <v>44</v>
      </c>
      <c r="U1410" t="s">
        <v>59</v>
      </c>
      <c r="V1410">
        <v>13</v>
      </c>
      <c r="W1410" t="s">
        <v>45</v>
      </c>
      <c r="X1410">
        <v>5</v>
      </c>
      <c r="Y1410">
        <v>4</v>
      </c>
      <c r="Z1410" t="s">
        <v>61</v>
      </c>
      <c r="AA1410">
        <v>5</v>
      </c>
      <c r="AB1410" t="s">
        <v>47</v>
      </c>
      <c r="AC1410">
        <v>2</v>
      </c>
      <c r="AD1410" t="s">
        <v>48</v>
      </c>
      <c r="AE1410">
        <v>1</v>
      </c>
      <c r="AF1410" t="s">
        <v>49</v>
      </c>
    </row>
    <row r="1411" spans="1:32" x14ac:dyDescent="0.25">
      <c r="A1411">
        <v>40</v>
      </c>
      <c r="B1411" t="s">
        <v>32</v>
      </c>
      <c r="C1411" t="s">
        <v>50</v>
      </c>
      <c r="D1411" t="s">
        <v>51</v>
      </c>
      <c r="E1411" t="s">
        <v>52</v>
      </c>
      <c r="F1411">
        <v>11</v>
      </c>
      <c r="G1411" t="s">
        <v>53</v>
      </c>
      <c r="H1411">
        <v>4</v>
      </c>
      <c r="I1411" t="s">
        <v>42</v>
      </c>
      <c r="J1411" t="s">
        <v>38</v>
      </c>
      <c r="K1411">
        <v>3</v>
      </c>
      <c r="L1411" t="s">
        <v>39</v>
      </c>
      <c r="M1411">
        <v>2</v>
      </c>
      <c r="N1411" t="s">
        <v>40</v>
      </c>
      <c r="O1411" t="s">
        <v>62</v>
      </c>
      <c r="P1411">
        <v>3</v>
      </c>
      <c r="Q1411" t="s">
        <v>42</v>
      </c>
      <c r="R1411" t="s">
        <v>58</v>
      </c>
      <c r="S1411">
        <v>1</v>
      </c>
      <c r="T1411" t="s">
        <v>44</v>
      </c>
      <c r="U1411" t="s">
        <v>59</v>
      </c>
      <c r="V1411">
        <v>11</v>
      </c>
      <c r="W1411" t="s">
        <v>45</v>
      </c>
      <c r="X1411">
        <v>10</v>
      </c>
      <c r="Y1411">
        <v>4</v>
      </c>
      <c r="Z1411" t="s">
        <v>61</v>
      </c>
      <c r="AA1411">
        <v>10</v>
      </c>
      <c r="AB1411" t="s">
        <v>47</v>
      </c>
      <c r="AC1411">
        <v>9</v>
      </c>
      <c r="AD1411" t="s">
        <v>47</v>
      </c>
      <c r="AE1411">
        <v>9</v>
      </c>
      <c r="AF1411" t="s">
        <v>71</v>
      </c>
    </row>
    <row r="1412" spans="1:32" x14ac:dyDescent="0.25">
      <c r="A1412">
        <v>40</v>
      </c>
      <c r="B1412" t="s">
        <v>32</v>
      </c>
      <c r="C1412" t="s">
        <v>50</v>
      </c>
      <c r="D1412" t="s">
        <v>34</v>
      </c>
      <c r="E1412" t="s">
        <v>35</v>
      </c>
      <c r="F1412">
        <v>2</v>
      </c>
      <c r="G1412" t="s">
        <v>36</v>
      </c>
      <c r="H1412">
        <v>2</v>
      </c>
      <c r="I1412" t="s">
        <v>37</v>
      </c>
      <c r="J1412" t="s">
        <v>38</v>
      </c>
      <c r="K1412">
        <v>3</v>
      </c>
      <c r="L1412" t="s">
        <v>39</v>
      </c>
      <c r="M1412">
        <v>2</v>
      </c>
      <c r="N1412" t="s">
        <v>40</v>
      </c>
      <c r="O1412" t="s">
        <v>41</v>
      </c>
      <c r="P1412">
        <v>2</v>
      </c>
      <c r="Q1412" t="s">
        <v>57</v>
      </c>
      <c r="R1412" t="s">
        <v>58</v>
      </c>
      <c r="S1412">
        <v>3</v>
      </c>
      <c r="T1412" t="s">
        <v>44</v>
      </c>
      <c r="U1412" t="s">
        <v>59</v>
      </c>
      <c r="V1412">
        <v>14</v>
      </c>
      <c r="W1412" t="s">
        <v>45</v>
      </c>
      <c r="X1412">
        <v>15</v>
      </c>
      <c r="Y1412">
        <v>3</v>
      </c>
      <c r="Z1412" t="s">
        <v>61</v>
      </c>
      <c r="AA1412">
        <v>11</v>
      </c>
      <c r="AB1412" t="s">
        <v>74</v>
      </c>
      <c r="AC1412">
        <v>8</v>
      </c>
      <c r="AD1412" t="s">
        <v>47</v>
      </c>
      <c r="AE1412">
        <v>5</v>
      </c>
      <c r="AF1412" t="s">
        <v>71</v>
      </c>
    </row>
    <row r="1413" spans="1:32" x14ac:dyDescent="0.25">
      <c r="A1413">
        <v>25</v>
      </c>
      <c r="B1413" t="s">
        <v>63</v>
      </c>
      <c r="C1413" t="s">
        <v>50</v>
      </c>
      <c r="D1413" t="s">
        <v>34</v>
      </c>
      <c r="E1413" t="s">
        <v>77</v>
      </c>
      <c r="F1413">
        <v>2</v>
      </c>
      <c r="G1413" t="s">
        <v>36</v>
      </c>
      <c r="H1413">
        <v>3</v>
      </c>
      <c r="I1413" t="s">
        <v>42</v>
      </c>
      <c r="J1413" t="s">
        <v>38</v>
      </c>
      <c r="K1413">
        <v>3</v>
      </c>
      <c r="L1413" t="s">
        <v>39</v>
      </c>
      <c r="M1413">
        <v>1</v>
      </c>
      <c r="N1413" t="s">
        <v>40</v>
      </c>
      <c r="O1413" t="s">
        <v>77</v>
      </c>
      <c r="P1413">
        <v>2</v>
      </c>
      <c r="Q1413" t="s">
        <v>57</v>
      </c>
      <c r="R1413" t="s">
        <v>58</v>
      </c>
      <c r="S1413">
        <v>4</v>
      </c>
      <c r="T1413" t="s">
        <v>44</v>
      </c>
      <c r="U1413" t="s">
        <v>59</v>
      </c>
      <c r="V1413">
        <v>14</v>
      </c>
      <c r="W1413" t="s">
        <v>45</v>
      </c>
      <c r="X1413">
        <v>6</v>
      </c>
      <c r="Y1413">
        <v>3</v>
      </c>
      <c r="Z1413" t="s">
        <v>61</v>
      </c>
      <c r="AA1413">
        <v>2</v>
      </c>
      <c r="AB1413" t="s">
        <v>48</v>
      </c>
      <c r="AC1413">
        <v>0</v>
      </c>
      <c r="AD1413" t="s">
        <v>48</v>
      </c>
      <c r="AE1413">
        <v>1</v>
      </c>
      <c r="AF1413" t="s">
        <v>49</v>
      </c>
    </row>
    <row r="1414" spans="1:32" x14ac:dyDescent="0.25">
      <c r="A1414">
        <v>30</v>
      </c>
      <c r="B1414" t="s">
        <v>32</v>
      </c>
      <c r="C1414" t="s">
        <v>50</v>
      </c>
      <c r="D1414" t="s">
        <v>34</v>
      </c>
      <c r="E1414" t="s">
        <v>52</v>
      </c>
      <c r="F1414">
        <v>1</v>
      </c>
      <c r="G1414" t="s">
        <v>36</v>
      </c>
      <c r="H1414">
        <v>4</v>
      </c>
      <c r="I1414" t="s">
        <v>42</v>
      </c>
      <c r="J1414" t="s">
        <v>54</v>
      </c>
      <c r="K1414">
        <v>3</v>
      </c>
      <c r="L1414" t="s">
        <v>39</v>
      </c>
      <c r="M1414">
        <v>1</v>
      </c>
      <c r="N1414" t="s">
        <v>40</v>
      </c>
      <c r="O1414" t="s">
        <v>62</v>
      </c>
      <c r="P1414">
        <v>2</v>
      </c>
      <c r="Q1414" t="s">
        <v>57</v>
      </c>
      <c r="R1414" t="s">
        <v>58</v>
      </c>
      <c r="S1414">
        <v>1</v>
      </c>
      <c r="T1414" t="s">
        <v>44</v>
      </c>
      <c r="U1414" t="s">
        <v>59</v>
      </c>
      <c r="V1414">
        <v>13</v>
      </c>
      <c r="W1414" t="s">
        <v>45</v>
      </c>
      <c r="X1414">
        <v>12</v>
      </c>
      <c r="Y1414">
        <v>2</v>
      </c>
      <c r="Z1414" t="s">
        <v>46</v>
      </c>
      <c r="AA1414">
        <v>12</v>
      </c>
      <c r="AB1414" t="s">
        <v>74</v>
      </c>
      <c r="AC1414">
        <v>8</v>
      </c>
      <c r="AD1414" t="s">
        <v>47</v>
      </c>
      <c r="AE1414">
        <v>1</v>
      </c>
      <c r="AF1414" t="s">
        <v>49</v>
      </c>
    </row>
    <row r="1415" spans="1:32" x14ac:dyDescent="0.25">
      <c r="A1415">
        <v>25</v>
      </c>
      <c r="B1415" t="s">
        <v>63</v>
      </c>
      <c r="C1415" t="s">
        <v>50</v>
      </c>
      <c r="D1415" t="s">
        <v>34</v>
      </c>
      <c r="E1415" t="s">
        <v>52</v>
      </c>
      <c r="F1415">
        <v>2</v>
      </c>
      <c r="G1415" t="s">
        <v>36</v>
      </c>
      <c r="H1415">
        <v>4</v>
      </c>
      <c r="I1415" t="s">
        <v>42</v>
      </c>
      <c r="J1415" t="s">
        <v>54</v>
      </c>
      <c r="K1415">
        <v>3</v>
      </c>
      <c r="L1415" t="s">
        <v>39</v>
      </c>
      <c r="M1415">
        <v>1</v>
      </c>
      <c r="N1415" t="s">
        <v>40</v>
      </c>
      <c r="O1415" t="s">
        <v>62</v>
      </c>
      <c r="P1415">
        <v>3</v>
      </c>
      <c r="Q1415" t="s">
        <v>42</v>
      </c>
      <c r="R1415" t="s">
        <v>67</v>
      </c>
      <c r="S1415">
        <v>6</v>
      </c>
      <c r="T1415" t="s">
        <v>44</v>
      </c>
      <c r="U1415" t="s">
        <v>44</v>
      </c>
      <c r="V1415">
        <v>19</v>
      </c>
      <c r="W1415" t="s">
        <v>45</v>
      </c>
      <c r="X1415">
        <v>7</v>
      </c>
      <c r="Y1415">
        <v>2</v>
      </c>
      <c r="Z1415" t="s">
        <v>46</v>
      </c>
      <c r="AA1415">
        <v>2</v>
      </c>
      <c r="AB1415" t="s">
        <v>48</v>
      </c>
      <c r="AC1415">
        <v>2</v>
      </c>
      <c r="AD1415" t="s">
        <v>48</v>
      </c>
      <c r="AE1415">
        <v>0</v>
      </c>
      <c r="AF1415" t="s">
        <v>49</v>
      </c>
    </row>
    <row r="1416" spans="1:32" x14ac:dyDescent="0.25">
      <c r="A1416">
        <v>47</v>
      </c>
      <c r="B1416" t="s">
        <v>32</v>
      </c>
      <c r="C1416" t="s">
        <v>50</v>
      </c>
      <c r="D1416" t="s">
        <v>34</v>
      </c>
      <c r="E1416" t="s">
        <v>52</v>
      </c>
      <c r="F1416">
        <v>25</v>
      </c>
      <c r="G1416" t="s">
        <v>66</v>
      </c>
      <c r="H1416">
        <v>1</v>
      </c>
      <c r="I1416" t="s">
        <v>37</v>
      </c>
      <c r="J1416" t="s">
        <v>54</v>
      </c>
      <c r="K1416">
        <v>3</v>
      </c>
      <c r="L1416" t="s">
        <v>39</v>
      </c>
      <c r="M1416">
        <v>3</v>
      </c>
      <c r="N1416" t="s">
        <v>68</v>
      </c>
      <c r="O1416" t="s">
        <v>70</v>
      </c>
      <c r="P1416">
        <v>3</v>
      </c>
      <c r="Q1416" t="s">
        <v>42</v>
      </c>
      <c r="R1416" t="s">
        <v>43</v>
      </c>
      <c r="S1416">
        <v>2</v>
      </c>
      <c r="T1416" t="s">
        <v>44</v>
      </c>
      <c r="U1416" t="s">
        <v>59</v>
      </c>
      <c r="V1416">
        <v>23</v>
      </c>
      <c r="W1416" t="s">
        <v>60</v>
      </c>
      <c r="X1416">
        <v>25</v>
      </c>
      <c r="Y1416">
        <v>3</v>
      </c>
      <c r="Z1416" t="s">
        <v>61</v>
      </c>
      <c r="AA1416">
        <v>17</v>
      </c>
      <c r="AB1416" t="s">
        <v>74</v>
      </c>
      <c r="AC1416">
        <v>14</v>
      </c>
      <c r="AD1416" t="s">
        <v>74</v>
      </c>
      <c r="AE1416">
        <v>12</v>
      </c>
      <c r="AF1416" t="s">
        <v>71</v>
      </c>
    </row>
    <row r="1417" spans="1:32" x14ac:dyDescent="0.25">
      <c r="A1417">
        <v>33</v>
      </c>
      <c r="B1417" t="s">
        <v>32</v>
      </c>
      <c r="C1417" t="s">
        <v>50</v>
      </c>
      <c r="D1417" t="s">
        <v>34</v>
      </c>
      <c r="E1417" t="s">
        <v>52</v>
      </c>
      <c r="F1417">
        <v>1</v>
      </c>
      <c r="G1417" t="s">
        <v>36</v>
      </c>
      <c r="H1417">
        <v>2</v>
      </c>
      <c r="I1417" t="s">
        <v>37</v>
      </c>
      <c r="J1417" t="s">
        <v>54</v>
      </c>
      <c r="K1417">
        <v>2</v>
      </c>
      <c r="L1417" t="s">
        <v>55</v>
      </c>
      <c r="M1417">
        <v>1</v>
      </c>
      <c r="N1417" t="s">
        <v>40</v>
      </c>
      <c r="O1417" t="s">
        <v>62</v>
      </c>
      <c r="P1417">
        <v>3</v>
      </c>
      <c r="Q1417" t="s">
        <v>42</v>
      </c>
      <c r="R1417" t="s">
        <v>67</v>
      </c>
      <c r="S1417">
        <v>1</v>
      </c>
      <c r="T1417" t="s">
        <v>44</v>
      </c>
      <c r="U1417" t="s">
        <v>59</v>
      </c>
      <c r="V1417">
        <v>12</v>
      </c>
      <c r="W1417" t="s">
        <v>45</v>
      </c>
      <c r="X1417">
        <v>1</v>
      </c>
      <c r="Y1417">
        <v>2</v>
      </c>
      <c r="Z1417" t="s">
        <v>46</v>
      </c>
      <c r="AA1417">
        <v>1</v>
      </c>
      <c r="AB1417" t="s">
        <v>48</v>
      </c>
      <c r="AC1417">
        <v>1</v>
      </c>
      <c r="AD1417" t="s">
        <v>48</v>
      </c>
      <c r="AE1417">
        <v>0</v>
      </c>
      <c r="AF1417" t="s">
        <v>49</v>
      </c>
    </row>
    <row r="1418" spans="1:32" x14ac:dyDescent="0.25">
      <c r="A1418">
        <v>38</v>
      </c>
      <c r="B1418" t="s">
        <v>32</v>
      </c>
      <c r="C1418" t="s">
        <v>50</v>
      </c>
      <c r="D1418" t="s">
        <v>34</v>
      </c>
      <c r="E1418" t="s">
        <v>35</v>
      </c>
      <c r="F1418">
        <v>1</v>
      </c>
      <c r="G1418" t="s">
        <v>36</v>
      </c>
      <c r="H1418">
        <v>4</v>
      </c>
      <c r="I1418" t="s">
        <v>42</v>
      </c>
      <c r="J1418" t="s">
        <v>54</v>
      </c>
      <c r="K1418">
        <v>3</v>
      </c>
      <c r="L1418" t="s">
        <v>39</v>
      </c>
      <c r="M1418">
        <v>2</v>
      </c>
      <c r="N1418" t="s">
        <v>40</v>
      </c>
      <c r="O1418" t="s">
        <v>41</v>
      </c>
      <c r="P1418">
        <v>2</v>
      </c>
      <c r="Q1418" t="s">
        <v>57</v>
      </c>
      <c r="R1418" t="s">
        <v>58</v>
      </c>
      <c r="S1418">
        <v>0</v>
      </c>
      <c r="T1418" t="s">
        <v>44</v>
      </c>
      <c r="U1418" t="s">
        <v>59</v>
      </c>
      <c r="V1418">
        <v>15</v>
      </c>
      <c r="W1418" t="s">
        <v>45</v>
      </c>
      <c r="X1418">
        <v>16</v>
      </c>
      <c r="Y1418">
        <v>3</v>
      </c>
      <c r="Z1418" t="s">
        <v>61</v>
      </c>
      <c r="AA1418">
        <v>15</v>
      </c>
      <c r="AB1418" t="s">
        <v>74</v>
      </c>
      <c r="AC1418">
        <v>13</v>
      </c>
      <c r="AD1418" t="s">
        <v>74</v>
      </c>
      <c r="AE1418">
        <v>5</v>
      </c>
      <c r="AF1418" t="s">
        <v>71</v>
      </c>
    </row>
    <row r="1419" spans="1:32" x14ac:dyDescent="0.25">
      <c r="A1419">
        <v>31</v>
      </c>
      <c r="B1419" t="s">
        <v>32</v>
      </c>
      <c r="C1419" t="s">
        <v>50</v>
      </c>
      <c r="D1419" t="s">
        <v>34</v>
      </c>
      <c r="E1419" t="s">
        <v>35</v>
      </c>
      <c r="F1419">
        <v>2</v>
      </c>
      <c r="G1419" t="s">
        <v>36</v>
      </c>
      <c r="H1419">
        <v>1</v>
      </c>
      <c r="I1419" t="s">
        <v>37</v>
      </c>
      <c r="J1419" t="s">
        <v>54</v>
      </c>
      <c r="K1419">
        <v>3</v>
      </c>
      <c r="L1419" t="s">
        <v>39</v>
      </c>
      <c r="M1419">
        <v>1</v>
      </c>
      <c r="N1419" t="s">
        <v>40</v>
      </c>
      <c r="O1419" t="s">
        <v>75</v>
      </c>
      <c r="P1419">
        <v>3</v>
      </c>
      <c r="Q1419" t="s">
        <v>42</v>
      </c>
      <c r="R1419" t="s">
        <v>58</v>
      </c>
      <c r="S1419">
        <v>0</v>
      </c>
      <c r="T1419" t="s">
        <v>44</v>
      </c>
      <c r="U1419" t="s">
        <v>59</v>
      </c>
      <c r="V1419">
        <v>19</v>
      </c>
      <c r="W1419" t="s">
        <v>45</v>
      </c>
      <c r="X1419">
        <v>3</v>
      </c>
      <c r="Y1419">
        <v>3</v>
      </c>
      <c r="Z1419" t="s">
        <v>61</v>
      </c>
      <c r="AA1419">
        <v>2</v>
      </c>
      <c r="AB1419" t="s">
        <v>48</v>
      </c>
      <c r="AC1419">
        <v>2</v>
      </c>
      <c r="AD1419" t="s">
        <v>48</v>
      </c>
      <c r="AE1419">
        <v>1</v>
      </c>
      <c r="AF1419" t="s">
        <v>49</v>
      </c>
    </row>
    <row r="1420" spans="1:32" x14ac:dyDescent="0.25">
      <c r="A1420">
        <v>38</v>
      </c>
      <c r="B1420" t="s">
        <v>32</v>
      </c>
      <c r="C1420" t="s">
        <v>50</v>
      </c>
      <c r="D1420" t="s">
        <v>51</v>
      </c>
      <c r="E1420" t="s">
        <v>52</v>
      </c>
      <c r="F1420">
        <v>6</v>
      </c>
      <c r="G1420" t="s">
        <v>53</v>
      </c>
      <c r="H1420">
        <v>1</v>
      </c>
      <c r="I1420" t="s">
        <v>37</v>
      </c>
      <c r="J1420" t="s">
        <v>54</v>
      </c>
      <c r="K1420">
        <v>2</v>
      </c>
      <c r="L1420" t="s">
        <v>55</v>
      </c>
      <c r="M1420">
        <v>2</v>
      </c>
      <c r="N1420" t="s">
        <v>40</v>
      </c>
      <c r="O1420" t="s">
        <v>69</v>
      </c>
      <c r="P1420">
        <v>3</v>
      </c>
      <c r="Q1420" t="s">
        <v>42</v>
      </c>
      <c r="R1420" t="s">
        <v>58</v>
      </c>
      <c r="S1420">
        <v>2</v>
      </c>
      <c r="T1420" t="s">
        <v>44</v>
      </c>
      <c r="U1420" t="s">
        <v>59</v>
      </c>
      <c r="V1420">
        <v>11</v>
      </c>
      <c r="W1420" t="s">
        <v>45</v>
      </c>
      <c r="X1420">
        <v>10</v>
      </c>
      <c r="Y1420">
        <v>3</v>
      </c>
      <c r="Z1420" t="s">
        <v>61</v>
      </c>
      <c r="AA1420">
        <v>8</v>
      </c>
      <c r="AB1420" t="s">
        <v>47</v>
      </c>
      <c r="AC1420">
        <v>3</v>
      </c>
      <c r="AD1420" t="s">
        <v>48</v>
      </c>
      <c r="AE1420">
        <v>7</v>
      </c>
      <c r="AF1420" t="s">
        <v>71</v>
      </c>
    </row>
    <row r="1421" spans="1:32" x14ac:dyDescent="0.25">
      <c r="A1421">
        <v>42</v>
      </c>
      <c r="B1421" t="s">
        <v>32</v>
      </c>
      <c r="C1421" t="s">
        <v>50</v>
      </c>
      <c r="D1421" t="s">
        <v>34</v>
      </c>
      <c r="E1421" t="s">
        <v>52</v>
      </c>
      <c r="F1421">
        <v>18</v>
      </c>
      <c r="G1421" t="s">
        <v>66</v>
      </c>
      <c r="H1421">
        <v>4</v>
      </c>
      <c r="I1421" t="s">
        <v>42</v>
      </c>
      <c r="J1421" t="s">
        <v>54</v>
      </c>
      <c r="K1421">
        <v>3</v>
      </c>
      <c r="L1421" t="s">
        <v>39</v>
      </c>
      <c r="M1421">
        <v>2</v>
      </c>
      <c r="N1421" t="s">
        <v>40</v>
      </c>
      <c r="O1421" t="s">
        <v>56</v>
      </c>
      <c r="P1421">
        <v>1</v>
      </c>
      <c r="Q1421" t="s">
        <v>57</v>
      </c>
      <c r="R1421" t="s">
        <v>67</v>
      </c>
      <c r="S1421">
        <v>6</v>
      </c>
      <c r="T1421" t="s">
        <v>44</v>
      </c>
      <c r="U1421" t="s">
        <v>44</v>
      </c>
      <c r="V1421">
        <v>17</v>
      </c>
      <c r="W1421" t="s">
        <v>45</v>
      </c>
      <c r="X1421">
        <v>9</v>
      </c>
      <c r="Y1421">
        <v>2</v>
      </c>
      <c r="Z1421" t="s">
        <v>46</v>
      </c>
      <c r="AA1421">
        <v>4</v>
      </c>
      <c r="AB1421" t="s">
        <v>48</v>
      </c>
      <c r="AC1421">
        <v>3</v>
      </c>
      <c r="AD1421" t="s">
        <v>48</v>
      </c>
      <c r="AE1421">
        <v>1</v>
      </c>
      <c r="AF1421" t="s">
        <v>49</v>
      </c>
    </row>
    <row r="1422" spans="1:32" x14ac:dyDescent="0.25">
      <c r="A1422">
        <v>41</v>
      </c>
      <c r="B1422" t="s">
        <v>32</v>
      </c>
      <c r="C1422" t="s">
        <v>50</v>
      </c>
      <c r="D1422" t="s">
        <v>34</v>
      </c>
      <c r="E1422" t="s">
        <v>52</v>
      </c>
      <c r="F1422">
        <v>1</v>
      </c>
      <c r="G1422" t="s">
        <v>36</v>
      </c>
      <c r="H1422">
        <v>4</v>
      </c>
      <c r="I1422" t="s">
        <v>42</v>
      </c>
      <c r="J1422" t="s">
        <v>54</v>
      </c>
      <c r="K1422">
        <v>3</v>
      </c>
      <c r="L1422" t="s">
        <v>39</v>
      </c>
      <c r="M1422">
        <v>1</v>
      </c>
      <c r="N1422" t="s">
        <v>40</v>
      </c>
      <c r="O1422" t="s">
        <v>56</v>
      </c>
      <c r="P1422">
        <v>4</v>
      </c>
      <c r="Q1422" t="s">
        <v>42</v>
      </c>
      <c r="R1422" t="s">
        <v>58</v>
      </c>
      <c r="S1422">
        <v>3</v>
      </c>
      <c r="T1422" t="s">
        <v>44</v>
      </c>
      <c r="U1422" t="s">
        <v>59</v>
      </c>
      <c r="V1422">
        <v>22</v>
      </c>
      <c r="W1422" t="s">
        <v>60</v>
      </c>
      <c r="X1422">
        <v>12</v>
      </c>
      <c r="Y1422">
        <v>3</v>
      </c>
      <c r="Z1422" t="s">
        <v>61</v>
      </c>
      <c r="AA1422">
        <v>5</v>
      </c>
      <c r="AB1422" t="s">
        <v>47</v>
      </c>
      <c r="AC1422">
        <v>3</v>
      </c>
      <c r="AD1422" t="s">
        <v>48</v>
      </c>
      <c r="AE1422">
        <v>1</v>
      </c>
      <c r="AF1422" t="s">
        <v>49</v>
      </c>
    </row>
    <row r="1423" spans="1:32" x14ac:dyDescent="0.25">
      <c r="A1423">
        <v>47</v>
      </c>
      <c r="B1423" t="s">
        <v>32</v>
      </c>
      <c r="C1423" t="s">
        <v>50</v>
      </c>
      <c r="D1423" t="s">
        <v>34</v>
      </c>
      <c r="E1423" t="s">
        <v>52</v>
      </c>
      <c r="F1423">
        <v>1</v>
      </c>
      <c r="G1423" t="s">
        <v>36</v>
      </c>
      <c r="H1423">
        <v>3</v>
      </c>
      <c r="I1423" t="s">
        <v>42</v>
      </c>
      <c r="J1423" t="s">
        <v>38</v>
      </c>
      <c r="K1423">
        <v>3</v>
      </c>
      <c r="L1423" t="s">
        <v>39</v>
      </c>
      <c r="M1423">
        <v>3</v>
      </c>
      <c r="N1423" t="s">
        <v>68</v>
      </c>
      <c r="O1423" t="s">
        <v>76</v>
      </c>
      <c r="P1423">
        <v>2</v>
      </c>
      <c r="Q1423" t="s">
        <v>57</v>
      </c>
      <c r="R1423" t="s">
        <v>58</v>
      </c>
      <c r="S1423">
        <v>0</v>
      </c>
      <c r="T1423" t="s">
        <v>44</v>
      </c>
      <c r="U1423" t="s">
        <v>59</v>
      </c>
      <c r="V1423">
        <v>18</v>
      </c>
      <c r="W1423" t="s">
        <v>45</v>
      </c>
      <c r="X1423">
        <v>14</v>
      </c>
      <c r="Y1423">
        <v>1</v>
      </c>
      <c r="Z1423" t="s">
        <v>46</v>
      </c>
      <c r="AA1423">
        <v>13</v>
      </c>
      <c r="AB1423" t="s">
        <v>74</v>
      </c>
      <c r="AC1423">
        <v>8</v>
      </c>
      <c r="AD1423" t="s">
        <v>47</v>
      </c>
      <c r="AE1423">
        <v>5</v>
      </c>
      <c r="AF1423" t="s">
        <v>71</v>
      </c>
    </row>
    <row r="1424" spans="1:32" x14ac:dyDescent="0.25">
      <c r="A1424">
        <v>35</v>
      </c>
      <c r="B1424" t="s">
        <v>32</v>
      </c>
      <c r="C1424" t="s">
        <v>50</v>
      </c>
      <c r="D1424" t="s">
        <v>34</v>
      </c>
      <c r="E1424" t="s">
        <v>52</v>
      </c>
      <c r="F1424">
        <v>11</v>
      </c>
      <c r="G1424" t="s">
        <v>53</v>
      </c>
      <c r="H1424">
        <v>4</v>
      </c>
      <c r="I1424" t="s">
        <v>42</v>
      </c>
      <c r="J1424" t="s">
        <v>54</v>
      </c>
      <c r="K1424">
        <v>3</v>
      </c>
      <c r="L1424" t="s">
        <v>39</v>
      </c>
      <c r="M1424">
        <v>1</v>
      </c>
      <c r="N1424" t="s">
        <v>40</v>
      </c>
      <c r="O1424" t="s">
        <v>62</v>
      </c>
      <c r="P1424">
        <v>3</v>
      </c>
      <c r="Q1424" t="s">
        <v>42</v>
      </c>
      <c r="R1424" t="s">
        <v>58</v>
      </c>
      <c r="S1424">
        <v>7</v>
      </c>
      <c r="T1424" t="s">
        <v>44</v>
      </c>
      <c r="U1424" t="s">
        <v>44</v>
      </c>
      <c r="V1424">
        <v>11</v>
      </c>
      <c r="W1424" t="s">
        <v>45</v>
      </c>
      <c r="X1424">
        <v>5</v>
      </c>
      <c r="Y1424">
        <v>3</v>
      </c>
      <c r="Z1424" t="s">
        <v>61</v>
      </c>
      <c r="AA1424">
        <v>2</v>
      </c>
      <c r="AB1424" t="s">
        <v>48</v>
      </c>
      <c r="AC1424">
        <v>2</v>
      </c>
      <c r="AD1424" t="s">
        <v>48</v>
      </c>
      <c r="AE1424">
        <v>2</v>
      </c>
      <c r="AF1424" t="s">
        <v>49</v>
      </c>
    </row>
    <row r="1425" spans="1:32" x14ac:dyDescent="0.25">
      <c r="A1425">
        <v>22</v>
      </c>
      <c r="B1425" t="s">
        <v>63</v>
      </c>
      <c r="C1425" t="s">
        <v>50</v>
      </c>
      <c r="D1425" t="s">
        <v>34</v>
      </c>
      <c r="E1425" t="s">
        <v>52</v>
      </c>
      <c r="F1425">
        <v>1</v>
      </c>
      <c r="G1425" t="s">
        <v>36</v>
      </c>
      <c r="H1425">
        <v>4</v>
      </c>
      <c r="I1425" t="s">
        <v>42</v>
      </c>
      <c r="J1425" t="s">
        <v>54</v>
      </c>
      <c r="K1425">
        <v>3</v>
      </c>
      <c r="L1425" t="s">
        <v>39</v>
      </c>
      <c r="M1425">
        <v>1</v>
      </c>
      <c r="N1425" t="s">
        <v>40</v>
      </c>
      <c r="O1425" t="s">
        <v>56</v>
      </c>
      <c r="P1425">
        <v>3</v>
      </c>
      <c r="Q1425" t="s">
        <v>42</v>
      </c>
      <c r="R1425" t="s">
        <v>43</v>
      </c>
      <c r="S1425">
        <v>0</v>
      </c>
      <c r="T1425" t="s">
        <v>44</v>
      </c>
      <c r="U1425" t="s">
        <v>59</v>
      </c>
      <c r="V1425">
        <v>12</v>
      </c>
      <c r="W1425" t="s">
        <v>45</v>
      </c>
      <c r="X1425">
        <v>4</v>
      </c>
      <c r="Y1425">
        <v>4</v>
      </c>
      <c r="Z1425" t="s">
        <v>61</v>
      </c>
      <c r="AA1425">
        <v>3</v>
      </c>
      <c r="AB1425" t="s">
        <v>48</v>
      </c>
      <c r="AC1425">
        <v>2</v>
      </c>
      <c r="AD1425" t="s">
        <v>48</v>
      </c>
      <c r="AE1425">
        <v>1</v>
      </c>
      <c r="AF1425" t="s">
        <v>49</v>
      </c>
    </row>
    <row r="1426" spans="1:32" x14ac:dyDescent="0.25">
      <c r="A1426">
        <v>35</v>
      </c>
      <c r="B1426" t="s">
        <v>32</v>
      </c>
      <c r="C1426" t="s">
        <v>50</v>
      </c>
      <c r="D1426" t="s">
        <v>34</v>
      </c>
      <c r="E1426" t="s">
        <v>52</v>
      </c>
      <c r="F1426">
        <v>9</v>
      </c>
      <c r="G1426" t="s">
        <v>53</v>
      </c>
      <c r="H1426">
        <v>2</v>
      </c>
      <c r="I1426" t="s">
        <v>37</v>
      </c>
      <c r="J1426" t="s">
        <v>54</v>
      </c>
      <c r="K1426">
        <v>3</v>
      </c>
      <c r="L1426" t="s">
        <v>39</v>
      </c>
      <c r="M1426">
        <v>2</v>
      </c>
      <c r="N1426" t="s">
        <v>40</v>
      </c>
      <c r="O1426" t="s">
        <v>56</v>
      </c>
      <c r="P1426">
        <v>3</v>
      </c>
      <c r="Q1426" t="s">
        <v>42</v>
      </c>
      <c r="R1426" t="s">
        <v>43</v>
      </c>
      <c r="S1426">
        <v>1</v>
      </c>
      <c r="T1426" t="s">
        <v>44</v>
      </c>
      <c r="U1426" t="s">
        <v>59</v>
      </c>
      <c r="V1426">
        <v>19</v>
      </c>
      <c r="W1426" t="s">
        <v>45</v>
      </c>
      <c r="X1426">
        <v>10</v>
      </c>
      <c r="Y1426">
        <v>3</v>
      </c>
      <c r="Z1426" t="s">
        <v>61</v>
      </c>
      <c r="AA1426">
        <v>10</v>
      </c>
      <c r="AB1426" t="s">
        <v>47</v>
      </c>
      <c r="AC1426">
        <v>7</v>
      </c>
      <c r="AD1426" t="s">
        <v>47</v>
      </c>
      <c r="AE1426">
        <v>0</v>
      </c>
      <c r="AF1426" t="s">
        <v>49</v>
      </c>
    </row>
    <row r="1427" spans="1:32" x14ac:dyDescent="0.25">
      <c r="A1427">
        <v>33</v>
      </c>
      <c r="B1427" t="s">
        <v>32</v>
      </c>
      <c r="C1427" t="s">
        <v>50</v>
      </c>
      <c r="D1427" t="s">
        <v>34</v>
      </c>
      <c r="E1427" t="s">
        <v>52</v>
      </c>
      <c r="F1427">
        <v>15</v>
      </c>
      <c r="G1427" t="s">
        <v>66</v>
      </c>
      <c r="H1427">
        <v>2</v>
      </c>
      <c r="I1427" t="s">
        <v>37</v>
      </c>
      <c r="J1427" t="s">
        <v>38</v>
      </c>
      <c r="K1427">
        <v>3</v>
      </c>
      <c r="L1427" t="s">
        <v>39</v>
      </c>
      <c r="M1427">
        <v>2</v>
      </c>
      <c r="N1427" t="s">
        <v>40</v>
      </c>
      <c r="O1427" t="s">
        <v>70</v>
      </c>
      <c r="P1427">
        <v>4</v>
      </c>
      <c r="Q1427" t="s">
        <v>42</v>
      </c>
      <c r="R1427" t="s">
        <v>58</v>
      </c>
      <c r="S1427">
        <v>0</v>
      </c>
      <c r="T1427" t="s">
        <v>44</v>
      </c>
      <c r="U1427" t="s">
        <v>44</v>
      </c>
      <c r="V1427">
        <v>13</v>
      </c>
      <c r="W1427" t="s">
        <v>45</v>
      </c>
      <c r="X1427">
        <v>10</v>
      </c>
      <c r="Y1427">
        <v>3</v>
      </c>
      <c r="Z1427" t="s">
        <v>61</v>
      </c>
      <c r="AA1427">
        <v>9</v>
      </c>
      <c r="AB1427" t="s">
        <v>47</v>
      </c>
      <c r="AC1427">
        <v>7</v>
      </c>
      <c r="AD1427" t="s">
        <v>47</v>
      </c>
      <c r="AE1427">
        <v>8</v>
      </c>
      <c r="AF1427" t="s">
        <v>71</v>
      </c>
    </row>
    <row r="1428" spans="1:32" x14ac:dyDescent="0.25">
      <c r="A1428">
        <v>32</v>
      </c>
      <c r="B1428" t="s">
        <v>32</v>
      </c>
      <c r="C1428" t="s">
        <v>50</v>
      </c>
      <c r="D1428" t="s">
        <v>34</v>
      </c>
      <c r="E1428" t="s">
        <v>52</v>
      </c>
      <c r="F1428">
        <v>29</v>
      </c>
      <c r="G1428" t="s">
        <v>66</v>
      </c>
      <c r="H1428">
        <v>3</v>
      </c>
      <c r="I1428" t="s">
        <v>42</v>
      </c>
      <c r="J1428" t="s">
        <v>38</v>
      </c>
      <c r="K1428">
        <v>2</v>
      </c>
      <c r="L1428" t="s">
        <v>55</v>
      </c>
      <c r="M1428">
        <v>1</v>
      </c>
      <c r="N1428" t="s">
        <v>40</v>
      </c>
      <c r="O1428" t="s">
        <v>62</v>
      </c>
      <c r="P1428">
        <v>2</v>
      </c>
      <c r="Q1428" t="s">
        <v>57</v>
      </c>
      <c r="R1428" t="s">
        <v>43</v>
      </c>
      <c r="S1428">
        <v>1</v>
      </c>
      <c r="T1428" t="s">
        <v>44</v>
      </c>
      <c r="U1428" t="s">
        <v>59</v>
      </c>
      <c r="V1428">
        <v>13</v>
      </c>
      <c r="W1428" t="s">
        <v>45</v>
      </c>
      <c r="X1428">
        <v>6</v>
      </c>
      <c r="Y1428">
        <v>3</v>
      </c>
      <c r="Z1428" t="s">
        <v>61</v>
      </c>
      <c r="AA1428">
        <v>6</v>
      </c>
      <c r="AB1428" t="s">
        <v>47</v>
      </c>
      <c r="AC1428">
        <v>2</v>
      </c>
      <c r="AD1428" t="s">
        <v>48</v>
      </c>
      <c r="AE1428">
        <v>4</v>
      </c>
      <c r="AF1428" t="s">
        <v>71</v>
      </c>
    </row>
    <row r="1429" spans="1:32" x14ac:dyDescent="0.25">
      <c r="A1429">
        <v>40</v>
      </c>
      <c r="B1429" t="s">
        <v>32</v>
      </c>
      <c r="C1429" t="s">
        <v>50</v>
      </c>
      <c r="D1429" t="s">
        <v>34</v>
      </c>
      <c r="E1429" t="s">
        <v>52</v>
      </c>
      <c r="F1429">
        <v>1</v>
      </c>
      <c r="G1429" t="s">
        <v>36</v>
      </c>
      <c r="H1429">
        <v>1</v>
      </c>
      <c r="I1429" t="s">
        <v>37</v>
      </c>
      <c r="J1429" t="s">
        <v>54</v>
      </c>
      <c r="K1429">
        <v>3</v>
      </c>
      <c r="L1429" t="s">
        <v>39</v>
      </c>
      <c r="M1429">
        <v>1</v>
      </c>
      <c r="N1429" t="s">
        <v>40</v>
      </c>
      <c r="O1429" t="s">
        <v>62</v>
      </c>
      <c r="P1429">
        <v>4</v>
      </c>
      <c r="Q1429" t="s">
        <v>42</v>
      </c>
      <c r="R1429" t="s">
        <v>58</v>
      </c>
      <c r="S1429">
        <v>8</v>
      </c>
      <c r="T1429" t="s">
        <v>44</v>
      </c>
      <c r="U1429" t="s">
        <v>59</v>
      </c>
      <c r="V1429">
        <v>19</v>
      </c>
      <c r="W1429" t="s">
        <v>45</v>
      </c>
      <c r="X1429">
        <v>8</v>
      </c>
      <c r="Y1429">
        <v>2</v>
      </c>
      <c r="Z1429" t="s">
        <v>46</v>
      </c>
      <c r="AA1429">
        <v>1</v>
      </c>
      <c r="AB1429" t="s">
        <v>48</v>
      </c>
      <c r="AC1429">
        <v>0</v>
      </c>
      <c r="AD1429" t="s">
        <v>48</v>
      </c>
      <c r="AE1429">
        <v>0</v>
      </c>
      <c r="AF1429" t="s">
        <v>49</v>
      </c>
    </row>
    <row r="1430" spans="1:32" x14ac:dyDescent="0.25">
      <c r="A1430">
        <v>32</v>
      </c>
      <c r="B1430" t="s">
        <v>32</v>
      </c>
      <c r="C1430" t="s">
        <v>50</v>
      </c>
      <c r="D1430" t="s">
        <v>34</v>
      </c>
      <c r="E1430" t="s">
        <v>35</v>
      </c>
      <c r="F1430">
        <v>1</v>
      </c>
      <c r="G1430" t="s">
        <v>36</v>
      </c>
      <c r="H1430">
        <v>2</v>
      </c>
      <c r="I1430" t="s">
        <v>37</v>
      </c>
      <c r="J1430" t="s">
        <v>54</v>
      </c>
      <c r="K1430">
        <v>2</v>
      </c>
      <c r="L1430" t="s">
        <v>55</v>
      </c>
      <c r="M1430">
        <v>1</v>
      </c>
      <c r="N1430" t="s">
        <v>40</v>
      </c>
      <c r="O1430" t="s">
        <v>75</v>
      </c>
      <c r="P1430">
        <v>2</v>
      </c>
      <c r="Q1430" t="s">
        <v>57</v>
      </c>
      <c r="R1430" t="s">
        <v>58</v>
      </c>
      <c r="S1430">
        <v>0</v>
      </c>
      <c r="T1430" t="s">
        <v>44</v>
      </c>
      <c r="U1430" t="s">
        <v>59</v>
      </c>
      <c r="V1430">
        <v>14</v>
      </c>
      <c r="W1430" t="s">
        <v>45</v>
      </c>
      <c r="X1430">
        <v>3</v>
      </c>
      <c r="Y1430">
        <v>3</v>
      </c>
      <c r="Z1430" t="s">
        <v>61</v>
      </c>
      <c r="AA1430">
        <v>2</v>
      </c>
      <c r="AB1430" t="s">
        <v>48</v>
      </c>
      <c r="AC1430">
        <v>2</v>
      </c>
      <c r="AD1430" t="s">
        <v>48</v>
      </c>
      <c r="AE1430">
        <v>2</v>
      </c>
      <c r="AF1430" t="s">
        <v>49</v>
      </c>
    </row>
    <row r="1431" spans="1:32" x14ac:dyDescent="0.25">
      <c r="A1431">
        <v>39</v>
      </c>
      <c r="B1431" t="s">
        <v>32</v>
      </c>
      <c r="C1431" t="s">
        <v>50</v>
      </c>
      <c r="D1431" t="s">
        <v>34</v>
      </c>
      <c r="E1431" t="s">
        <v>52</v>
      </c>
      <c r="F1431">
        <v>24</v>
      </c>
      <c r="G1431" t="s">
        <v>66</v>
      </c>
      <c r="H1431">
        <v>1</v>
      </c>
      <c r="I1431" t="s">
        <v>37</v>
      </c>
      <c r="J1431" t="s">
        <v>54</v>
      </c>
      <c r="K1431">
        <v>3</v>
      </c>
      <c r="L1431" t="s">
        <v>39</v>
      </c>
      <c r="M1431">
        <v>2</v>
      </c>
      <c r="N1431" t="s">
        <v>40</v>
      </c>
      <c r="O1431" t="s">
        <v>56</v>
      </c>
      <c r="P1431">
        <v>4</v>
      </c>
      <c r="Q1431" t="s">
        <v>42</v>
      </c>
      <c r="R1431" t="s">
        <v>43</v>
      </c>
      <c r="S1431">
        <v>7</v>
      </c>
      <c r="T1431" t="s">
        <v>44</v>
      </c>
      <c r="U1431" t="s">
        <v>59</v>
      </c>
      <c r="V1431">
        <v>13</v>
      </c>
      <c r="W1431" t="s">
        <v>45</v>
      </c>
      <c r="X1431">
        <v>18</v>
      </c>
      <c r="Y1431">
        <v>3</v>
      </c>
      <c r="Z1431" t="s">
        <v>61</v>
      </c>
      <c r="AA1431">
        <v>7</v>
      </c>
      <c r="AB1431" t="s">
        <v>47</v>
      </c>
      <c r="AC1431">
        <v>7</v>
      </c>
      <c r="AD1431" t="s">
        <v>47</v>
      </c>
      <c r="AE1431">
        <v>1</v>
      </c>
      <c r="AF1431" t="s">
        <v>49</v>
      </c>
    </row>
    <row r="1432" spans="1:32" x14ac:dyDescent="0.25">
      <c r="A1432">
        <v>38</v>
      </c>
      <c r="B1432" t="s">
        <v>32</v>
      </c>
      <c r="C1432" t="s">
        <v>50</v>
      </c>
      <c r="D1432" t="s">
        <v>34</v>
      </c>
      <c r="E1432" t="s">
        <v>52</v>
      </c>
      <c r="F1432">
        <v>10</v>
      </c>
      <c r="G1432" t="s">
        <v>53</v>
      </c>
      <c r="H1432">
        <v>2</v>
      </c>
      <c r="I1432" t="s">
        <v>37</v>
      </c>
      <c r="J1432" t="s">
        <v>38</v>
      </c>
      <c r="K1432">
        <v>1</v>
      </c>
      <c r="L1432" t="s">
        <v>55</v>
      </c>
      <c r="M1432">
        <v>3</v>
      </c>
      <c r="N1432" t="s">
        <v>68</v>
      </c>
      <c r="O1432" t="s">
        <v>76</v>
      </c>
      <c r="P1432">
        <v>3</v>
      </c>
      <c r="Q1432" t="s">
        <v>42</v>
      </c>
      <c r="R1432" t="s">
        <v>58</v>
      </c>
      <c r="S1432">
        <v>3</v>
      </c>
      <c r="T1432" t="s">
        <v>44</v>
      </c>
      <c r="U1432" t="s">
        <v>59</v>
      </c>
      <c r="V1432">
        <v>12</v>
      </c>
      <c r="W1432" t="s">
        <v>45</v>
      </c>
      <c r="X1432">
        <v>20</v>
      </c>
      <c r="Y1432">
        <v>3</v>
      </c>
      <c r="Z1432" t="s">
        <v>61</v>
      </c>
      <c r="AA1432">
        <v>18</v>
      </c>
      <c r="AB1432" t="s">
        <v>74</v>
      </c>
      <c r="AC1432">
        <v>16</v>
      </c>
      <c r="AD1432" t="s">
        <v>74</v>
      </c>
      <c r="AE1432">
        <v>1</v>
      </c>
      <c r="AF1432" t="s">
        <v>49</v>
      </c>
    </row>
    <row r="1433" spans="1:32" x14ac:dyDescent="0.25">
      <c r="A1433">
        <v>32</v>
      </c>
      <c r="B1433" t="s">
        <v>32</v>
      </c>
      <c r="C1433" t="s">
        <v>50</v>
      </c>
      <c r="D1433" t="s">
        <v>34</v>
      </c>
      <c r="E1433" t="s">
        <v>35</v>
      </c>
      <c r="F1433">
        <v>1</v>
      </c>
      <c r="G1433" t="s">
        <v>36</v>
      </c>
      <c r="H1433">
        <v>3</v>
      </c>
      <c r="I1433" t="s">
        <v>42</v>
      </c>
      <c r="J1433" t="s">
        <v>38</v>
      </c>
      <c r="K1433">
        <v>3</v>
      </c>
      <c r="L1433" t="s">
        <v>39</v>
      </c>
      <c r="M1433">
        <v>3</v>
      </c>
      <c r="N1433" t="s">
        <v>68</v>
      </c>
      <c r="O1433" t="s">
        <v>41</v>
      </c>
      <c r="P1433">
        <v>4</v>
      </c>
      <c r="Q1433" t="s">
        <v>42</v>
      </c>
      <c r="R1433" t="s">
        <v>58</v>
      </c>
      <c r="S1433">
        <v>1</v>
      </c>
      <c r="T1433" t="s">
        <v>44</v>
      </c>
      <c r="U1433" t="s">
        <v>59</v>
      </c>
      <c r="V1433">
        <v>19</v>
      </c>
      <c r="W1433" t="s">
        <v>45</v>
      </c>
      <c r="X1433">
        <v>14</v>
      </c>
      <c r="Y1433">
        <v>3</v>
      </c>
      <c r="Z1433" t="s">
        <v>61</v>
      </c>
      <c r="AA1433">
        <v>14</v>
      </c>
      <c r="AB1433" t="s">
        <v>74</v>
      </c>
      <c r="AC1433">
        <v>10</v>
      </c>
      <c r="AD1433" t="s">
        <v>47</v>
      </c>
      <c r="AE1433">
        <v>5</v>
      </c>
      <c r="AF1433" t="s">
        <v>71</v>
      </c>
    </row>
    <row r="1434" spans="1:32" x14ac:dyDescent="0.25">
      <c r="A1434">
        <v>37</v>
      </c>
      <c r="B1434" t="s">
        <v>32</v>
      </c>
      <c r="C1434" t="s">
        <v>50</v>
      </c>
      <c r="D1434" t="s">
        <v>34</v>
      </c>
      <c r="E1434" t="s">
        <v>52</v>
      </c>
      <c r="F1434">
        <v>10</v>
      </c>
      <c r="G1434" t="s">
        <v>53</v>
      </c>
      <c r="H1434">
        <v>3</v>
      </c>
      <c r="I1434" t="s">
        <v>42</v>
      </c>
      <c r="J1434" t="s">
        <v>38</v>
      </c>
      <c r="K1434">
        <v>4</v>
      </c>
      <c r="L1434" t="s">
        <v>65</v>
      </c>
      <c r="M1434">
        <v>3</v>
      </c>
      <c r="N1434" t="s">
        <v>68</v>
      </c>
      <c r="O1434" t="s">
        <v>76</v>
      </c>
      <c r="P1434">
        <v>4</v>
      </c>
      <c r="Q1434" t="s">
        <v>42</v>
      </c>
      <c r="R1434" t="s">
        <v>58</v>
      </c>
      <c r="S1434">
        <v>1</v>
      </c>
      <c r="T1434" t="s">
        <v>44</v>
      </c>
      <c r="U1434" t="s">
        <v>44</v>
      </c>
      <c r="V1434">
        <v>25</v>
      </c>
      <c r="W1434" t="s">
        <v>60</v>
      </c>
      <c r="X1434">
        <v>16</v>
      </c>
      <c r="Y1434">
        <v>3</v>
      </c>
      <c r="Z1434" t="s">
        <v>61</v>
      </c>
      <c r="AA1434">
        <v>16</v>
      </c>
      <c r="AB1434" t="s">
        <v>74</v>
      </c>
      <c r="AC1434">
        <v>11</v>
      </c>
      <c r="AD1434" t="s">
        <v>74</v>
      </c>
      <c r="AE1434">
        <v>6</v>
      </c>
      <c r="AF1434" t="s">
        <v>71</v>
      </c>
    </row>
    <row r="1435" spans="1:32" x14ac:dyDescent="0.25">
      <c r="A1435">
        <v>25</v>
      </c>
      <c r="B1435" t="s">
        <v>63</v>
      </c>
      <c r="C1435" t="s">
        <v>50</v>
      </c>
      <c r="D1435" t="s">
        <v>34</v>
      </c>
      <c r="E1435" t="s">
        <v>35</v>
      </c>
      <c r="F1435">
        <v>8</v>
      </c>
      <c r="G1435" t="s">
        <v>53</v>
      </c>
      <c r="H1435">
        <v>1</v>
      </c>
      <c r="I1435" t="s">
        <v>37</v>
      </c>
      <c r="J1435" t="s">
        <v>38</v>
      </c>
      <c r="K1435">
        <v>3</v>
      </c>
      <c r="L1435" t="s">
        <v>39</v>
      </c>
      <c r="M1435">
        <v>2</v>
      </c>
      <c r="N1435" t="s">
        <v>40</v>
      </c>
      <c r="O1435" t="s">
        <v>41</v>
      </c>
      <c r="P1435">
        <v>3</v>
      </c>
      <c r="Q1435" t="s">
        <v>42</v>
      </c>
      <c r="R1435" t="s">
        <v>67</v>
      </c>
      <c r="S1435">
        <v>0</v>
      </c>
      <c r="T1435" t="s">
        <v>44</v>
      </c>
      <c r="U1435" t="s">
        <v>44</v>
      </c>
      <c r="V1435">
        <v>22</v>
      </c>
      <c r="W1435" t="s">
        <v>60</v>
      </c>
      <c r="X1435">
        <v>6</v>
      </c>
      <c r="Y1435">
        <v>2</v>
      </c>
      <c r="Z1435" t="s">
        <v>46</v>
      </c>
      <c r="AA1435">
        <v>5</v>
      </c>
      <c r="AB1435" t="s">
        <v>47</v>
      </c>
      <c r="AC1435">
        <v>3</v>
      </c>
      <c r="AD1435" t="s">
        <v>48</v>
      </c>
      <c r="AE1435">
        <v>0</v>
      </c>
      <c r="AF1435" t="s">
        <v>49</v>
      </c>
    </row>
    <row r="1436" spans="1:32" x14ac:dyDescent="0.25">
      <c r="A1436">
        <v>52</v>
      </c>
      <c r="B1436" t="s">
        <v>64</v>
      </c>
      <c r="C1436" t="s">
        <v>50</v>
      </c>
      <c r="D1436" t="s">
        <v>34</v>
      </c>
      <c r="E1436" t="s">
        <v>35</v>
      </c>
      <c r="F1436">
        <v>29</v>
      </c>
      <c r="G1436" t="s">
        <v>66</v>
      </c>
      <c r="H1436">
        <v>1</v>
      </c>
      <c r="I1436" t="s">
        <v>37</v>
      </c>
      <c r="J1436" t="s">
        <v>54</v>
      </c>
      <c r="K1436">
        <v>3</v>
      </c>
      <c r="L1436" t="s">
        <v>39</v>
      </c>
      <c r="M1436">
        <v>1</v>
      </c>
      <c r="N1436" t="s">
        <v>40</v>
      </c>
      <c r="O1436" t="s">
        <v>75</v>
      </c>
      <c r="P1436">
        <v>4</v>
      </c>
      <c r="Q1436" t="s">
        <v>42</v>
      </c>
      <c r="R1436" t="s">
        <v>67</v>
      </c>
      <c r="S1436">
        <v>2</v>
      </c>
      <c r="T1436" t="s">
        <v>44</v>
      </c>
      <c r="U1436" t="s">
        <v>59</v>
      </c>
      <c r="V1436">
        <v>15</v>
      </c>
      <c r="W1436" t="s">
        <v>45</v>
      </c>
      <c r="X1436">
        <v>16</v>
      </c>
      <c r="Y1436">
        <v>2</v>
      </c>
      <c r="Z1436" t="s">
        <v>46</v>
      </c>
      <c r="AA1436">
        <v>9</v>
      </c>
      <c r="AB1436" t="s">
        <v>47</v>
      </c>
      <c r="AC1436">
        <v>8</v>
      </c>
      <c r="AD1436" t="s">
        <v>47</v>
      </c>
      <c r="AE1436">
        <v>0</v>
      </c>
      <c r="AF1436" t="s">
        <v>49</v>
      </c>
    </row>
    <row r="1437" spans="1:32" x14ac:dyDescent="0.25">
      <c r="A1437">
        <v>44</v>
      </c>
      <c r="B1437" t="s">
        <v>32</v>
      </c>
      <c r="C1437" t="s">
        <v>50</v>
      </c>
      <c r="D1437" t="s">
        <v>34</v>
      </c>
      <c r="E1437" t="s">
        <v>52</v>
      </c>
      <c r="F1437">
        <v>1</v>
      </c>
      <c r="G1437" t="s">
        <v>36</v>
      </c>
      <c r="H1437">
        <v>2</v>
      </c>
      <c r="I1437" t="s">
        <v>37</v>
      </c>
      <c r="J1437" t="s">
        <v>54</v>
      </c>
      <c r="K1437">
        <v>3</v>
      </c>
      <c r="L1437" t="s">
        <v>39</v>
      </c>
      <c r="M1437">
        <v>1</v>
      </c>
      <c r="N1437" t="s">
        <v>40</v>
      </c>
      <c r="O1437" t="s">
        <v>56</v>
      </c>
      <c r="P1437">
        <v>4</v>
      </c>
      <c r="Q1437" t="s">
        <v>42</v>
      </c>
      <c r="R1437" t="s">
        <v>43</v>
      </c>
      <c r="S1437">
        <v>6</v>
      </c>
      <c r="T1437" t="s">
        <v>44</v>
      </c>
      <c r="U1437" t="s">
        <v>44</v>
      </c>
      <c r="V1437">
        <v>12</v>
      </c>
      <c r="W1437" t="s">
        <v>45</v>
      </c>
      <c r="X1437">
        <v>6</v>
      </c>
      <c r="Y1437">
        <v>3</v>
      </c>
      <c r="Z1437" t="s">
        <v>61</v>
      </c>
      <c r="AA1437">
        <v>4</v>
      </c>
      <c r="AB1437" t="s">
        <v>48</v>
      </c>
      <c r="AC1437">
        <v>3</v>
      </c>
      <c r="AD1437" t="s">
        <v>48</v>
      </c>
      <c r="AE1437">
        <v>1</v>
      </c>
      <c r="AF1437" t="s">
        <v>49</v>
      </c>
    </row>
    <row r="1438" spans="1:32" x14ac:dyDescent="0.25">
      <c r="A1438">
        <v>21</v>
      </c>
      <c r="B1438" t="s">
        <v>63</v>
      </c>
      <c r="C1438" t="s">
        <v>50</v>
      </c>
      <c r="D1438" t="s">
        <v>34</v>
      </c>
      <c r="E1438" t="s">
        <v>35</v>
      </c>
      <c r="F1438">
        <v>5</v>
      </c>
      <c r="G1438" t="s">
        <v>36</v>
      </c>
      <c r="H1438">
        <v>3</v>
      </c>
      <c r="I1438" t="s">
        <v>42</v>
      </c>
      <c r="J1438" t="s">
        <v>54</v>
      </c>
      <c r="K1438">
        <v>3</v>
      </c>
      <c r="L1438" t="s">
        <v>39</v>
      </c>
      <c r="M1438">
        <v>1</v>
      </c>
      <c r="N1438" t="s">
        <v>40</v>
      </c>
      <c r="O1438" t="s">
        <v>75</v>
      </c>
      <c r="P1438">
        <v>1</v>
      </c>
      <c r="Q1438" t="s">
        <v>57</v>
      </c>
      <c r="R1438" t="s">
        <v>43</v>
      </c>
      <c r="S1438">
        <v>1</v>
      </c>
      <c r="T1438" t="s">
        <v>44</v>
      </c>
      <c r="U1438" t="s">
        <v>44</v>
      </c>
      <c r="V1438">
        <v>11</v>
      </c>
      <c r="W1438" t="s">
        <v>45</v>
      </c>
      <c r="X1438">
        <v>2</v>
      </c>
      <c r="Y1438">
        <v>3</v>
      </c>
      <c r="Z1438" t="s">
        <v>61</v>
      </c>
      <c r="AA1438">
        <v>2</v>
      </c>
      <c r="AB1438" t="s">
        <v>48</v>
      </c>
      <c r="AC1438">
        <v>2</v>
      </c>
      <c r="AD1438" t="s">
        <v>48</v>
      </c>
      <c r="AE1438">
        <v>1</v>
      </c>
      <c r="AF1438" t="s">
        <v>49</v>
      </c>
    </row>
    <row r="1439" spans="1:32" x14ac:dyDescent="0.25">
      <c r="A1439">
        <v>39</v>
      </c>
      <c r="B1439" t="s">
        <v>32</v>
      </c>
      <c r="C1439" t="s">
        <v>50</v>
      </c>
      <c r="D1439" t="s">
        <v>34</v>
      </c>
      <c r="E1439" t="s">
        <v>52</v>
      </c>
      <c r="F1439">
        <v>9</v>
      </c>
      <c r="G1439" t="s">
        <v>53</v>
      </c>
      <c r="H1439">
        <v>4</v>
      </c>
      <c r="I1439" t="s">
        <v>42</v>
      </c>
      <c r="J1439" t="s">
        <v>54</v>
      </c>
      <c r="K1439">
        <v>3</v>
      </c>
      <c r="L1439" t="s">
        <v>39</v>
      </c>
      <c r="M1439">
        <v>5</v>
      </c>
      <c r="N1439" t="s">
        <v>72</v>
      </c>
      <c r="O1439" t="s">
        <v>73</v>
      </c>
      <c r="P1439">
        <v>4</v>
      </c>
      <c r="Q1439" t="s">
        <v>42</v>
      </c>
      <c r="R1439" t="s">
        <v>43</v>
      </c>
      <c r="S1439">
        <v>2</v>
      </c>
      <c r="T1439" t="s">
        <v>44</v>
      </c>
      <c r="U1439" t="s">
        <v>59</v>
      </c>
      <c r="V1439">
        <v>13</v>
      </c>
      <c r="W1439" t="s">
        <v>45</v>
      </c>
      <c r="X1439">
        <v>21</v>
      </c>
      <c r="Y1439">
        <v>2</v>
      </c>
      <c r="Z1439" t="s">
        <v>46</v>
      </c>
      <c r="AA1439">
        <v>6</v>
      </c>
      <c r="AB1439" t="s">
        <v>47</v>
      </c>
      <c r="AC1439">
        <v>0</v>
      </c>
      <c r="AD1439" t="s">
        <v>48</v>
      </c>
      <c r="AE1439">
        <v>1</v>
      </c>
      <c r="AF1439" t="s">
        <v>49</v>
      </c>
    </row>
    <row r="1440" spans="1:32" x14ac:dyDescent="0.25">
      <c r="A1440">
        <v>23</v>
      </c>
      <c r="B1440" t="s">
        <v>63</v>
      </c>
      <c r="C1440" t="s">
        <v>33</v>
      </c>
      <c r="D1440" t="s">
        <v>51</v>
      </c>
      <c r="E1440" t="s">
        <v>35</v>
      </c>
      <c r="F1440">
        <v>9</v>
      </c>
      <c r="G1440" t="s">
        <v>53</v>
      </c>
      <c r="H1440">
        <v>4</v>
      </c>
      <c r="I1440" t="s">
        <v>42</v>
      </c>
      <c r="J1440" t="s">
        <v>54</v>
      </c>
      <c r="K1440">
        <v>3</v>
      </c>
      <c r="L1440" t="s">
        <v>39</v>
      </c>
      <c r="M1440">
        <v>1</v>
      </c>
      <c r="N1440" t="s">
        <v>40</v>
      </c>
      <c r="O1440" t="s">
        <v>75</v>
      </c>
      <c r="P1440">
        <v>1</v>
      </c>
      <c r="Q1440" t="s">
        <v>57</v>
      </c>
      <c r="R1440" t="s">
        <v>58</v>
      </c>
      <c r="S1440">
        <v>1</v>
      </c>
      <c r="T1440" t="s">
        <v>44</v>
      </c>
      <c r="U1440" t="s">
        <v>59</v>
      </c>
      <c r="V1440">
        <v>19</v>
      </c>
      <c r="W1440" t="s">
        <v>45</v>
      </c>
      <c r="X1440">
        <v>1</v>
      </c>
      <c r="Y1440">
        <v>2</v>
      </c>
      <c r="Z1440" t="s">
        <v>46</v>
      </c>
      <c r="AA1440">
        <v>1</v>
      </c>
      <c r="AB1440" t="s">
        <v>48</v>
      </c>
      <c r="AC1440">
        <v>0</v>
      </c>
      <c r="AD1440" t="s">
        <v>48</v>
      </c>
      <c r="AE1440">
        <v>1</v>
      </c>
      <c r="AF1440" t="s">
        <v>49</v>
      </c>
    </row>
    <row r="1441" spans="1:32" x14ac:dyDescent="0.25">
      <c r="A1441">
        <v>36</v>
      </c>
      <c r="B1441" t="s">
        <v>32</v>
      </c>
      <c r="C1441" t="s">
        <v>50</v>
      </c>
      <c r="D1441" t="s">
        <v>34</v>
      </c>
      <c r="E1441" t="s">
        <v>35</v>
      </c>
      <c r="F1441">
        <v>3</v>
      </c>
      <c r="G1441" t="s">
        <v>36</v>
      </c>
      <c r="H1441">
        <v>1</v>
      </c>
      <c r="I1441" t="s">
        <v>37</v>
      </c>
      <c r="J1441" t="s">
        <v>38</v>
      </c>
      <c r="K1441">
        <v>2</v>
      </c>
      <c r="L1441" t="s">
        <v>55</v>
      </c>
      <c r="M1441">
        <v>3</v>
      </c>
      <c r="N1441" t="s">
        <v>68</v>
      </c>
      <c r="O1441" t="s">
        <v>41</v>
      </c>
      <c r="P1441">
        <v>4</v>
      </c>
      <c r="Q1441" t="s">
        <v>42</v>
      </c>
      <c r="R1441" t="s">
        <v>58</v>
      </c>
      <c r="S1441">
        <v>0</v>
      </c>
      <c r="T1441" t="s">
        <v>44</v>
      </c>
      <c r="U1441" t="s">
        <v>59</v>
      </c>
      <c r="V1441">
        <v>19</v>
      </c>
      <c r="W1441" t="s">
        <v>45</v>
      </c>
      <c r="X1441">
        <v>10</v>
      </c>
      <c r="Y1441">
        <v>3</v>
      </c>
      <c r="Z1441" t="s">
        <v>61</v>
      </c>
      <c r="AA1441">
        <v>9</v>
      </c>
      <c r="AB1441" t="s">
        <v>47</v>
      </c>
      <c r="AC1441">
        <v>7</v>
      </c>
      <c r="AD1441" t="s">
        <v>47</v>
      </c>
      <c r="AE1441">
        <v>3</v>
      </c>
      <c r="AF1441" t="s">
        <v>49</v>
      </c>
    </row>
    <row r="1442" spans="1:32" x14ac:dyDescent="0.25">
      <c r="A1442">
        <v>36</v>
      </c>
      <c r="B1442" t="s">
        <v>32</v>
      </c>
      <c r="C1442" t="s">
        <v>50</v>
      </c>
      <c r="D1442" t="s">
        <v>51</v>
      </c>
      <c r="E1442" t="s">
        <v>52</v>
      </c>
      <c r="F1442">
        <v>4</v>
      </c>
      <c r="G1442" t="s">
        <v>36</v>
      </c>
      <c r="H1442">
        <v>4</v>
      </c>
      <c r="I1442" t="s">
        <v>42</v>
      </c>
      <c r="J1442" t="s">
        <v>38</v>
      </c>
      <c r="K1442">
        <v>3</v>
      </c>
      <c r="L1442" t="s">
        <v>39</v>
      </c>
      <c r="M1442">
        <v>2</v>
      </c>
      <c r="N1442" t="s">
        <v>40</v>
      </c>
      <c r="O1442" t="s">
        <v>69</v>
      </c>
      <c r="P1442">
        <v>2</v>
      </c>
      <c r="Q1442" t="s">
        <v>57</v>
      </c>
      <c r="R1442" t="s">
        <v>67</v>
      </c>
      <c r="S1442">
        <v>7</v>
      </c>
      <c r="T1442" t="s">
        <v>44</v>
      </c>
      <c r="U1442" t="s">
        <v>59</v>
      </c>
      <c r="V1442">
        <v>13</v>
      </c>
      <c r="W1442" t="s">
        <v>45</v>
      </c>
      <c r="X1442">
        <v>18</v>
      </c>
      <c r="Y1442">
        <v>3</v>
      </c>
      <c r="Z1442" t="s">
        <v>61</v>
      </c>
      <c r="AA1442">
        <v>4</v>
      </c>
      <c r="AB1442" t="s">
        <v>48</v>
      </c>
      <c r="AC1442">
        <v>2</v>
      </c>
      <c r="AD1442" t="s">
        <v>48</v>
      </c>
      <c r="AE1442">
        <v>0</v>
      </c>
      <c r="AF1442" t="s">
        <v>49</v>
      </c>
    </row>
    <row r="1443" spans="1:32" x14ac:dyDescent="0.25">
      <c r="A1443">
        <v>56</v>
      </c>
      <c r="B1443" t="s">
        <v>64</v>
      </c>
      <c r="C1443" t="s">
        <v>50</v>
      </c>
      <c r="D1443" t="s">
        <v>34</v>
      </c>
      <c r="E1443" t="s">
        <v>52</v>
      </c>
      <c r="F1443">
        <v>1</v>
      </c>
      <c r="G1443" t="s">
        <v>36</v>
      </c>
      <c r="H1443">
        <v>3</v>
      </c>
      <c r="I1443" t="s">
        <v>42</v>
      </c>
      <c r="J1443" t="s">
        <v>54</v>
      </c>
      <c r="K1443">
        <v>3</v>
      </c>
      <c r="L1443" t="s">
        <v>39</v>
      </c>
      <c r="M1443">
        <v>2</v>
      </c>
      <c r="N1443" t="s">
        <v>40</v>
      </c>
      <c r="O1443" t="s">
        <v>70</v>
      </c>
      <c r="P1443">
        <v>3</v>
      </c>
      <c r="Q1443" t="s">
        <v>42</v>
      </c>
      <c r="R1443" t="s">
        <v>67</v>
      </c>
      <c r="S1443">
        <v>1</v>
      </c>
      <c r="T1443" t="s">
        <v>44</v>
      </c>
      <c r="U1443" t="s">
        <v>59</v>
      </c>
      <c r="V1443">
        <v>21</v>
      </c>
      <c r="W1443" t="s">
        <v>60</v>
      </c>
      <c r="X1443">
        <v>13</v>
      </c>
      <c r="Y1443">
        <v>2</v>
      </c>
      <c r="Z1443" t="s">
        <v>46</v>
      </c>
      <c r="AA1443">
        <v>13</v>
      </c>
      <c r="AB1443" t="s">
        <v>74</v>
      </c>
      <c r="AC1443">
        <v>12</v>
      </c>
      <c r="AD1443" t="s">
        <v>74</v>
      </c>
      <c r="AE1443">
        <v>1</v>
      </c>
      <c r="AF1443" t="s">
        <v>49</v>
      </c>
    </row>
    <row r="1444" spans="1:32" x14ac:dyDescent="0.25">
      <c r="A1444">
        <v>29</v>
      </c>
      <c r="B1444" t="s">
        <v>63</v>
      </c>
      <c r="C1444" t="s">
        <v>33</v>
      </c>
      <c r="D1444" t="s">
        <v>34</v>
      </c>
      <c r="E1444" t="s">
        <v>52</v>
      </c>
      <c r="F1444">
        <v>1</v>
      </c>
      <c r="G1444" t="s">
        <v>36</v>
      </c>
      <c r="H1444">
        <v>1</v>
      </c>
      <c r="I1444" t="s">
        <v>37</v>
      </c>
      <c r="J1444" t="s">
        <v>54</v>
      </c>
      <c r="K1444">
        <v>3</v>
      </c>
      <c r="L1444" t="s">
        <v>39</v>
      </c>
      <c r="M1444">
        <v>1</v>
      </c>
      <c r="N1444" t="s">
        <v>40</v>
      </c>
      <c r="O1444" t="s">
        <v>56</v>
      </c>
      <c r="P1444">
        <v>4</v>
      </c>
      <c r="Q1444" t="s">
        <v>42</v>
      </c>
      <c r="R1444" t="s">
        <v>58</v>
      </c>
      <c r="S1444">
        <v>9</v>
      </c>
      <c r="T1444" t="s">
        <v>44</v>
      </c>
      <c r="U1444" t="s">
        <v>44</v>
      </c>
      <c r="V1444">
        <v>14</v>
      </c>
      <c r="W1444" t="s">
        <v>45</v>
      </c>
      <c r="X1444">
        <v>4</v>
      </c>
      <c r="Y1444">
        <v>4</v>
      </c>
      <c r="Z1444" t="s">
        <v>61</v>
      </c>
      <c r="AA1444">
        <v>2</v>
      </c>
      <c r="AB1444" t="s">
        <v>48</v>
      </c>
      <c r="AC1444">
        <v>2</v>
      </c>
      <c r="AD1444" t="s">
        <v>48</v>
      </c>
      <c r="AE1444">
        <v>2</v>
      </c>
      <c r="AF1444" t="s">
        <v>49</v>
      </c>
    </row>
    <row r="1445" spans="1:32" x14ac:dyDescent="0.25">
      <c r="A1445">
        <v>42</v>
      </c>
      <c r="B1445" t="s">
        <v>32</v>
      </c>
      <c r="C1445" t="s">
        <v>50</v>
      </c>
      <c r="D1445" t="s">
        <v>34</v>
      </c>
      <c r="E1445" t="s">
        <v>52</v>
      </c>
      <c r="F1445">
        <v>2</v>
      </c>
      <c r="G1445" t="s">
        <v>36</v>
      </c>
      <c r="H1445">
        <v>1</v>
      </c>
      <c r="I1445" t="s">
        <v>37</v>
      </c>
      <c r="J1445" t="s">
        <v>54</v>
      </c>
      <c r="K1445">
        <v>3</v>
      </c>
      <c r="L1445" t="s">
        <v>39</v>
      </c>
      <c r="M1445">
        <v>5</v>
      </c>
      <c r="N1445" t="s">
        <v>72</v>
      </c>
      <c r="O1445" t="s">
        <v>73</v>
      </c>
      <c r="P1445">
        <v>3</v>
      </c>
      <c r="Q1445" t="s">
        <v>42</v>
      </c>
      <c r="R1445" t="s">
        <v>58</v>
      </c>
      <c r="S1445">
        <v>5</v>
      </c>
      <c r="T1445" t="s">
        <v>44</v>
      </c>
      <c r="U1445" t="s">
        <v>59</v>
      </c>
      <c r="V1445">
        <v>11</v>
      </c>
      <c r="W1445" t="s">
        <v>45</v>
      </c>
      <c r="X1445">
        <v>24</v>
      </c>
      <c r="Y1445">
        <v>2</v>
      </c>
      <c r="Z1445" t="s">
        <v>46</v>
      </c>
      <c r="AA1445">
        <v>22</v>
      </c>
      <c r="AB1445" t="s">
        <v>74</v>
      </c>
      <c r="AC1445">
        <v>6</v>
      </c>
      <c r="AD1445" t="s">
        <v>47</v>
      </c>
      <c r="AE1445">
        <v>4</v>
      </c>
      <c r="AF1445" t="s">
        <v>71</v>
      </c>
    </row>
    <row r="1446" spans="1:32" x14ac:dyDescent="0.25">
      <c r="A1446">
        <v>56</v>
      </c>
      <c r="B1446" t="s">
        <v>64</v>
      </c>
      <c r="C1446" t="s">
        <v>33</v>
      </c>
      <c r="D1446" t="s">
        <v>34</v>
      </c>
      <c r="E1446" t="s">
        <v>52</v>
      </c>
      <c r="F1446">
        <v>7</v>
      </c>
      <c r="G1446" t="s">
        <v>53</v>
      </c>
      <c r="H1446">
        <v>4</v>
      </c>
      <c r="I1446" t="s">
        <v>42</v>
      </c>
      <c r="J1446" t="s">
        <v>54</v>
      </c>
      <c r="K1446">
        <v>3</v>
      </c>
      <c r="L1446" t="s">
        <v>39</v>
      </c>
      <c r="M1446">
        <v>1</v>
      </c>
      <c r="N1446" t="s">
        <v>40</v>
      </c>
      <c r="O1446" t="s">
        <v>62</v>
      </c>
      <c r="P1446">
        <v>3</v>
      </c>
      <c r="Q1446" t="s">
        <v>42</v>
      </c>
      <c r="R1446" t="s">
        <v>58</v>
      </c>
      <c r="S1446">
        <v>8</v>
      </c>
      <c r="T1446" t="s">
        <v>44</v>
      </c>
      <c r="U1446" t="s">
        <v>59</v>
      </c>
      <c r="V1446">
        <v>11</v>
      </c>
      <c r="W1446" t="s">
        <v>45</v>
      </c>
      <c r="X1446">
        <v>14</v>
      </c>
      <c r="Y1446">
        <v>1</v>
      </c>
      <c r="Z1446" t="s">
        <v>46</v>
      </c>
      <c r="AA1446">
        <v>10</v>
      </c>
      <c r="AB1446" t="s">
        <v>47</v>
      </c>
      <c r="AC1446">
        <v>9</v>
      </c>
      <c r="AD1446" t="s">
        <v>47</v>
      </c>
      <c r="AE1446">
        <v>9</v>
      </c>
      <c r="AF1446" t="s">
        <v>71</v>
      </c>
    </row>
    <row r="1447" spans="1:32" x14ac:dyDescent="0.25">
      <c r="A1447">
        <v>41</v>
      </c>
      <c r="B1447" t="s">
        <v>32</v>
      </c>
      <c r="C1447" t="s">
        <v>50</v>
      </c>
      <c r="D1447" t="s">
        <v>34</v>
      </c>
      <c r="E1447" t="s">
        <v>52</v>
      </c>
      <c r="F1447">
        <v>28</v>
      </c>
      <c r="G1447" t="s">
        <v>66</v>
      </c>
      <c r="H1447">
        <v>1</v>
      </c>
      <c r="I1447" t="s">
        <v>37</v>
      </c>
      <c r="J1447" t="s">
        <v>38</v>
      </c>
      <c r="K1447">
        <v>2</v>
      </c>
      <c r="L1447" t="s">
        <v>55</v>
      </c>
      <c r="M1447">
        <v>4</v>
      </c>
      <c r="N1447" t="s">
        <v>72</v>
      </c>
      <c r="O1447" t="s">
        <v>69</v>
      </c>
      <c r="P1447">
        <v>2</v>
      </c>
      <c r="Q1447" t="s">
        <v>57</v>
      </c>
      <c r="R1447" t="s">
        <v>58</v>
      </c>
      <c r="S1447">
        <v>0</v>
      </c>
      <c r="T1447" t="s">
        <v>44</v>
      </c>
      <c r="U1447" t="s">
        <v>59</v>
      </c>
      <c r="V1447">
        <v>23</v>
      </c>
      <c r="W1447" t="s">
        <v>60</v>
      </c>
      <c r="X1447">
        <v>21</v>
      </c>
      <c r="Y1447">
        <v>3</v>
      </c>
      <c r="Z1447" t="s">
        <v>61</v>
      </c>
      <c r="AA1447">
        <v>20</v>
      </c>
      <c r="AB1447" t="s">
        <v>74</v>
      </c>
      <c r="AC1447">
        <v>7</v>
      </c>
      <c r="AD1447" t="s">
        <v>47</v>
      </c>
      <c r="AE1447">
        <v>0</v>
      </c>
      <c r="AF1447" t="s">
        <v>49</v>
      </c>
    </row>
    <row r="1448" spans="1:32" x14ac:dyDescent="0.25">
      <c r="A1448">
        <v>34</v>
      </c>
      <c r="B1448" t="s">
        <v>32</v>
      </c>
      <c r="C1448" t="s">
        <v>50</v>
      </c>
      <c r="D1448" t="s">
        <v>34</v>
      </c>
      <c r="E1448" t="s">
        <v>35</v>
      </c>
      <c r="F1448">
        <v>28</v>
      </c>
      <c r="G1448" t="s">
        <v>66</v>
      </c>
      <c r="H1448">
        <v>4</v>
      </c>
      <c r="I1448" t="s">
        <v>42</v>
      </c>
      <c r="J1448" t="s">
        <v>38</v>
      </c>
      <c r="K1448">
        <v>2</v>
      </c>
      <c r="L1448" t="s">
        <v>55</v>
      </c>
      <c r="M1448">
        <v>2</v>
      </c>
      <c r="N1448" t="s">
        <v>40</v>
      </c>
      <c r="O1448" t="s">
        <v>41</v>
      </c>
      <c r="P1448">
        <v>3</v>
      </c>
      <c r="Q1448" t="s">
        <v>42</v>
      </c>
      <c r="R1448" t="s">
        <v>58</v>
      </c>
      <c r="S1448">
        <v>1</v>
      </c>
      <c r="T1448" t="s">
        <v>44</v>
      </c>
      <c r="U1448" t="s">
        <v>59</v>
      </c>
      <c r="V1448">
        <v>21</v>
      </c>
      <c r="W1448" t="s">
        <v>60</v>
      </c>
      <c r="X1448">
        <v>8</v>
      </c>
      <c r="Y1448">
        <v>3</v>
      </c>
      <c r="Z1448" t="s">
        <v>61</v>
      </c>
      <c r="AA1448">
        <v>8</v>
      </c>
      <c r="AB1448" t="s">
        <v>47</v>
      </c>
      <c r="AC1448">
        <v>7</v>
      </c>
      <c r="AD1448" t="s">
        <v>47</v>
      </c>
      <c r="AE1448">
        <v>1</v>
      </c>
      <c r="AF1448" t="s">
        <v>49</v>
      </c>
    </row>
    <row r="1449" spans="1:32" x14ac:dyDescent="0.25">
      <c r="A1449">
        <v>36</v>
      </c>
      <c r="B1449" t="s">
        <v>32</v>
      </c>
      <c r="C1449" t="s">
        <v>50</v>
      </c>
      <c r="D1449" t="s">
        <v>34</v>
      </c>
      <c r="E1449" t="s">
        <v>35</v>
      </c>
      <c r="F1449">
        <v>15</v>
      </c>
      <c r="G1449" t="s">
        <v>66</v>
      </c>
      <c r="H1449">
        <v>4</v>
      </c>
      <c r="I1449" t="s">
        <v>42</v>
      </c>
      <c r="J1449" t="s">
        <v>54</v>
      </c>
      <c r="K1449">
        <v>1</v>
      </c>
      <c r="L1449" t="s">
        <v>55</v>
      </c>
      <c r="M1449">
        <v>2</v>
      </c>
      <c r="N1449" t="s">
        <v>40</v>
      </c>
      <c r="O1449" t="s">
        <v>41</v>
      </c>
      <c r="P1449">
        <v>4</v>
      </c>
      <c r="Q1449" t="s">
        <v>42</v>
      </c>
      <c r="R1449" t="s">
        <v>67</v>
      </c>
      <c r="S1449">
        <v>1</v>
      </c>
      <c r="T1449" t="s">
        <v>44</v>
      </c>
      <c r="U1449" t="s">
        <v>59</v>
      </c>
      <c r="V1449">
        <v>24</v>
      </c>
      <c r="W1449" t="s">
        <v>60</v>
      </c>
      <c r="X1449">
        <v>15</v>
      </c>
      <c r="Y1449">
        <v>2</v>
      </c>
      <c r="Z1449" t="s">
        <v>46</v>
      </c>
      <c r="AA1449">
        <v>15</v>
      </c>
      <c r="AB1449" t="s">
        <v>74</v>
      </c>
      <c r="AC1449">
        <v>12</v>
      </c>
      <c r="AD1449" t="s">
        <v>74</v>
      </c>
      <c r="AE1449">
        <v>11</v>
      </c>
      <c r="AF1449" t="s">
        <v>71</v>
      </c>
    </row>
    <row r="1450" spans="1:32" x14ac:dyDescent="0.25">
      <c r="A1450">
        <v>41</v>
      </c>
      <c r="B1450" t="s">
        <v>32</v>
      </c>
      <c r="C1450" t="s">
        <v>50</v>
      </c>
      <c r="D1450" t="s">
        <v>34</v>
      </c>
      <c r="E1450" t="s">
        <v>35</v>
      </c>
      <c r="F1450">
        <v>3</v>
      </c>
      <c r="G1450" t="s">
        <v>36</v>
      </c>
      <c r="H1450">
        <v>3</v>
      </c>
      <c r="I1450" t="s">
        <v>42</v>
      </c>
      <c r="J1450" t="s">
        <v>54</v>
      </c>
      <c r="K1450">
        <v>2</v>
      </c>
      <c r="L1450" t="s">
        <v>55</v>
      </c>
      <c r="M1450">
        <v>2</v>
      </c>
      <c r="N1450" t="s">
        <v>40</v>
      </c>
      <c r="O1450" t="s">
        <v>41</v>
      </c>
      <c r="P1450">
        <v>2</v>
      </c>
      <c r="Q1450" t="s">
        <v>57</v>
      </c>
      <c r="R1450" t="s">
        <v>67</v>
      </c>
      <c r="S1450">
        <v>2</v>
      </c>
      <c r="T1450" t="s">
        <v>44</v>
      </c>
      <c r="U1450" t="s">
        <v>59</v>
      </c>
      <c r="V1450">
        <v>11</v>
      </c>
      <c r="W1450" t="s">
        <v>45</v>
      </c>
      <c r="X1450">
        <v>14</v>
      </c>
      <c r="Y1450">
        <v>3</v>
      </c>
      <c r="Z1450" t="s">
        <v>61</v>
      </c>
      <c r="AA1450">
        <v>5</v>
      </c>
      <c r="AB1450" t="s">
        <v>47</v>
      </c>
      <c r="AC1450">
        <v>4</v>
      </c>
      <c r="AD1450" t="s">
        <v>48</v>
      </c>
      <c r="AE1450">
        <v>0</v>
      </c>
      <c r="AF1450" t="s">
        <v>49</v>
      </c>
    </row>
    <row r="1451" spans="1:32" x14ac:dyDescent="0.25">
      <c r="A1451">
        <v>32</v>
      </c>
      <c r="B1451" t="s">
        <v>32</v>
      </c>
      <c r="C1451" t="s">
        <v>50</v>
      </c>
      <c r="D1451" t="s">
        <v>34</v>
      </c>
      <c r="E1451" t="s">
        <v>52</v>
      </c>
      <c r="F1451">
        <v>2</v>
      </c>
      <c r="G1451" t="s">
        <v>36</v>
      </c>
      <c r="H1451">
        <v>4</v>
      </c>
      <c r="I1451" t="s">
        <v>42</v>
      </c>
      <c r="J1451" t="s">
        <v>54</v>
      </c>
      <c r="K1451">
        <v>3</v>
      </c>
      <c r="L1451" t="s">
        <v>39</v>
      </c>
      <c r="M1451">
        <v>1</v>
      </c>
      <c r="N1451" t="s">
        <v>40</v>
      </c>
      <c r="O1451" t="s">
        <v>56</v>
      </c>
      <c r="P1451">
        <v>1</v>
      </c>
      <c r="Q1451" t="s">
        <v>57</v>
      </c>
      <c r="R1451" t="s">
        <v>43</v>
      </c>
      <c r="S1451">
        <v>1</v>
      </c>
      <c r="T1451" t="s">
        <v>44</v>
      </c>
      <c r="U1451" t="s">
        <v>59</v>
      </c>
      <c r="V1451">
        <v>14</v>
      </c>
      <c r="W1451" t="s">
        <v>45</v>
      </c>
      <c r="X1451">
        <v>4</v>
      </c>
      <c r="Y1451">
        <v>3</v>
      </c>
      <c r="Z1451" t="s">
        <v>61</v>
      </c>
      <c r="AA1451">
        <v>4</v>
      </c>
      <c r="AB1451" t="s">
        <v>48</v>
      </c>
      <c r="AC1451">
        <v>2</v>
      </c>
      <c r="AD1451" t="s">
        <v>48</v>
      </c>
      <c r="AE1451">
        <v>1</v>
      </c>
      <c r="AF1451" t="s">
        <v>49</v>
      </c>
    </row>
    <row r="1452" spans="1:32" x14ac:dyDescent="0.25">
      <c r="A1452">
        <v>35</v>
      </c>
      <c r="B1452" t="s">
        <v>32</v>
      </c>
      <c r="C1452" t="s">
        <v>50</v>
      </c>
      <c r="D1452" t="s">
        <v>34</v>
      </c>
      <c r="E1452" t="s">
        <v>77</v>
      </c>
      <c r="F1452">
        <v>26</v>
      </c>
      <c r="G1452" t="s">
        <v>66</v>
      </c>
      <c r="H1452">
        <v>3</v>
      </c>
      <c r="I1452" t="s">
        <v>42</v>
      </c>
      <c r="J1452" t="s">
        <v>38</v>
      </c>
      <c r="K1452">
        <v>3</v>
      </c>
      <c r="L1452" t="s">
        <v>39</v>
      </c>
      <c r="M1452">
        <v>3</v>
      </c>
      <c r="N1452" t="s">
        <v>68</v>
      </c>
      <c r="O1452" t="s">
        <v>77</v>
      </c>
      <c r="P1452">
        <v>4</v>
      </c>
      <c r="Q1452" t="s">
        <v>42</v>
      </c>
      <c r="R1452" t="s">
        <v>43</v>
      </c>
      <c r="S1452">
        <v>1</v>
      </c>
      <c r="T1452" t="s">
        <v>44</v>
      </c>
      <c r="U1452" t="s">
        <v>44</v>
      </c>
      <c r="V1452">
        <v>16</v>
      </c>
      <c r="W1452" t="s">
        <v>45</v>
      </c>
      <c r="X1452">
        <v>9</v>
      </c>
      <c r="Y1452">
        <v>3</v>
      </c>
      <c r="Z1452" t="s">
        <v>61</v>
      </c>
      <c r="AA1452">
        <v>9</v>
      </c>
      <c r="AB1452" t="s">
        <v>47</v>
      </c>
      <c r="AC1452">
        <v>0</v>
      </c>
      <c r="AD1452" t="s">
        <v>48</v>
      </c>
      <c r="AE1452">
        <v>1</v>
      </c>
      <c r="AF1452" t="s">
        <v>49</v>
      </c>
    </row>
    <row r="1453" spans="1:32" x14ac:dyDescent="0.25">
      <c r="A1453">
        <v>38</v>
      </c>
      <c r="B1453" t="s">
        <v>32</v>
      </c>
      <c r="C1453" t="s">
        <v>50</v>
      </c>
      <c r="D1453" t="s">
        <v>34</v>
      </c>
      <c r="E1453" t="s">
        <v>35</v>
      </c>
      <c r="F1453">
        <v>10</v>
      </c>
      <c r="G1453" t="s">
        <v>53</v>
      </c>
      <c r="H1453">
        <v>1</v>
      </c>
      <c r="I1453" t="s">
        <v>37</v>
      </c>
      <c r="J1453" t="s">
        <v>38</v>
      </c>
      <c r="K1453">
        <v>3</v>
      </c>
      <c r="L1453" t="s">
        <v>39</v>
      </c>
      <c r="M1453">
        <v>2</v>
      </c>
      <c r="N1453" t="s">
        <v>40</v>
      </c>
      <c r="O1453" t="s">
        <v>41</v>
      </c>
      <c r="P1453">
        <v>4</v>
      </c>
      <c r="Q1453" t="s">
        <v>42</v>
      </c>
      <c r="R1453" t="s">
        <v>58</v>
      </c>
      <c r="S1453">
        <v>1</v>
      </c>
      <c r="T1453" t="s">
        <v>44</v>
      </c>
      <c r="U1453" t="s">
        <v>59</v>
      </c>
      <c r="V1453">
        <v>11</v>
      </c>
      <c r="W1453" t="s">
        <v>45</v>
      </c>
      <c r="X1453">
        <v>10</v>
      </c>
      <c r="Y1453">
        <v>3</v>
      </c>
      <c r="Z1453" t="s">
        <v>61</v>
      </c>
      <c r="AA1453">
        <v>10</v>
      </c>
      <c r="AB1453" t="s">
        <v>47</v>
      </c>
      <c r="AC1453">
        <v>7</v>
      </c>
      <c r="AD1453" t="s">
        <v>47</v>
      </c>
      <c r="AE1453">
        <v>1</v>
      </c>
      <c r="AF1453" t="s">
        <v>49</v>
      </c>
    </row>
    <row r="1454" spans="1:32" x14ac:dyDescent="0.25">
      <c r="A1454">
        <v>50</v>
      </c>
      <c r="B1454" t="s">
        <v>32</v>
      </c>
      <c r="C1454" t="s">
        <v>33</v>
      </c>
      <c r="D1454" t="s">
        <v>51</v>
      </c>
      <c r="E1454" t="s">
        <v>35</v>
      </c>
      <c r="F1454">
        <v>1</v>
      </c>
      <c r="G1454" t="s">
        <v>36</v>
      </c>
      <c r="H1454">
        <v>2</v>
      </c>
      <c r="I1454" t="s">
        <v>37</v>
      </c>
      <c r="J1454" t="s">
        <v>54</v>
      </c>
      <c r="K1454">
        <v>3</v>
      </c>
      <c r="L1454" t="s">
        <v>39</v>
      </c>
      <c r="M1454">
        <v>2</v>
      </c>
      <c r="N1454" t="s">
        <v>40</v>
      </c>
      <c r="O1454" t="s">
        <v>41</v>
      </c>
      <c r="P1454">
        <v>3</v>
      </c>
      <c r="Q1454" t="s">
        <v>42</v>
      </c>
      <c r="R1454" t="s">
        <v>67</v>
      </c>
      <c r="S1454">
        <v>7</v>
      </c>
      <c r="T1454" t="s">
        <v>44</v>
      </c>
      <c r="U1454" t="s">
        <v>59</v>
      </c>
      <c r="V1454">
        <v>12</v>
      </c>
      <c r="W1454" t="s">
        <v>45</v>
      </c>
      <c r="X1454">
        <v>12</v>
      </c>
      <c r="Y1454">
        <v>3</v>
      </c>
      <c r="Z1454" t="s">
        <v>61</v>
      </c>
      <c r="AA1454">
        <v>6</v>
      </c>
      <c r="AB1454" t="s">
        <v>47</v>
      </c>
      <c r="AC1454">
        <v>3</v>
      </c>
      <c r="AD1454" t="s">
        <v>48</v>
      </c>
      <c r="AE1454">
        <v>0</v>
      </c>
      <c r="AF1454" t="s">
        <v>49</v>
      </c>
    </row>
    <row r="1455" spans="1:32" x14ac:dyDescent="0.25">
      <c r="A1455">
        <v>36</v>
      </c>
      <c r="B1455" t="s">
        <v>32</v>
      </c>
      <c r="C1455" t="s">
        <v>50</v>
      </c>
      <c r="D1455" t="s">
        <v>34</v>
      </c>
      <c r="E1455" t="s">
        <v>35</v>
      </c>
      <c r="F1455">
        <v>11</v>
      </c>
      <c r="G1455" t="s">
        <v>53</v>
      </c>
      <c r="H1455">
        <v>2</v>
      </c>
      <c r="I1455" t="s">
        <v>37</v>
      </c>
      <c r="J1455" t="s">
        <v>38</v>
      </c>
      <c r="K1455">
        <v>2</v>
      </c>
      <c r="L1455" t="s">
        <v>55</v>
      </c>
      <c r="M1455">
        <v>2</v>
      </c>
      <c r="N1455" t="s">
        <v>40</v>
      </c>
      <c r="O1455" t="s">
        <v>41</v>
      </c>
      <c r="P1455">
        <v>4</v>
      </c>
      <c r="Q1455" t="s">
        <v>42</v>
      </c>
      <c r="R1455" t="s">
        <v>58</v>
      </c>
      <c r="S1455">
        <v>4</v>
      </c>
      <c r="T1455" t="s">
        <v>44</v>
      </c>
      <c r="U1455" t="s">
        <v>59</v>
      </c>
      <c r="V1455">
        <v>13</v>
      </c>
      <c r="W1455" t="s">
        <v>45</v>
      </c>
      <c r="X1455">
        <v>8</v>
      </c>
      <c r="Y1455">
        <v>2</v>
      </c>
      <c r="Z1455" t="s">
        <v>46</v>
      </c>
      <c r="AA1455">
        <v>6</v>
      </c>
      <c r="AB1455" t="s">
        <v>47</v>
      </c>
      <c r="AC1455">
        <v>3</v>
      </c>
      <c r="AD1455" t="s">
        <v>48</v>
      </c>
      <c r="AE1455">
        <v>0</v>
      </c>
      <c r="AF1455" t="s">
        <v>49</v>
      </c>
    </row>
    <row r="1456" spans="1:32" x14ac:dyDescent="0.25">
      <c r="A1456">
        <v>45</v>
      </c>
      <c r="B1456" t="s">
        <v>32</v>
      </c>
      <c r="C1456" t="s">
        <v>50</v>
      </c>
      <c r="D1456" t="s">
        <v>34</v>
      </c>
      <c r="E1456" t="s">
        <v>35</v>
      </c>
      <c r="F1456">
        <v>20</v>
      </c>
      <c r="G1456" t="s">
        <v>66</v>
      </c>
      <c r="H1456">
        <v>4</v>
      </c>
      <c r="I1456" t="s">
        <v>42</v>
      </c>
      <c r="J1456" t="s">
        <v>38</v>
      </c>
      <c r="K1456">
        <v>3</v>
      </c>
      <c r="L1456" t="s">
        <v>39</v>
      </c>
      <c r="M1456">
        <v>2</v>
      </c>
      <c r="N1456" t="s">
        <v>40</v>
      </c>
      <c r="O1456" t="s">
        <v>41</v>
      </c>
      <c r="P1456">
        <v>3</v>
      </c>
      <c r="Q1456" t="s">
        <v>42</v>
      </c>
      <c r="R1456" t="s">
        <v>43</v>
      </c>
      <c r="S1456">
        <v>8</v>
      </c>
      <c r="T1456" t="s">
        <v>44</v>
      </c>
      <c r="U1456" t="s">
        <v>59</v>
      </c>
      <c r="V1456">
        <v>15</v>
      </c>
      <c r="W1456" t="s">
        <v>45</v>
      </c>
      <c r="X1456">
        <v>8</v>
      </c>
      <c r="Y1456">
        <v>3</v>
      </c>
      <c r="Z1456" t="s">
        <v>61</v>
      </c>
      <c r="AA1456">
        <v>5</v>
      </c>
      <c r="AB1456" t="s">
        <v>47</v>
      </c>
      <c r="AC1456">
        <v>3</v>
      </c>
      <c r="AD1456" t="s">
        <v>48</v>
      </c>
      <c r="AE1456">
        <v>0</v>
      </c>
      <c r="AF1456" t="s">
        <v>49</v>
      </c>
    </row>
    <row r="1457" spans="1:32" x14ac:dyDescent="0.25">
      <c r="A1457">
        <v>40</v>
      </c>
      <c r="B1457" t="s">
        <v>32</v>
      </c>
      <c r="C1457" t="s">
        <v>50</v>
      </c>
      <c r="D1457" t="s">
        <v>34</v>
      </c>
      <c r="E1457" t="s">
        <v>52</v>
      </c>
      <c r="F1457">
        <v>2</v>
      </c>
      <c r="G1457" t="s">
        <v>36</v>
      </c>
      <c r="H1457">
        <v>3</v>
      </c>
      <c r="I1457" t="s">
        <v>42</v>
      </c>
      <c r="J1457" t="s">
        <v>54</v>
      </c>
      <c r="K1457">
        <v>2</v>
      </c>
      <c r="L1457" t="s">
        <v>55</v>
      </c>
      <c r="M1457">
        <v>1</v>
      </c>
      <c r="N1457" t="s">
        <v>40</v>
      </c>
      <c r="O1457" t="s">
        <v>56</v>
      </c>
      <c r="P1457">
        <v>3</v>
      </c>
      <c r="Q1457" t="s">
        <v>42</v>
      </c>
      <c r="R1457" t="s">
        <v>43</v>
      </c>
      <c r="S1457">
        <v>2</v>
      </c>
      <c r="T1457" t="s">
        <v>44</v>
      </c>
      <c r="U1457" t="s">
        <v>59</v>
      </c>
      <c r="V1457">
        <v>14</v>
      </c>
      <c r="W1457" t="s">
        <v>45</v>
      </c>
      <c r="X1457">
        <v>8</v>
      </c>
      <c r="Y1457">
        <v>3</v>
      </c>
      <c r="Z1457" t="s">
        <v>61</v>
      </c>
      <c r="AA1457">
        <v>2</v>
      </c>
      <c r="AB1457" t="s">
        <v>48</v>
      </c>
      <c r="AC1457">
        <v>2</v>
      </c>
      <c r="AD1457" t="s">
        <v>48</v>
      </c>
      <c r="AE1457">
        <v>2</v>
      </c>
      <c r="AF1457" t="s">
        <v>49</v>
      </c>
    </row>
    <row r="1458" spans="1:32" x14ac:dyDescent="0.25">
      <c r="A1458">
        <v>35</v>
      </c>
      <c r="B1458" t="s">
        <v>32</v>
      </c>
      <c r="C1458" t="s">
        <v>50</v>
      </c>
      <c r="D1458" t="s">
        <v>51</v>
      </c>
      <c r="E1458" t="s">
        <v>52</v>
      </c>
      <c r="F1458">
        <v>18</v>
      </c>
      <c r="G1458" t="s">
        <v>66</v>
      </c>
      <c r="H1458">
        <v>3</v>
      </c>
      <c r="I1458" t="s">
        <v>42</v>
      </c>
      <c r="J1458" t="s">
        <v>54</v>
      </c>
      <c r="K1458">
        <v>3</v>
      </c>
      <c r="L1458" t="s">
        <v>39</v>
      </c>
      <c r="M1458">
        <v>2</v>
      </c>
      <c r="N1458" t="s">
        <v>40</v>
      </c>
      <c r="O1458" t="s">
        <v>70</v>
      </c>
      <c r="P1458">
        <v>3</v>
      </c>
      <c r="Q1458" t="s">
        <v>42</v>
      </c>
      <c r="R1458" t="s">
        <v>58</v>
      </c>
      <c r="S1458">
        <v>1</v>
      </c>
      <c r="T1458" t="s">
        <v>44</v>
      </c>
      <c r="U1458" t="s">
        <v>44</v>
      </c>
      <c r="V1458">
        <v>14</v>
      </c>
      <c r="W1458" t="s">
        <v>45</v>
      </c>
      <c r="X1458">
        <v>10</v>
      </c>
      <c r="Y1458">
        <v>4</v>
      </c>
      <c r="Z1458" t="s">
        <v>61</v>
      </c>
      <c r="AA1458">
        <v>10</v>
      </c>
      <c r="AB1458" t="s">
        <v>47</v>
      </c>
      <c r="AC1458">
        <v>2</v>
      </c>
      <c r="AD1458" t="s">
        <v>48</v>
      </c>
      <c r="AE1458">
        <v>0</v>
      </c>
      <c r="AF1458" t="s">
        <v>49</v>
      </c>
    </row>
    <row r="1459" spans="1:32" x14ac:dyDescent="0.25">
      <c r="A1459">
        <v>40</v>
      </c>
      <c r="B1459" t="s">
        <v>32</v>
      </c>
      <c r="C1459" t="s">
        <v>50</v>
      </c>
      <c r="D1459" t="s">
        <v>34</v>
      </c>
      <c r="E1459" t="s">
        <v>52</v>
      </c>
      <c r="F1459">
        <v>2</v>
      </c>
      <c r="G1459" t="s">
        <v>36</v>
      </c>
      <c r="H1459">
        <v>3</v>
      </c>
      <c r="I1459" t="s">
        <v>42</v>
      </c>
      <c r="J1459" t="s">
        <v>38</v>
      </c>
      <c r="K1459">
        <v>3</v>
      </c>
      <c r="L1459" t="s">
        <v>39</v>
      </c>
      <c r="M1459">
        <v>1</v>
      </c>
      <c r="N1459" t="s">
        <v>40</v>
      </c>
      <c r="O1459" t="s">
        <v>56</v>
      </c>
      <c r="P1459">
        <v>3</v>
      </c>
      <c r="Q1459" t="s">
        <v>42</v>
      </c>
      <c r="R1459" t="s">
        <v>58</v>
      </c>
      <c r="S1459">
        <v>2</v>
      </c>
      <c r="T1459" t="s">
        <v>44</v>
      </c>
      <c r="U1459" t="s">
        <v>59</v>
      </c>
      <c r="V1459">
        <v>14</v>
      </c>
      <c r="W1459" t="s">
        <v>45</v>
      </c>
      <c r="X1459">
        <v>20</v>
      </c>
      <c r="Y1459">
        <v>3</v>
      </c>
      <c r="Z1459" t="s">
        <v>61</v>
      </c>
      <c r="AA1459">
        <v>5</v>
      </c>
      <c r="AB1459" t="s">
        <v>47</v>
      </c>
      <c r="AC1459">
        <v>3</v>
      </c>
      <c r="AD1459" t="s">
        <v>48</v>
      </c>
      <c r="AE1459">
        <v>0</v>
      </c>
      <c r="AF1459" t="s">
        <v>49</v>
      </c>
    </row>
    <row r="1460" spans="1:32" x14ac:dyDescent="0.25">
      <c r="A1460">
        <v>35</v>
      </c>
      <c r="B1460" t="s">
        <v>32</v>
      </c>
      <c r="C1460" t="s">
        <v>50</v>
      </c>
      <c r="D1460" t="s">
        <v>34</v>
      </c>
      <c r="E1460" t="s">
        <v>52</v>
      </c>
      <c r="F1460">
        <v>1</v>
      </c>
      <c r="G1460" t="s">
        <v>36</v>
      </c>
      <c r="H1460">
        <v>3</v>
      </c>
      <c r="I1460" t="s">
        <v>42</v>
      </c>
      <c r="J1460" t="s">
        <v>38</v>
      </c>
      <c r="K1460">
        <v>1</v>
      </c>
      <c r="L1460" t="s">
        <v>55</v>
      </c>
      <c r="M1460">
        <v>1</v>
      </c>
      <c r="N1460" t="s">
        <v>40</v>
      </c>
      <c r="O1460" t="s">
        <v>56</v>
      </c>
      <c r="P1460">
        <v>4</v>
      </c>
      <c r="Q1460" t="s">
        <v>42</v>
      </c>
      <c r="R1460" t="s">
        <v>58</v>
      </c>
      <c r="S1460">
        <v>1</v>
      </c>
      <c r="T1460" t="s">
        <v>44</v>
      </c>
      <c r="U1460" t="s">
        <v>59</v>
      </c>
      <c r="V1460">
        <v>12</v>
      </c>
      <c r="W1460" t="s">
        <v>45</v>
      </c>
      <c r="X1460">
        <v>4</v>
      </c>
      <c r="Y1460">
        <v>3</v>
      </c>
      <c r="Z1460" t="s">
        <v>61</v>
      </c>
      <c r="AA1460">
        <v>4</v>
      </c>
      <c r="AB1460" t="s">
        <v>48</v>
      </c>
      <c r="AC1460">
        <v>3</v>
      </c>
      <c r="AD1460" t="s">
        <v>48</v>
      </c>
      <c r="AE1460">
        <v>1</v>
      </c>
      <c r="AF1460" t="s">
        <v>49</v>
      </c>
    </row>
    <row r="1461" spans="1:32" x14ac:dyDescent="0.25">
      <c r="A1461">
        <v>29</v>
      </c>
      <c r="B1461" t="s">
        <v>63</v>
      </c>
      <c r="C1461" t="s">
        <v>50</v>
      </c>
      <c r="D1461" t="s">
        <v>34</v>
      </c>
      <c r="E1461" t="s">
        <v>52</v>
      </c>
      <c r="F1461">
        <v>13</v>
      </c>
      <c r="G1461" t="s">
        <v>53</v>
      </c>
      <c r="H1461">
        <v>4</v>
      </c>
      <c r="I1461" t="s">
        <v>42</v>
      </c>
      <c r="J1461" t="s">
        <v>54</v>
      </c>
      <c r="K1461">
        <v>2</v>
      </c>
      <c r="L1461" t="s">
        <v>55</v>
      </c>
      <c r="M1461">
        <v>2</v>
      </c>
      <c r="N1461" t="s">
        <v>40</v>
      </c>
      <c r="O1461" t="s">
        <v>62</v>
      </c>
      <c r="P1461">
        <v>2</v>
      </c>
      <c r="Q1461" t="s">
        <v>57</v>
      </c>
      <c r="R1461" t="s">
        <v>58</v>
      </c>
      <c r="S1461">
        <v>4</v>
      </c>
      <c r="T1461" t="s">
        <v>44</v>
      </c>
      <c r="U1461" t="s">
        <v>44</v>
      </c>
      <c r="V1461">
        <v>13</v>
      </c>
      <c r="W1461" t="s">
        <v>45</v>
      </c>
      <c r="X1461">
        <v>10</v>
      </c>
      <c r="Y1461">
        <v>3</v>
      </c>
      <c r="Z1461" t="s">
        <v>61</v>
      </c>
      <c r="AA1461">
        <v>4</v>
      </c>
      <c r="AB1461" t="s">
        <v>48</v>
      </c>
      <c r="AC1461">
        <v>3</v>
      </c>
      <c r="AD1461" t="s">
        <v>48</v>
      </c>
      <c r="AE1461">
        <v>0</v>
      </c>
      <c r="AF1461" t="s">
        <v>49</v>
      </c>
    </row>
    <row r="1462" spans="1:32" x14ac:dyDescent="0.25">
      <c r="A1462">
        <v>29</v>
      </c>
      <c r="B1462" t="s">
        <v>63</v>
      </c>
      <c r="C1462" t="s">
        <v>50</v>
      </c>
      <c r="D1462" t="s">
        <v>34</v>
      </c>
      <c r="E1462" t="s">
        <v>52</v>
      </c>
      <c r="F1462">
        <v>28</v>
      </c>
      <c r="G1462" t="s">
        <v>66</v>
      </c>
      <c r="H1462">
        <v>4</v>
      </c>
      <c r="I1462" t="s">
        <v>42</v>
      </c>
      <c r="J1462" t="s">
        <v>38</v>
      </c>
      <c r="K1462">
        <v>2</v>
      </c>
      <c r="L1462" t="s">
        <v>55</v>
      </c>
      <c r="M1462">
        <v>1</v>
      </c>
      <c r="N1462" t="s">
        <v>40</v>
      </c>
      <c r="O1462" t="s">
        <v>56</v>
      </c>
      <c r="P1462">
        <v>1</v>
      </c>
      <c r="Q1462" t="s">
        <v>57</v>
      </c>
      <c r="R1462" t="s">
        <v>43</v>
      </c>
      <c r="S1462">
        <v>1</v>
      </c>
      <c r="T1462" t="s">
        <v>44</v>
      </c>
      <c r="U1462" t="s">
        <v>59</v>
      </c>
      <c r="V1462">
        <v>14</v>
      </c>
      <c r="W1462" t="s">
        <v>45</v>
      </c>
      <c r="X1462">
        <v>5</v>
      </c>
      <c r="Y1462">
        <v>1</v>
      </c>
      <c r="Z1462" t="s">
        <v>46</v>
      </c>
      <c r="AA1462">
        <v>5</v>
      </c>
      <c r="AB1462" t="s">
        <v>47</v>
      </c>
      <c r="AC1462">
        <v>4</v>
      </c>
      <c r="AD1462" t="s">
        <v>48</v>
      </c>
      <c r="AE1462">
        <v>0</v>
      </c>
      <c r="AF1462" t="s">
        <v>49</v>
      </c>
    </row>
    <row r="1463" spans="1:32" x14ac:dyDescent="0.25">
      <c r="A1463">
        <v>50</v>
      </c>
      <c r="B1463" t="s">
        <v>32</v>
      </c>
      <c r="C1463" t="s">
        <v>33</v>
      </c>
      <c r="D1463" t="s">
        <v>34</v>
      </c>
      <c r="E1463" t="s">
        <v>35</v>
      </c>
      <c r="F1463">
        <v>28</v>
      </c>
      <c r="G1463" t="s">
        <v>66</v>
      </c>
      <c r="H1463">
        <v>4</v>
      </c>
      <c r="I1463" t="s">
        <v>42</v>
      </c>
      <c r="J1463" t="s">
        <v>54</v>
      </c>
      <c r="K1463">
        <v>2</v>
      </c>
      <c r="L1463" t="s">
        <v>55</v>
      </c>
      <c r="M1463">
        <v>3</v>
      </c>
      <c r="N1463" t="s">
        <v>68</v>
      </c>
      <c r="O1463" t="s">
        <v>41</v>
      </c>
      <c r="P1463">
        <v>1</v>
      </c>
      <c r="Q1463" t="s">
        <v>57</v>
      </c>
      <c r="R1463" t="s">
        <v>67</v>
      </c>
      <c r="S1463">
        <v>4</v>
      </c>
      <c r="T1463" t="s">
        <v>44</v>
      </c>
      <c r="U1463" t="s">
        <v>44</v>
      </c>
      <c r="V1463">
        <v>13</v>
      </c>
      <c r="W1463" t="s">
        <v>45</v>
      </c>
      <c r="X1463">
        <v>20</v>
      </c>
      <c r="Y1463">
        <v>3</v>
      </c>
      <c r="Z1463" t="s">
        <v>61</v>
      </c>
      <c r="AA1463">
        <v>3</v>
      </c>
      <c r="AB1463" t="s">
        <v>48</v>
      </c>
      <c r="AC1463">
        <v>2</v>
      </c>
      <c r="AD1463" t="s">
        <v>48</v>
      </c>
      <c r="AE1463">
        <v>2</v>
      </c>
      <c r="AF1463" t="s">
        <v>49</v>
      </c>
    </row>
    <row r="1464" spans="1:32" x14ac:dyDescent="0.25">
      <c r="A1464">
        <v>39</v>
      </c>
      <c r="B1464" t="s">
        <v>32</v>
      </c>
      <c r="C1464" t="s">
        <v>50</v>
      </c>
      <c r="D1464" t="s">
        <v>34</v>
      </c>
      <c r="E1464" t="s">
        <v>35</v>
      </c>
      <c r="F1464">
        <v>24</v>
      </c>
      <c r="G1464" t="s">
        <v>66</v>
      </c>
      <c r="H1464">
        <v>2</v>
      </c>
      <c r="I1464" t="s">
        <v>37</v>
      </c>
      <c r="J1464" t="s">
        <v>38</v>
      </c>
      <c r="K1464">
        <v>2</v>
      </c>
      <c r="L1464" t="s">
        <v>55</v>
      </c>
      <c r="M1464">
        <v>4</v>
      </c>
      <c r="N1464" t="s">
        <v>72</v>
      </c>
      <c r="O1464" t="s">
        <v>41</v>
      </c>
      <c r="P1464">
        <v>4</v>
      </c>
      <c r="Q1464" t="s">
        <v>42</v>
      </c>
      <c r="R1464" t="s">
        <v>58</v>
      </c>
      <c r="S1464">
        <v>0</v>
      </c>
      <c r="T1464" t="s">
        <v>44</v>
      </c>
      <c r="U1464" t="s">
        <v>59</v>
      </c>
      <c r="V1464">
        <v>11</v>
      </c>
      <c r="W1464" t="s">
        <v>45</v>
      </c>
      <c r="X1464">
        <v>21</v>
      </c>
      <c r="Y1464">
        <v>2</v>
      </c>
      <c r="Z1464" t="s">
        <v>46</v>
      </c>
      <c r="AA1464">
        <v>20</v>
      </c>
      <c r="AB1464" t="s">
        <v>74</v>
      </c>
      <c r="AC1464">
        <v>9</v>
      </c>
      <c r="AD1464" t="s">
        <v>47</v>
      </c>
      <c r="AE1464">
        <v>9</v>
      </c>
      <c r="AF1464" t="s">
        <v>71</v>
      </c>
    </row>
    <row r="1465" spans="1:32" x14ac:dyDescent="0.25">
      <c r="A1465">
        <v>31</v>
      </c>
      <c r="B1465" t="s">
        <v>32</v>
      </c>
      <c r="C1465" t="s">
        <v>50</v>
      </c>
      <c r="D1465" t="s">
        <v>34</v>
      </c>
      <c r="E1465" t="s">
        <v>52</v>
      </c>
      <c r="F1465">
        <v>5</v>
      </c>
      <c r="G1465" t="s">
        <v>36</v>
      </c>
      <c r="H1465">
        <v>2</v>
      </c>
      <c r="I1465" t="s">
        <v>37</v>
      </c>
      <c r="J1465" t="s">
        <v>54</v>
      </c>
      <c r="K1465">
        <v>3</v>
      </c>
      <c r="L1465" t="s">
        <v>39</v>
      </c>
      <c r="M1465">
        <v>2</v>
      </c>
      <c r="N1465" t="s">
        <v>40</v>
      </c>
      <c r="O1465" t="s">
        <v>69</v>
      </c>
      <c r="P1465">
        <v>1</v>
      </c>
      <c r="Q1465" t="s">
        <v>57</v>
      </c>
      <c r="R1465" t="s">
        <v>43</v>
      </c>
      <c r="S1465">
        <v>0</v>
      </c>
      <c r="T1465" t="s">
        <v>44</v>
      </c>
      <c r="U1465" t="s">
        <v>59</v>
      </c>
      <c r="V1465">
        <v>19</v>
      </c>
      <c r="W1465" t="s">
        <v>45</v>
      </c>
      <c r="X1465">
        <v>10</v>
      </c>
      <c r="Y1465">
        <v>3</v>
      </c>
      <c r="Z1465" t="s">
        <v>61</v>
      </c>
      <c r="AA1465">
        <v>9</v>
      </c>
      <c r="AB1465" t="s">
        <v>47</v>
      </c>
      <c r="AC1465">
        <v>4</v>
      </c>
      <c r="AD1465" t="s">
        <v>48</v>
      </c>
      <c r="AE1465">
        <v>1</v>
      </c>
      <c r="AF1465" t="s">
        <v>49</v>
      </c>
    </row>
    <row r="1466" spans="1:32" x14ac:dyDescent="0.25">
      <c r="A1466">
        <v>26</v>
      </c>
      <c r="B1466" t="s">
        <v>63</v>
      </c>
      <c r="C1466" t="s">
        <v>50</v>
      </c>
      <c r="D1466" t="s">
        <v>34</v>
      </c>
      <c r="E1466" t="s">
        <v>35</v>
      </c>
      <c r="F1466">
        <v>5</v>
      </c>
      <c r="G1466" t="s">
        <v>36</v>
      </c>
      <c r="H1466">
        <v>4</v>
      </c>
      <c r="I1466" t="s">
        <v>42</v>
      </c>
      <c r="J1466" t="s">
        <v>38</v>
      </c>
      <c r="K1466">
        <v>2</v>
      </c>
      <c r="L1466" t="s">
        <v>55</v>
      </c>
      <c r="M1466">
        <v>1</v>
      </c>
      <c r="N1466" t="s">
        <v>40</v>
      </c>
      <c r="O1466" t="s">
        <v>75</v>
      </c>
      <c r="P1466">
        <v>3</v>
      </c>
      <c r="Q1466" t="s">
        <v>42</v>
      </c>
      <c r="R1466" t="s">
        <v>43</v>
      </c>
      <c r="S1466">
        <v>0</v>
      </c>
      <c r="T1466" t="s">
        <v>44</v>
      </c>
      <c r="U1466" t="s">
        <v>59</v>
      </c>
      <c r="V1466">
        <v>18</v>
      </c>
      <c r="W1466" t="s">
        <v>45</v>
      </c>
      <c r="X1466">
        <v>5</v>
      </c>
      <c r="Y1466">
        <v>3</v>
      </c>
      <c r="Z1466" t="s">
        <v>61</v>
      </c>
      <c r="AA1466">
        <v>4</v>
      </c>
      <c r="AB1466" t="s">
        <v>48</v>
      </c>
      <c r="AC1466">
        <v>2</v>
      </c>
      <c r="AD1466" t="s">
        <v>48</v>
      </c>
      <c r="AE1466">
        <v>0</v>
      </c>
      <c r="AF1466" t="s">
        <v>49</v>
      </c>
    </row>
    <row r="1467" spans="1:32" x14ac:dyDescent="0.25">
      <c r="A1467">
        <v>36</v>
      </c>
      <c r="B1467" t="s">
        <v>32</v>
      </c>
      <c r="C1467" t="s">
        <v>50</v>
      </c>
      <c r="D1467" t="s">
        <v>51</v>
      </c>
      <c r="E1467" t="s">
        <v>52</v>
      </c>
      <c r="F1467">
        <v>23</v>
      </c>
      <c r="G1467" t="s">
        <v>66</v>
      </c>
      <c r="H1467">
        <v>3</v>
      </c>
      <c r="I1467" t="s">
        <v>42</v>
      </c>
      <c r="J1467" t="s">
        <v>54</v>
      </c>
      <c r="K1467">
        <v>4</v>
      </c>
      <c r="L1467" t="s">
        <v>65</v>
      </c>
      <c r="M1467">
        <v>2</v>
      </c>
      <c r="N1467" t="s">
        <v>40</v>
      </c>
      <c r="O1467" t="s">
        <v>62</v>
      </c>
      <c r="P1467">
        <v>4</v>
      </c>
      <c r="Q1467" t="s">
        <v>42</v>
      </c>
      <c r="R1467" t="s">
        <v>58</v>
      </c>
      <c r="S1467">
        <v>4</v>
      </c>
      <c r="T1467" t="s">
        <v>44</v>
      </c>
      <c r="U1467" t="s">
        <v>59</v>
      </c>
      <c r="V1467">
        <v>17</v>
      </c>
      <c r="W1467" t="s">
        <v>45</v>
      </c>
      <c r="X1467">
        <v>17</v>
      </c>
      <c r="Y1467">
        <v>3</v>
      </c>
      <c r="Z1467" t="s">
        <v>61</v>
      </c>
      <c r="AA1467">
        <v>5</v>
      </c>
      <c r="AB1467" t="s">
        <v>47</v>
      </c>
      <c r="AC1467">
        <v>2</v>
      </c>
      <c r="AD1467" t="s">
        <v>48</v>
      </c>
      <c r="AE1467">
        <v>0</v>
      </c>
      <c r="AF1467" t="s">
        <v>49</v>
      </c>
    </row>
    <row r="1468" spans="1:32" x14ac:dyDescent="0.25">
      <c r="A1468">
        <v>39</v>
      </c>
      <c r="B1468" t="s">
        <v>32</v>
      </c>
      <c r="C1468" t="s">
        <v>50</v>
      </c>
      <c r="D1468" t="s">
        <v>34</v>
      </c>
      <c r="E1468" t="s">
        <v>52</v>
      </c>
      <c r="F1468">
        <v>6</v>
      </c>
      <c r="G1468" t="s">
        <v>53</v>
      </c>
      <c r="H1468">
        <v>4</v>
      </c>
      <c r="I1468" t="s">
        <v>42</v>
      </c>
      <c r="J1468" t="s">
        <v>54</v>
      </c>
      <c r="K1468">
        <v>2</v>
      </c>
      <c r="L1468" t="s">
        <v>55</v>
      </c>
      <c r="M1468">
        <v>3</v>
      </c>
      <c r="N1468" t="s">
        <v>68</v>
      </c>
      <c r="O1468" t="s">
        <v>70</v>
      </c>
      <c r="P1468">
        <v>1</v>
      </c>
      <c r="Q1468" t="s">
        <v>57</v>
      </c>
      <c r="R1468" t="s">
        <v>58</v>
      </c>
      <c r="S1468">
        <v>4</v>
      </c>
      <c r="T1468" t="s">
        <v>44</v>
      </c>
      <c r="U1468" t="s">
        <v>59</v>
      </c>
      <c r="V1468">
        <v>15</v>
      </c>
      <c r="W1468" t="s">
        <v>45</v>
      </c>
      <c r="X1468">
        <v>9</v>
      </c>
      <c r="Y1468">
        <v>3</v>
      </c>
      <c r="Z1468" t="s">
        <v>61</v>
      </c>
      <c r="AA1468">
        <v>7</v>
      </c>
      <c r="AB1468" t="s">
        <v>47</v>
      </c>
      <c r="AC1468">
        <v>7</v>
      </c>
      <c r="AD1468" t="s">
        <v>47</v>
      </c>
      <c r="AE1468">
        <v>1</v>
      </c>
      <c r="AF1468" t="s">
        <v>49</v>
      </c>
    </row>
    <row r="1469" spans="1:32" x14ac:dyDescent="0.25">
      <c r="A1469">
        <v>27</v>
      </c>
      <c r="B1469" t="s">
        <v>63</v>
      </c>
      <c r="C1469" t="s">
        <v>50</v>
      </c>
      <c r="D1469" t="s">
        <v>34</v>
      </c>
      <c r="E1469" t="s">
        <v>52</v>
      </c>
      <c r="F1469">
        <v>4</v>
      </c>
      <c r="G1469" t="s">
        <v>36</v>
      </c>
      <c r="H1469">
        <v>2</v>
      </c>
      <c r="I1469" t="s">
        <v>37</v>
      </c>
      <c r="J1469" t="s">
        <v>54</v>
      </c>
      <c r="K1469">
        <v>4</v>
      </c>
      <c r="L1469" t="s">
        <v>65</v>
      </c>
      <c r="M1469">
        <v>2</v>
      </c>
      <c r="N1469" t="s">
        <v>40</v>
      </c>
      <c r="O1469" t="s">
        <v>69</v>
      </c>
      <c r="P1469">
        <v>2</v>
      </c>
      <c r="Q1469" t="s">
        <v>57</v>
      </c>
      <c r="R1469" t="s">
        <v>58</v>
      </c>
      <c r="S1469">
        <v>1</v>
      </c>
      <c r="T1469" t="s">
        <v>44</v>
      </c>
      <c r="U1469" t="s">
        <v>44</v>
      </c>
      <c r="V1469">
        <v>20</v>
      </c>
      <c r="W1469" t="s">
        <v>60</v>
      </c>
      <c r="X1469">
        <v>6</v>
      </c>
      <c r="Y1469">
        <v>3</v>
      </c>
      <c r="Z1469" t="s">
        <v>61</v>
      </c>
      <c r="AA1469">
        <v>6</v>
      </c>
      <c r="AB1469" t="s">
        <v>47</v>
      </c>
      <c r="AC1469">
        <v>2</v>
      </c>
      <c r="AD1469" t="s">
        <v>48</v>
      </c>
      <c r="AE1469">
        <v>0</v>
      </c>
      <c r="AF1469" t="s">
        <v>49</v>
      </c>
    </row>
    <row r="1470" spans="1:32" x14ac:dyDescent="0.25">
      <c r="A1470">
        <v>49</v>
      </c>
      <c r="B1470" t="s">
        <v>32</v>
      </c>
      <c r="C1470" t="s">
        <v>50</v>
      </c>
      <c r="D1470" t="s">
        <v>51</v>
      </c>
      <c r="E1470" t="s">
        <v>35</v>
      </c>
      <c r="F1470">
        <v>2</v>
      </c>
      <c r="G1470" t="s">
        <v>36</v>
      </c>
      <c r="H1470">
        <v>4</v>
      </c>
      <c r="I1470" t="s">
        <v>42</v>
      </c>
      <c r="J1470" t="s">
        <v>54</v>
      </c>
      <c r="K1470">
        <v>2</v>
      </c>
      <c r="L1470" t="s">
        <v>55</v>
      </c>
      <c r="M1470">
        <v>2</v>
      </c>
      <c r="N1470" t="s">
        <v>40</v>
      </c>
      <c r="O1470" t="s">
        <v>41</v>
      </c>
      <c r="P1470">
        <v>2</v>
      </c>
      <c r="Q1470" t="s">
        <v>57</v>
      </c>
      <c r="R1470" t="s">
        <v>58</v>
      </c>
      <c r="S1470">
        <v>2</v>
      </c>
      <c r="T1470" t="s">
        <v>44</v>
      </c>
      <c r="U1470" t="s">
        <v>59</v>
      </c>
      <c r="V1470">
        <v>14</v>
      </c>
      <c r="W1470" t="s">
        <v>45</v>
      </c>
      <c r="X1470">
        <v>17</v>
      </c>
      <c r="Y1470">
        <v>2</v>
      </c>
      <c r="Z1470" t="s">
        <v>46</v>
      </c>
      <c r="AA1470">
        <v>9</v>
      </c>
      <c r="AB1470" t="s">
        <v>47</v>
      </c>
      <c r="AC1470">
        <v>6</v>
      </c>
      <c r="AD1470" t="s">
        <v>47</v>
      </c>
      <c r="AE1470">
        <v>0</v>
      </c>
      <c r="AF1470" t="s">
        <v>49</v>
      </c>
    </row>
    <row r="1471" spans="1:32" x14ac:dyDescent="0.25">
      <c r="A1471">
        <v>34</v>
      </c>
      <c r="B1471" t="s">
        <v>32</v>
      </c>
      <c r="C1471" t="s">
        <v>50</v>
      </c>
      <c r="D1471" t="s">
        <v>34</v>
      </c>
      <c r="E1471" t="s">
        <v>52</v>
      </c>
      <c r="F1471">
        <v>8</v>
      </c>
      <c r="G1471" t="s">
        <v>53</v>
      </c>
      <c r="H1471">
        <v>2</v>
      </c>
      <c r="I1471" t="s">
        <v>37</v>
      </c>
      <c r="J1471" t="s">
        <v>54</v>
      </c>
      <c r="K1471">
        <v>4</v>
      </c>
      <c r="L1471" t="s">
        <v>65</v>
      </c>
      <c r="M1471">
        <v>2</v>
      </c>
      <c r="N1471" t="s">
        <v>40</v>
      </c>
      <c r="O1471" t="s">
        <v>62</v>
      </c>
      <c r="P1471">
        <v>3</v>
      </c>
      <c r="Q1471" t="s">
        <v>42</v>
      </c>
      <c r="R1471" t="s">
        <v>58</v>
      </c>
      <c r="S1471">
        <v>2</v>
      </c>
      <c r="T1471" t="s">
        <v>44</v>
      </c>
      <c r="U1471" t="s">
        <v>59</v>
      </c>
      <c r="V1471">
        <v>12</v>
      </c>
      <c r="W1471" t="s">
        <v>45</v>
      </c>
      <c r="X1471">
        <v>6</v>
      </c>
      <c r="Y1471">
        <v>4</v>
      </c>
      <c r="Z1471" t="s">
        <v>61</v>
      </c>
      <c r="AA1471">
        <v>4</v>
      </c>
      <c r="AB1471" t="s">
        <v>48</v>
      </c>
      <c r="AC1471">
        <v>3</v>
      </c>
      <c r="AD1471" t="s">
        <v>48</v>
      </c>
      <c r="AE1471">
        <v>1</v>
      </c>
      <c r="AF1471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E1B1-AA11-42A4-825E-3198107701C9}">
  <dimension ref="A3:B30"/>
  <sheetViews>
    <sheetView topLeftCell="A10" workbookViewId="0">
      <selection activeCell="A27" sqref="A27:B30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1.28515625" bestFit="1" customWidth="1"/>
  </cols>
  <sheetData>
    <row r="3" spans="1:2" x14ac:dyDescent="0.25">
      <c r="A3" t="s">
        <v>84</v>
      </c>
    </row>
    <row r="4" spans="1:2" x14ac:dyDescent="0.25">
      <c r="A4" s="3">
        <v>1470</v>
      </c>
    </row>
    <row r="9" spans="1:2" x14ac:dyDescent="0.25">
      <c r="A9" s="1" t="s">
        <v>81</v>
      </c>
      <c r="B9" t="s">
        <v>84</v>
      </c>
    </row>
    <row r="10" spans="1:2" x14ac:dyDescent="0.25">
      <c r="A10" s="2" t="s">
        <v>45</v>
      </c>
      <c r="B10" s="6">
        <v>0.84625850340136055</v>
      </c>
    </row>
    <row r="11" spans="1:2" x14ac:dyDescent="0.25">
      <c r="A11" s="2" t="s">
        <v>60</v>
      </c>
      <c r="B11" s="6">
        <v>0.15374149659863945</v>
      </c>
    </row>
    <row r="12" spans="1:2" x14ac:dyDescent="0.25">
      <c r="A12" s="2" t="s">
        <v>82</v>
      </c>
      <c r="B12" s="5">
        <v>1</v>
      </c>
    </row>
    <row r="14" spans="1:2" x14ac:dyDescent="0.25">
      <c r="A14" s="1" t="s">
        <v>2</v>
      </c>
      <c r="B14" t="s">
        <v>33</v>
      </c>
    </row>
    <row r="16" spans="1:2" x14ac:dyDescent="0.25">
      <c r="A16" s="1" t="s">
        <v>81</v>
      </c>
      <c r="B16" t="s">
        <v>84</v>
      </c>
    </row>
    <row r="17" spans="1:2" x14ac:dyDescent="0.25">
      <c r="A17" s="2" t="s">
        <v>44</v>
      </c>
      <c r="B17" s="3">
        <v>127</v>
      </c>
    </row>
    <row r="18" spans="1:2" x14ac:dyDescent="0.25">
      <c r="A18" s="2" t="s">
        <v>59</v>
      </c>
      <c r="B18" s="3">
        <v>110</v>
      </c>
    </row>
    <row r="19" spans="1:2" x14ac:dyDescent="0.25">
      <c r="A19" s="2" t="s">
        <v>82</v>
      </c>
      <c r="B19" s="3">
        <v>237</v>
      </c>
    </row>
    <row r="21" spans="1:2" x14ac:dyDescent="0.25">
      <c r="A21" s="4" t="s">
        <v>81</v>
      </c>
      <c r="B21" s="4" t="s">
        <v>84</v>
      </c>
    </row>
    <row r="22" spans="1:2" x14ac:dyDescent="0.25">
      <c r="A22" s="2" t="s">
        <v>44</v>
      </c>
      <c r="B22" s="3">
        <v>127</v>
      </c>
    </row>
    <row r="23" spans="1:2" x14ac:dyDescent="0.25">
      <c r="A23" s="2" t="s">
        <v>59</v>
      </c>
      <c r="B23" s="3">
        <v>110</v>
      </c>
    </row>
    <row r="24" spans="1:2" x14ac:dyDescent="0.25">
      <c r="A24" s="7" t="s">
        <v>82</v>
      </c>
      <c r="B24" s="8">
        <v>237</v>
      </c>
    </row>
    <row r="27" spans="1:2" x14ac:dyDescent="0.25">
      <c r="A27" s="4" t="s">
        <v>81</v>
      </c>
      <c r="B27" s="4" t="s">
        <v>84</v>
      </c>
    </row>
    <row r="28" spans="1:2" x14ac:dyDescent="0.25">
      <c r="A28" s="2" t="s">
        <v>44</v>
      </c>
      <c r="B28" s="3">
        <v>127</v>
      </c>
    </row>
    <row r="29" spans="1:2" x14ac:dyDescent="0.25">
      <c r="A29" s="2" t="s">
        <v>59</v>
      </c>
      <c r="B29" s="3">
        <v>110</v>
      </c>
    </row>
    <row r="30" spans="1:2" x14ac:dyDescent="0.25">
      <c r="A30" s="7" t="s">
        <v>82</v>
      </c>
      <c r="B30" s="8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490C6-6F30-4061-A237-0CB23D9CF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Basic</vt:lpstr>
      <vt:lpstr>Sheet8</vt:lpstr>
      <vt:lpstr>B2</vt:lpstr>
      <vt:lpstr>At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 Burugula</dc:creator>
  <cp:lastModifiedBy>Karthikeya Burugula</cp:lastModifiedBy>
  <dcterms:created xsi:type="dcterms:W3CDTF">2026-06-18T03:25:36Z</dcterms:created>
  <dcterms:modified xsi:type="dcterms:W3CDTF">2026-07-05T17:08:50Z</dcterms:modified>
</cp:coreProperties>
</file>